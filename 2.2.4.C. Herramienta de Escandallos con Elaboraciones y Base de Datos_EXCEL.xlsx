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4"/>
    <sheet state="visible" name="RESUMEN DE COSTES" sheetId="2" r:id="rId5"/>
    <sheet state="visible" name="UPSMENUS" sheetId="3" r:id="rId6"/>
    <sheet state="visible" name="SCRIPTS VENTAS Y MENU" sheetId="4" r:id="rId7"/>
    <sheet state="visible" name="UBER- RESUMEN DE COSTES" sheetId="5" r:id="rId8"/>
    <sheet state="visible" name="MENUS" sheetId="6" r:id="rId9"/>
    <sheet state="visible" name="TAREASNOTAS" sheetId="7" r:id="rId10"/>
    <sheet state="visible" name="VENTAS TOTALES" sheetId="8" r:id="rId11"/>
    <sheet state="visible" name="Bebidas" sheetId="9" r:id="rId12"/>
    <sheet state="hidden" name="SALSAS" sheetId="10" r:id="rId13"/>
    <sheet state="visible" name="ELABORACIONES" sheetId="11" r:id="rId14"/>
    <sheet state="hidden" name="INDICE 25" sheetId="12" r:id="rId15"/>
    <sheet state="hidden" name="CONTEO PRODUCTOS VENDIDOS." sheetId="13" r:id="rId16"/>
    <sheet state="visible" name="ENTRANTES" sheetId="14" r:id="rId17"/>
    <sheet state="visible" name="SERRANOS" sheetId="15" r:id="rId18"/>
    <sheet state="visible" name="BOCATAS" sheetId="16" r:id="rId19"/>
    <sheet state="visible" name="BRIOCH-SUBS" sheetId="17" r:id="rId20"/>
    <sheet state="visible" name="POSTRES" sheetId="18" r:id="rId21"/>
    <sheet state="visible" name="BURGERS" sheetId="19" r:id="rId22"/>
    <sheet state="visible" name="PRUEBAS" sheetId="20" r:id="rId23"/>
    <sheet state="visible" name="TARROS SALSA" sheetId="21" r:id="rId24"/>
    <sheet state="hidden" name="INDICE 2026" sheetId="22" r:id="rId25"/>
    <sheet state="hidden" name="INDICE UBER" sheetId="23" r:id="rId26"/>
    <sheet state="hidden" name="Ensalada Caprese con Pesto Case" sheetId="24" r:id="rId27"/>
    <sheet state="hidden" name="4 ELABORACIÓNES+BDNombre del Pr" sheetId="25" r:id="rId28"/>
    <sheet state="hidden" name="Hoja 2" sheetId="26" r:id="rId29"/>
  </sheets>
  <definedNames>
    <definedName hidden="1" localSheetId="0" name="_xlnm._FilterDatabase">'Base de datos'!$A$1:$I$1</definedName>
    <definedName hidden="1" localSheetId="7" name="_xlnm._FilterDatabase">'VENTAS TOTALES'!$A$1:$D$146</definedName>
    <definedName hidden="1" localSheetId="11" name="_xlnm._FilterDatabase">'INDICE 25'!$J$5:$L$105</definedName>
    <definedName hidden="1" localSheetId="12" name="_xlnm._FilterDatabase">'CONTEO PRODUCTOS VENDIDOS.'!$A$1:$D$141</definedName>
    <definedName hidden="1" localSheetId="21" name="_xlnm._FilterDatabase">'INDICE 2026'!$J$5:$L$106</definedName>
    <definedName hidden="1" localSheetId="22" name="_xlnm._FilterDatabase">'INDICE UBER'!$J$5:$L$106</definedName>
  </definedNames>
  <calcPr/>
  <pivotCaches>
    <pivotCache cacheId="0" r:id="rId30"/>
  </pivotCaches>
  <extLst>
    <ext uri="GoogleSheetsCustomDataVersion2">
      <go:sheetsCustomData xmlns:go="http://customooxmlschemas.google.com/" r:id="rId31" roundtripDataChecksum="fMFkTkcG62Y2bWB/8GlQ9OMioSPVVdpjvdUWzJcil/g="/>
    </ext>
  </extLst>
</workbook>
</file>

<file path=xl/sharedStrings.xml><?xml version="1.0" encoding="utf-8"?>
<sst xmlns="http://schemas.openxmlformats.org/spreadsheetml/2006/main" count="6571" uniqueCount="829">
  <si>
    <t>ID</t>
  </si>
  <si>
    <t>Proveedor</t>
  </si>
  <si>
    <t>Nombre ingrediente</t>
  </si>
  <si>
    <t>Formato compra</t>
  </si>
  <si>
    <t>Unidad de compra</t>
  </si>
  <si>
    <t>Precio formato compra</t>
  </si>
  <si>
    <t>Unidad Producto</t>
  </si>
  <si>
    <t>Precio Unidad Producto</t>
  </si>
  <si>
    <t>NOTAS</t>
  </si>
  <si>
    <t>ADL</t>
  </si>
  <si>
    <t>Aceite Adl Alto Oleico 60%</t>
  </si>
  <si>
    <t xml:space="preserve">Litro </t>
  </si>
  <si>
    <t xml:space="preserve">Aceite de girasol Adl </t>
  </si>
  <si>
    <t xml:space="preserve">ATUN EN ACEITE VEGETAL </t>
  </si>
  <si>
    <t>Kg</t>
  </si>
  <si>
    <t>R2R</t>
  </si>
  <si>
    <t>BACON LONCHEADO 25</t>
  </si>
  <si>
    <t>%rappel aplicado</t>
  </si>
  <si>
    <t>Neron</t>
  </si>
  <si>
    <t xml:space="preserve">bolsa lata delivery </t>
  </si>
  <si>
    <t>Unidad</t>
  </si>
  <si>
    <t>LUXBOX</t>
  </si>
  <si>
    <t xml:space="preserve">Bolsa personalizada </t>
  </si>
  <si>
    <t>Bolsas AMERICANA GRANDE 25x15x43,5</t>
  </si>
  <si>
    <t>Bolsas AMERICANA UNITARIA 18x34x11</t>
  </si>
  <si>
    <t xml:space="preserve">CAJA BOX 780 </t>
  </si>
  <si>
    <t>la caja contiene 10 tiras de 50 unidades</t>
  </si>
  <si>
    <t xml:space="preserve">CAJA Burger blanca 234.18 </t>
  </si>
  <si>
    <t>Caja personalizada</t>
  </si>
  <si>
    <t>BIENVENIDO CARNICAS</t>
  </si>
  <si>
    <t>CARNE B.</t>
  </si>
  <si>
    <t>MAKRO</t>
  </si>
  <si>
    <t>CEBOLLA CARAMELIZADA</t>
  </si>
  <si>
    <t>BAREA</t>
  </si>
  <si>
    <t>CEBOLLA CRUJIENTE</t>
  </si>
  <si>
    <t>F.CUEVAS</t>
  </si>
  <si>
    <t>CEBOLLA DULCE BLANCA</t>
  </si>
  <si>
    <t>MERCA</t>
  </si>
  <si>
    <t>CEBOLLA MORADA</t>
  </si>
  <si>
    <t>Chedar LONCHA R2R</t>
  </si>
  <si>
    <t>no usado</t>
  </si>
  <si>
    <t>SOLLERO</t>
  </si>
  <si>
    <t xml:space="preserve">CHEDDAR LIQUIDO SOLLERO </t>
  </si>
  <si>
    <t xml:space="preserve">LA FUENTE </t>
  </si>
  <si>
    <t>CHEDDAR LONCHA LA FUENTE</t>
  </si>
  <si>
    <t>GOUDA LONCHA LA FUENTE</t>
  </si>
  <si>
    <t xml:space="preserve">CHEDDAR SALSA LA FUENTE </t>
  </si>
  <si>
    <t>CHEDDAR SOLLERO 25</t>
  </si>
  <si>
    <t>LAFUENTE</t>
  </si>
  <si>
    <t>RULO DE CABRA ORIGINAL LA FUENTE</t>
  </si>
  <si>
    <t>RULO MEZCLA MADURADO LAFUENTE</t>
  </si>
  <si>
    <t xml:space="preserve">CHEDDAR LONCHA ROJO LAFUENTE </t>
  </si>
  <si>
    <t>RAULFONT</t>
  </si>
  <si>
    <t xml:space="preserve">ENVASE BURG. SOFI </t>
  </si>
  <si>
    <t>ENVASE SERRANO IP10 .25</t>
  </si>
  <si>
    <t>ESPECIAS GRANADO</t>
  </si>
  <si>
    <t>ESPECIAS GRANADO POLLO ASADO</t>
  </si>
  <si>
    <t>FRANKFURT</t>
  </si>
  <si>
    <t>% rappel aplicado</t>
  </si>
  <si>
    <t>GRANJA S.A.</t>
  </si>
  <si>
    <t>CLARA LIQUIDA GRANJA</t>
  </si>
  <si>
    <t xml:space="preserve">CAJA BOX 780 NEGRA OFERTA </t>
  </si>
  <si>
    <t>la caja contiene 10 tiras de 50 unidades, OFERTA LIMITADA</t>
  </si>
  <si>
    <t xml:space="preserve">HUEVO LÍQUIDO GRANJA </t>
  </si>
  <si>
    <t>HUEVO CASCARA</t>
  </si>
  <si>
    <t xml:space="preserve">JALAPEÑOS </t>
  </si>
  <si>
    <t>JAMON LONCHEADO CUMBRE IB.</t>
  </si>
  <si>
    <t>AVINATUR</t>
  </si>
  <si>
    <t xml:space="preserve">LAGRIMITAS </t>
  </si>
  <si>
    <t>LECHUGA LOLLO CUEVAS</t>
  </si>
  <si>
    <t>NERON</t>
  </si>
  <si>
    <t xml:space="preserve">Bolsa Serrano ROAST </t>
  </si>
  <si>
    <t>MERMELADA DE PIMIENTO</t>
  </si>
  <si>
    <t>TAPIA</t>
  </si>
  <si>
    <t xml:space="preserve">NUGGETS POLLO PRIELA </t>
  </si>
  <si>
    <t>Paleta</t>
  </si>
  <si>
    <t>RICKY</t>
  </si>
  <si>
    <t xml:space="preserve">Pan baguette </t>
  </si>
  <si>
    <t>PAN BRIOCHE 25</t>
  </si>
  <si>
    <t>PAN BRIOCHE PERRITO</t>
  </si>
  <si>
    <t xml:space="preserve">LUZBOX </t>
  </si>
  <si>
    <t xml:space="preserve">papel personalizado </t>
  </si>
  <si>
    <t>Patata surecrisp 10/10 MAX</t>
  </si>
  <si>
    <t xml:space="preserve">PATATAS FRY &amp; DIP </t>
  </si>
  <si>
    <t>LLINARES</t>
  </si>
  <si>
    <t>PATATAS FRY &amp; DIP 25</t>
  </si>
  <si>
    <t xml:space="preserve">TAPIA </t>
  </si>
  <si>
    <t>PECHUGA EMPANADA 25</t>
  </si>
  <si>
    <t>SADA</t>
  </si>
  <si>
    <t>PECHUGA POLLO FILETEADA 25 SADA</t>
  </si>
  <si>
    <t xml:space="preserve">PEPINILLOS </t>
  </si>
  <si>
    <t>Petaca patatas</t>
  </si>
  <si>
    <t>CUEVA</t>
  </si>
  <si>
    <t>PIMIENTO</t>
  </si>
  <si>
    <t>SOFI</t>
  </si>
  <si>
    <t>POLLO ASADO</t>
  </si>
  <si>
    <t>POLLO ASADO CRUDO AVINATUR</t>
  </si>
  <si>
    <t>POLLO ASADO CRUDO SADA</t>
  </si>
  <si>
    <t>POLLO CRISPY SIMON(CRUJIPOLLO)</t>
  </si>
  <si>
    <t>PULLED PORK</t>
  </si>
  <si>
    <t>Queso  GOUDA SOLLERO</t>
  </si>
  <si>
    <t>Elaboracion</t>
  </si>
  <si>
    <t>Salsa agria</t>
  </si>
  <si>
    <t>SALSA BBQ BAREA</t>
  </si>
  <si>
    <t>SALSA BBQ WHISKY</t>
  </si>
  <si>
    <t>NO USADO</t>
  </si>
  <si>
    <t xml:space="preserve">salsa emily </t>
  </si>
  <si>
    <t>salsa mayobacon</t>
  </si>
  <si>
    <t>Salsa mayonesa</t>
  </si>
  <si>
    <t>SALSA MOSTAZA MIEL</t>
  </si>
  <si>
    <t xml:space="preserve">Salsa oculto </t>
  </si>
  <si>
    <t>Salsa tomate</t>
  </si>
  <si>
    <t>Salsa trufada</t>
  </si>
  <si>
    <t xml:space="preserve">TARTA LOTUS </t>
  </si>
  <si>
    <t>SERVILLETA 40X40 100UD</t>
  </si>
  <si>
    <t>SETAS</t>
  </si>
  <si>
    <t>ARCOS IBERICOS</t>
  </si>
  <si>
    <t>TARTAS QUESO</t>
  </si>
  <si>
    <t>TOMATE DANIELA</t>
  </si>
  <si>
    <t>TARTAS DUBAI</t>
  </si>
  <si>
    <t>mercadona</t>
  </si>
  <si>
    <t>TRUFA</t>
  </si>
  <si>
    <t xml:space="preserve">Salsa TRUFADA Makro </t>
  </si>
  <si>
    <t>VINAGRE</t>
  </si>
  <si>
    <t>LATA AQUARIOUS LIMON</t>
  </si>
  <si>
    <t>LATA AQUARIOUS NARANJA</t>
  </si>
  <si>
    <t>LATA COCACOLA</t>
  </si>
  <si>
    <t>LATA COCACOLA ZERO</t>
  </si>
  <si>
    <t>LATA COLACOLA ZERO ZERO</t>
  </si>
  <si>
    <t>LATA FANTA LIMON</t>
  </si>
  <si>
    <t>LATA FANTA NARANJA</t>
  </si>
  <si>
    <t>LATA FUZEE TEA LIMON</t>
  </si>
  <si>
    <t>LATA FUZEE TEA MARACUYA</t>
  </si>
  <si>
    <t>LAPARRA</t>
  </si>
  <si>
    <t>PAN BAGUETTE LA PARRA</t>
  </si>
  <si>
    <t>MERCADONA</t>
  </si>
  <si>
    <t>MANTECADO CASERO ESTEPA</t>
  </si>
  <si>
    <t xml:space="preserve">MANTECADO DE VINO </t>
  </si>
  <si>
    <t xml:space="preserve">MIEL DE FLORES </t>
  </si>
  <si>
    <t>AZUCAR GLASS</t>
  </si>
  <si>
    <t>MAYO SRIRACHA</t>
  </si>
  <si>
    <t xml:space="preserve">SOLOMILLO CERDO </t>
  </si>
  <si>
    <t>MAGRETABLANCALONCHEADA500</t>
  </si>
  <si>
    <t>CUEVAS</t>
  </si>
  <si>
    <t>AJO</t>
  </si>
  <si>
    <t>SAL</t>
  </si>
  <si>
    <t>MARKO</t>
  </si>
  <si>
    <t>COMINO</t>
  </si>
  <si>
    <t>PIMENTON DULCE</t>
  </si>
  <si>
    <t xml:space="preserve">GUINDILLA </t>
  </si>
  <si>
    <t xml:space="preserve">PIMIENTO ROJO </t>
  </si>
  <si>
    <t>TOMATE FRITO BOTE</t>
  </si>
  <si>
    <t>PIMENTON PICANTE</t>
  </si>
  <si>
    <t>PIMIENTA</t>
  </si>
  <si>
    <t>PAPADA</t>
  </si>
  <si>
    <t>OREGANO</t>
  </si>
  <si>
    <t xml:space="preserve">CURRY </t>
  </si>
  <si>
    <t>ELABORACION</t>
  </si>
  <si>
    <t xml:space="preserve">MAYONESA SOFI </t>
  </si>
  <si>
    <t xml:space="preserve">ALIOLI SOFI </t>
  </si>
  <si>
    <t>WISKY</t>
  </si>
  <si>
    <t>MOJO PICON</t>
  </si>
  <si>
    <t>SALSA BICHOTA</t>
  </si>
  <si>
    <t xml:space="preserve">CHICHARRON DE CADIZ </t>
  </si>
  <si>
    <t xml:space="preserve">MOSTAZA DIJON </t>
  </si>
  <si>
    <t xml:space="preserve">Cadera </t>
  </si>
  <si>
    <t>SALSA TRUFA SOFI</t>
  </si>
  <si>
    <t>EXT.</t>
  </si>
  <si>
    <t xml:space="preserve">CALDO CARNE AVECREM POLVO </t>
  </si>
  <si>
    <t xml:space="preserve">VINO BLANCO </t>
  </si>
  <si>
    <t>SALSA BARBACOA MAKRO</t>
  </si>
  <si>
    <t xml:space="preserve">ALITAS POLLO BBQ </t>
  </si>
  <si>
    <t xml:space="preserve">LAGRIMITAS DE POLLO </t>
  </si>
  <si>
    <t xml:space="preserve">TEKILLOS </t>
  </si>
  <si>
    <t>TEKILLOS QUESO GOUDA</t>
  </si>
  <si>
    <t>TARRINA SALSA BISAGRA PP, 60CC, CAJA DE 1000UDS</t>
  </si>
  <si>
    <t xml:space="preserve">SALSA AMERICANA </t>
  </si>
  <si>
    <t>SALSA KETCHUP</t>
  </si>
  <si>
    <t>SALSA RANCHERA MAKRO</t>
  </si>
  <si>
    <t>SALSA RANCHERA R2R 2,2L</t>
  </si>
  <si>
    <t xml:space="preserve">% rappel aplicado </t>
  </si>
  <si>
    <t xml:space="preserve">SALSA CESAR CHOVI </t>
  </si>
  <si>
    <t>SALSA CESAR METRO CHEF CUBO</t>
  </si>
  <si>
    <t xml:space="preserve">SALSA CESAR YBARRA </t>
  </si>
  <si>
    <t>QUESO GRANO PADANO</t>
  </si>
  <si>
    <t xml:space="preserve">SALSA PESTO GENOVESE </t>
  </si>
  <si>
    <t>ACEITE GIRASOL 5L ABACO</t>
  </si>
  <si>
    <t>MCCAIN</t>
  </si>
  <si>
    <t>CHICKEN DRIPS (Nuggets de pollo)</t>
  </si>
  <si>
    <t>0,018G</t>
  </si>
  <si>
    <t xml:space="preserve">CABEZA DE CERDO </t>
  </si>
  <si>
    <t>GRANADO</t>
  </si>
  <si>
    <t>TOMILLO</t>
  </si>
  <si>
    <t xml:space="preserve">ELABORACION </t>
  </si>
  <si>
    <t>CARNE MECHADA DE CABEZA DE CERO</t>
  </si>
  <si>
    <t xml:space="preserve"> PESTO GENOVESE </t>
  </si>
  <si>
    <t>PARRA</t>
  </si>
  <si>
    <t xml:space="preserve">GALLEGUITA 384 </t>
  </si>
  <si>
    <t>EUROPASTRY</t>
  </si>
  <si>
    <t>CANTABRICO 62545</t>
  </si>
  <si>
    <t>CALAMARES</t>
  </si>
  <si>
    <t xml:space="preserve">TARRITO ALIOLI </t>
  </si>
  <si>
    <t>TARRITO MAYONESA</t>
  </si>
  <si>
    <t>TARRITO SALSA WISKY</t>
  </si>
  <si>
    <t>TARRITO SALSA MOJO PICON</t>
  </si>
  <si>
    <t xml:space="preserve">TARRITO SALSA AMERICAN BURGER </t>
  </si>
  <si>
    <t>TARRITO SALSA TRUFADA</t>
  </si>
  <si>
    <t>TARRITO SALSA BBQ</t>
  </si>
  <si>
    <t>TARRO MAYO SRIRACHA</t>
  </si>
  <si>
    <t>TARRO SALSA BICHOTA</t>
  </si>
  <si>
    <t>TARRO KETCHUP</t>
  </si>
  <si>
    <t>TARRO RANCHERA</t>
  </si>
  <si>
    <t>Familia</t>
  </si>
  <si>
    <t>Producto</t>
  </si>
  <si>
    <t xml:space="preserve">Coste € </t>
  </si>
  <si>
    <t>PVP sin IVA</t>
  </si>
  <si>
    <t>PVP Actual</t>
  </si>
  <si>
    <t>MARGEN €</t>
  </si>
  <si>
    <t>MARGEN %</t>
  </si>
  <si>
    <t>Coste %</t>
  </si>
  <si>
    <t>Unidades Vendidas</t>
  </si>
  <si>
    <t>Peso venta %</t>
  </si>
  <si>
    <t xml:space="preserve">Bocadillos </t>
  </si>
  <si>
    <t>SIMPLE ASADO</t>
  </si>
  <si>
    <t>SIMPLE EMPANADO</t>
  </si>
  <si>
    <t>SIMPLE SOLOMILO</t>
  </si>
  <si>
    <t>VEGETAL POLLO</t>
  </si>
  <si>
    <t>VEGETAL POLLO ASADO</t>
  </si>
  <si>
    <t>VEGETAL EMPANADO</t>
  </si>
  <si>
    <t>VEGETAL ATUN</t>
  </si>
  <si>
    <t>BARBARA</t>
  </si>
  <si>
    <t>CRISTIAN</t>
  </si>
  <si>
    <t>JAKINIÑO</t>
  </si>
  <si>
    <t>GUARRITO</t>
  </si>
  <si>
    <t>SERRANITOS</t>
  </si>
  <si>
    <t>SERRANO EMPANADO</t>
  </si>
  <si>
    <t>SERRANO POLLO</t>
  </si>
  <si>
    <t>SERRANO POLLO ASADO</t>
  </si>
  <si>
    <t>SERRANO SOLOMILLO</t>
  </si>
  <si>
    <r>
      <rPr>
        <rFont val="Arial"/>
        <color rgb="FF000000"/>
      </rPr>
      <t xml:space="preserve">SERRANO </t>
    </r>
    <r>
      <rPr>
        <rFont val="Arial"/>
        <color rgb="FF000000"/>
      </rPr>
      <t xml:space="preserve">PULLED PORK </t>
    </r>
  </si>
  <si>
    <t>BRIOCHES</t>
  </si>
  <si>
    <t xml:space="preserve">XMAS CHIKEN </t>
  </si>
  <si>
    <t xml:space="preserve">CESAR BRIOCHE </t>
  </si>
  <si>
    <t>GYPSY</t>
  </si>
  <si>
    <t>CHICKEN FRIED</t>
  </si>
  <si>
    <t>CHEESE STEAK</t>
  </si>
  <si>
    <t>SMASH SERRANO</t>
  </si>
  <si>
    <t>BURGER</t>
  </si>
  <si>
    <t>CRUJIPOLLO BBQ</t>
  </si>
  <si>
    <t xml:space="preserve">CRUJIPOLLO ORIGINAL </t>
  </si>
  <si>
    <t>MAKA</t>
  </si>
  <si>
    <t>BICHOTA</t>
  </si>
  <si>
    <t>DADDY</t>
  </si>
  <si>
    <t>DOBLE QUESOS</t>
  </si>
  <si>
    <t>CERO15</t>
  </si>
  <si>
    <t xml:space="preserve">KAROL </t>
  </si>
  <si>
    <t>BARRIERA</t>
  </si>
  <si>
    <t>CALLEJERA</t>
  </si>
  <si>
    <t>ENTRANTES</t>
  </si>
  <si>
    <t>BOX ALITAS</t>
  </si>
  <si>
    <t>BOX LAGRIMITAS</t>
  </si>
  <si>
    <t>BOX NUGGETS</t>
  </si>
  <si>
    <t>BOX PATATAS</t>
  </si>
  <si>
    <t xml:space="preserve">BOX PAPAS PULLED PORK </t>
  </si>
  <si>
    <t>PETACA PATATA</t>
  </si>
  <si>
    <t>NEW PATATAS CHEESE BACON</t>
  </si>
  <si>
    <t>POSTRES</t>
  </si>
  <si>
    <t>TARTA LOTUS</t>
  </si>
  <si>
    <t>TARTA QUESO</t>
  </si>
  <si>
    <t xml:space="preserve">TARTA DUBAI </t>
  </si>
  <si>
    <t>HOTDOG</t>
  </si>
  <si>
    <t>HOTDOG/ PERRITOS SIMPLE</t>
  </si>
  <si>
    <t xml:space="preserve">HOTDOG BACONQUESO </t>
  </si>
  <si>
    <t>HOTDOG CHILL BBQ</t>
  </si>
  <si>
    <t>BEBIDA</t>
  </si>
  <si>
    <t>TARROS</t>
  </si>
  <si>
    <t>BEBIDAS</t>
  </si>
  <si>
    <t>COSTE T.</t>
  </si>
  <si>
    <t>PVP MENU X</t>
  </si>
  <si>
    <t>PVP sin Iva.</t>
  </si>
  <si>
    <t>PVP + MENU X</t>
  </si>
  <si>
    <t>DIF. MARGEN</t>
  </si>
  <si>
    <t>DIF. PVP</t>
  </si>
  <si>
    <t>UBER</t>
  </si>
  <si>
    <t>SERRANITOS &amp; BAGUETTES by SOFI</t>
  </si>
  <si>
    <t>BURGERS</t>
  </si>
  <si>
    <t>NUEVOS SUB´s (BRIOCHES)</t>
  </si>
  <si>
    <t>CAMPEONATO DE BOCATAS DE ESPAÑA</t>
  </si>
  <si>
    <t>SIN MENU</t>
  </si>
  <si>
    <t>CON MENU</t>
  </si>
  <si>
    <t>DIFERENCIA</t>
  </si>
  <si>
    <t>MARGEN</t>
  </si>
  <si>
    <t>LOCAL</t>
  </si>
  <si>
    <t>Burgers</t>
  </si>
  <si>
    <t>Serranitos</t>
  </si>
  <si>
    <t>Brioches</t>
  </si>
  <si>
    <t>Bocatas</t>
  </si>
  <si>
    <t>Bocatas Vegetales</t>
  </si>
  <si>
    <t>BOCATAS SIMPLES</t>
  </si>
  <si>
    <t xml:space="preserve">TOTAL FACTURACION LOCAL </t>
  </si>
  <si>
    <t>TOTAL FACT. MENU</t>
  </si>
  <si>
    <t>DIFERENCIA MARGEN</t>
  </si>
  <si>
    <r>
      <rPr>
        <rFont val="Arial"/>
        <color rgb="FF000000"/>
      </rPr>
      <t xml:space="preserve">SERRANO </t>
    </r>
    <r>
      <rPr>
        <rFont val="Arial"/>
        <color rgb="FF000000"/>
      </rPr>
      <t xml:space="preserve">PULLED PORK </t>
    </r>
  </si>
  <si>
    <t>SUGERIR</t>
  </si>
  <si>
    <r>
      <rPr>
        <rFont val="Arial"/>
        <color rgb="FF000000"/>
      </rPr>
      <t xml:space="preserve">SERRANO </t>
    </r>
    <r>
      <rPr>
        <rFont val="Arial"/>
        <color rgb="FF000000"/>
      </rPr>
      <t xml:space="preserve">PULLED PORK </t>
    </r>
  </si>
  <si>
    <t>MARGEN POS UBER €</t>
  </si>
  <si>
    <r>
      <rPr>
        <rFont val="Arial"/>
        <color rgb="FF000000"/>
      </rPr>
      <t xml:space="preserve">SERRANO </t>
    </r>
    <r>
      <rPr>
        <rFont val="Arial"/>
        <color rgb="FF000000"/>
      </rPr>
      <t xml:space="preserve">PULLED PORK </t>
    </r>
  </si>
  <si>
    <t>TEMPORADA</t>
  </si>
  <si>
    <t>PROXIMAMENTE</t>
  </si>
  <si>
    <t>RETIRADO</t>
  </si>
  <si>
    <t>NUEVA</t>
  </si>
  <si>
    <t xml:space="preserve">RESOLVER </t>
  </si>
  <si>
    <t xml:space="preserve">HOT DOG CHILL BBQ </t>
  </si>
  <si>
    <t>PRODUCTO</t>
  </si>
  <si>
    <t>MENU SERRANO DE POLLO+LATA+TARRO</t>
  </si>
  <si>
    <t>Nombre del Plato</t>
  </si>
  <si>
    <t>Unidad de medida</t>
  </si>
  <si>
    <t>Precio Unidad</t>
  </si>
  <si>
    <t>Cantidad Bruta</t>
  </si>
  <si>
    <t>Cantidad Cocinada/limpia</t>
  </si>
  <si>
    <t>Merma %</t>
  </si>
  <si>
    <t>Coste</t>
  </si>
  <si>
    <t>INDICE</t>
  </si>
  <si>
    <t xml:space="preserve">INDICE UBER </t>
  </si>
  <si>
    <t>Coste Total</t>
  </si>
  <si>
    <t>PVP</t>
  </si>
  <si>
    <t>Precio venta (s/IVA)</t>
  </si>
  <si>
    <t>IVA</t>
  </si>
  <si>
    <t xml:space="preserve">Coste de Producto </t>
  </si>
  <si>
    <t>%</t>
  </si>
  <si>
    <t>Margen Bruto</t>
  </si>
  <si>
    <t>€</t>
  </si>
  <si>
    <t>Margen Bruto post Uber</t>
  </si>
  <si>
    <t xml:space="preserve">SERRANO POLLO </t>
  </si>
  <si>
    <t xml:space="preserve">TARRO ALIOLI </t>
  </si>
  <si>
    <t xml:space="preserve">BEBIDA COCACOLA </t>
  </si>
  <si>
    <t xml:space="preserve">TOTAL </t>
  </si>
  <si>
    <t>Notas de elaboración</t>
  </si>
  <si>
    <t>Notas de elaboración 1</t>
  </si>
  <si>
    <t>DESCATALOGADA</t>
  </si>
  <si>
    <t>IR A BASE DE DATOS</t>
  </si>
  <si>
    <t>TAREAS</t>
  </si>
  <si>
    <t xml:space="preserve">VER ESCANDALLO HOTDOG </t>
  </si>
  <si>
    <t>MEDIA PONDERADA EN CELDA DE RESUMEN DE COSTE</t>
  </si>
  <si>
    <t>RAPPEL R2R APLICAO</t>
  </si>
  <si>
    <t>Categoría</t>
  </si>
  <si>
    <t>Unidades</t>
  </si>
  <si>
    <t>Total (€)</t>
  </si>
  <si>
    <t xml:space="preserve">ULTIMA ACTUALIZACION </t>
  </si>
  <si>
    <t>Bichota Campeona 2023 Sevilla League</t>
  </si>
  <si>
    <t>🎁EDICIÓN LIMITADA</t>
  </si>
  <si>
    <t>XMAS CHICKEN CRUNCH SUB — LIMITED XMAS DROP</t>
  </si>
  <si>
    <t>Doblesquesos</t>
  </si>
  <si>
    <t>Total XMAS CHICKEN CRUNCH SUB — LIMITED XMAS DROP</t>
  </si>
  <si>
    <t>Serranito Pollo</t>
  </si>
  <si>
    <t>Total 🎁EDICIÓN LIMITADA</t>
  </si>
  <si>
    <t>Cero15</t>
  </si>
  <si>
    <t>Bebidas</t>
  </si>
  <si>
    <t>Agua Botella</t>
  </si>
  <si>
    <t>Burgers &amp; MENU</t>
  </si>
  <si>
    <t>Dobles Quesos</t>
  </si>
  <si>
    <t>Total Agua Botella</t>
  </si>
  <si>
    <t>Barriera Cheese burger PM</t>
  </si>
  <si>
    <t>Aquarius</t>
  </si>
  <si>
    <t>CAMPEONA  SEVILLA BURGER LEAGUE  “LA BICHOTA”</t>
  </si>
  <si>
    <t>Total Aquarius</t>
  </si>
  <si>
    <t>SERRANITO de POLLO + patatas</t>
  </si>
  <si>
    <t>Cerveza Cruzcampo 0,0%</t>
  </si>
  <si>
    <t>Sofi</t>
  </si>
  <si>
    <t>Total Cerveza Cruzcampo 0,0%</t>
  </si>
  <si>
    <t>Joaquinto</t>
  </si>
  <si>
    <t>CocaCola</t>
  </si>
  <si>
    <t>Serranito Pollo Asado</t>
  </si>
  <si>
    <t>Total CocaCola</t>
  </si>
  <si>
    <t>Serranito Solomillo</t>
  </si>
  <si>
    <t>Fanta</t>
  </si>
  <si>
    <t>Maka</t>
  </si>
  <si>
    <t>Total Fanta</t>
  </si>
  <si>
    <t>Guarrito</t>
  </si>
  <si>
    <t>Fuzetea</t>
  </si>
  <si>
    <t>Cristian</t>
  </si>
  <si>
    <t>Total Fuzetea</t>
  </si>
  <si>
    <t>Kas</t>
  </si>
  <si>
    <t>Barbara</t>
  </si>
  <si>
    <t>Total Kas</t>
  </si>
  <si>
    <t>Vegetal Pollo</t>
  </si>
  <si>
    <t>SevenUp</t>
  </si>
  <si>
    <t>Total SevenUp</t>
  </si>
  <si>
    <t>Jakiniño + patatas</t>
  </si>
  <si>
    <t>Total Bebidas</t>
  </si>
  <si>
    <t>Smash Serrano Burger</t>
  </si>
  <si>
    <t>BEBIDAS.</t>
  </si>
  <si>
    <t>AGUA  BEZOYA 50cl</t>
  </si>
  <si>
    <t>Serranito Pollo Empanado</t>
  </si>
  <si>
    <t>Total AGUA  BEZOYA 50cl</t>
  </si>
  <si>
    <t>NUEVOS BRIOCHS!!</t>
  </si>
  <si>
    <t>NUEVO ! Sofi Chicken Fried</t>
  </si>
  <si>
    <t>AQUARIOUS LIMON 33CL</t>
  </si>
  <si>
    <t>Serranito POLLO ASADO + patatas</t>
  </si>
  <si>
    <t>Total AQUARIOUS LIMON 33CL</t>
  </si>
  <si>
    <t>Crujipollo BBQ</t>
  </si>
  <si>
    <t>AQUIARIOUS NARANJA 33CL</t>
  </si>
  <si>
    <t>Total AQUIARIOUS NARANJA 33CL</t>
  </si>
  <si>
    <t>Serranito SOLOMILLO  + patatas</t>
  </si>
  <si>
    <t>COCACOLA ORIGINAL 33cl</t>
  </si>
  <si>
    <t>SIMPLE DE POLLO</t>
  </si>
  <si>
    <t>Total COCACOLA ORIGINAL 33cl</t>
  </si>
  <si>
    <t>BARRIERA CHEESE BURGER + PATATAS</t>
  </si>
  <si>
    <t>COCACOLA ZERO 33cl</t>
  </si>
  <si>
    <t>Menú Serranito + bebida + tarro</t>
  </si>
  <si>
    <t>Total COCACOLA ZERO 33cl</t>
  </si>
  <si>
    <t>Vegetal Pollo Asado</t>
  </si>
  <si>
    <t>COCACOLA ZERO ZERO 33cl</t>
  </si>
  <si>
    <t>Salsas</t>
  </si>
  <si>
    <t>Tarro Alioli OFERTA</t>
  </si>
  <si>
    <t>Total COCACOLA ZERO ZERO 33cl</t>
  </si>
  <si>
    <t>Sofi chicken fried</t>
  </si>
  <si>
    <t>FANTA LIMON 33CL</t>
  </si>
  <si>
    <t>BICHOTA + LATA  + PATATAS( CAMPEONA 2023 BURGER SEVILLA🏆)</t>
  </si>
  <si>
    <t>Total FANTA LIMON 33CL</t>
  </si>
  <si>
    <t>Box Patatas</t>
  </si>
  <si>
    <t>FANTA NARANJA 33CL</t>
  </si>
  <si>
    <t>Las Box</t>
  </si>
  <si>
    <t>Patatas + PULLED PORK</t>
  </si>
  <si>
    <t>Total FANTA NARANJA 33CL</t>
  </si>
  <si>
    <t>SMASH BURGER SERRANITO</t>
  </si>
  <si>
    <t>FUZETEA LIMON 33cl</t>
  </si>
  <si>
    <t>Menú Dobles Quesos +PATATAS + bebida + tarro</t>
  </si>
  <si>
    <t>Total FUZETEA LIMON 33cl</t>
  </si>
  <si>
    <t>Serranito EMPANADO + patatas</t>
  </si>
  <si>
    <t>FUZETEA MARACUYA  33cl</t>
  </si>
  <si>
    <t>SOFI CHICKEN FRIED TOP!</t>
  </si>
  <si>
    <t>Total FUZETEA MARACUYA  33cl</t>
  </si>
  <si>
    <t>Crujipollo Original</t>
  </si>
  <si>
    <t>Total BEBIDAS.</t>
  </si>
  <si>
    <t>SERRANITO de POLLO</t>
  </si>
  <si>
    <t>Gipsy Smash</t>
  </si>
  <si>
    <t>Total Barbara</t>
  </si>
  <si>
    <t>Box Papas Pulled Pork</t>
  </si>
  <si>
    <t>Box</t>
  </si>
  <si>
    <t>Box Nuggets</t>
  </si>
  <si>
    <t>Total Cristian</t>
  </si>
  <si>
    <t>VEGETAL de POLLO ASAO + patatas</t>
  </si>
  <si>
    <t>Gipsy</t>
  </si>
  <si>
    <t>Total Guarrito</t>
  </si>
  <si>
    <t>Box Lagrimitas</t>
  </si>
  <si>
    <t>Total Joaquinto</t>
  </si>
  <si>
    <t>CRUJIPOLLO ORIGINAL</t>
  </si>
  <si>
    <t>Total Bocatas</t>
  </si>
  <si>
    <t>SIMPLE DE ASADO</t>
  </si>
  <si>
    <t>ENTRANTES Y COMPLEMENTOS</t>
  </si>
  <si>
    <t>Total SIMPLE DE ASADO</t>
  </si>
  <si>
    <t>Patatas</t>
  </si>
  <si>
    <t>Box Alitas</t>
  </si>
  <si>
    <t>Total SIMPLE DE POLLO</t>
  </si>
  <si>
    <t>Perrito</t>
  </si>
  <si>
    <t>Total SIMPLE EMPANADO</t>
  </si>
  <si>
    <t>SALSAS</t>
  </si>
  <si>
    <t>TARRO ALIOLI ORIGINAL SOFI</t>
  </si>
  <si>
    <t>SIMPLE SOLOMILLO</t>
  </si>
  <si>
    <t>Menú Jakiniño + bebida + tarro</t>
  </si>
  <si>
    <t>Total SIMPLE SOLOMILLO</t>
  </si>
  <si>
    <t>Menú Serranito POLLO ASADO + bebida + tarro</t>
  </si>
  <si>
    <t>Total BOCATAS SIMPLES</t>
  </si>
  <si>
    <t>Menú SMASH BURGER SERRANITO + Bebida Incl.</t>
  </si>
  <si>
    <t>Vegetal Atún</t>
  </si>
  <si>
    <t>Total Vegetal Atún</t>
  </si>
  <si>
    <t>Vegetal Empanado</t>
  </si>
  <si>
    <t>CRUJIPOLLO BBQ NUEVA RECETA</t>
  </si>
  <si>
    <t>Total Vegetal Empanado</t>
  </si>
  <si>
    <t>Menú  Cero15 + PATATAS + bebida + tarro</t>
  </si>
  <si>
    <t>Perrito/Hotdog + Bacon + Queso</t>
  </si>
  <si>
    <t>Total Vegetal Pollo</t>
  </si>
  <si>
    <t>Total Vegetal Pollo Asado</t>
  </si>
  <si>
    <t>Lagrimitas</t>
  </si>
  <si>
    <t>Total Bocatas Vegetales</t>
  </si>
  <si>
    <t>Total Box Alitas</t>
  </si>
  <si>
    <t>PETACA DE PATATAS</t>
  </si>
  <si>
    <t>NUEVO CESAR FRIED! (Patatas no incluidas)</t>
  </si>
  <si>
    <t>Total Box Lagrimitas</t>
  </si>
  <si>
    <t>Postres</t>
  </si>
  <si>
    <t>Tarta de Lotus Cream (200 g)</t>
  </si>
  <si>
    <t>Total Box Nuggets</t>
  </si>
  <si>
    <t>Total Box Papas Pulled Pork</t>
  </si>
  <si>
    <t>MENU DOBLE BARRIERA CHEESE-BACON + PATATAS + LATA</t>
  </si>
  <si>
    <t>Nuggets (8 unid) + patatas + tarro salsa</t>
  </si>
  <si>
    <t>Total Box Patatas</t>
  </si>
  <si>
    <t>BOX Tekillos</t>
  </si>
  <si>
    <t>Tarta Lotus casera</t>
  </si>
  <si>
    <t>Total BOX Tekillos</t>
  </si>
  <si>
    <t>Total Box</t>
  </si>
  <si>
    <t>CESAR FRIED</t>
  </si>
  <si>
    <t>Total CESAR FRIED</t>
  </si>
  <si>
    <t>Menú Serranito EMPANADO + bebida + tarro</t>
  </si>
  <si>
    <t>Total Gipsy</t>
  </si>
  <si>
    <t>Perrito/Hotdog + Bacon.Queso.Cebolla</t>
  </si>
  <si>
    <t>Total Perrito</t>
  </si>
  <si>
    <t>Nuggets</t>
  </si>
  <si>
    <t>Total Perrito/Hotdog + Bacon + Queso</t>
  </si>
  <si>
    <t>Menú CRUJIPOLLO BBQ NUEVA RECETA</t>
  </si>
  <si>
    <t>TEKILLOS + SALSA</t>
  </si>
  <si>
    <t>Total Perrito/Hotdog + Bacon.Queso.Cebolla</t>
  </si>
  <si>
    <t>Total Smash Serrano Burger</t>
  </si>
  <si>
    <t>VEGETAL de POLLO ASAO</t>
  </si>
  <si>
    <t>Total Sofi chicken fried</t>
  </si>
  <si>
    <t>TARTA DE QUESO</t>
  </si>
  <si>
    <t>MENÚ  VEGETAL  + BEBIDA + TARRO</t>
  </si>
  <si>
    <t>HOT DOG SWEET BBQ</t>
  </si>
  <si>
    <t>Total Brioches</t>
  </si>
  <si>
    <t>Tarro Cheddar</t>
  </si>
  <si>
    <t>Total Barriera Cheese burger PM</t>
  </si>
  <si>
    <t>CREA TU CRUJI</t>
  </si>
  <si>
    <t>CREATU BURGER</t>
  </si>
  <si>
    <t>Total Bichota Campeona 2023 Sevilla League</t>
  </si>
  <si>
    <t>Black Limited Edition</t>
  </si>
  <si>
    <t>TARRO EXTRA</t>
  </si>
  <si>
    <t>TARRO ALIOLI EXTRA</t>
  </si>
  <si>
    <t>Total Black Limited Edition</t>
  </si>
  <si>
    <t>Total Cero15</t>
  </si>
  <si>
    <t>Menú  CRUJI ORIGINAL  + bebida</t>
  </si>
  <si>
    <t>TARTA CHOCOLATE DUBAI</t>
  </si>
  <si>
    <t>Total CREA TU CRUJI</t>
  </si>
  <si>
    <t>TARRO OFERTA</t>
  </si>
  <si>
    <t>Tarro Mayonesa OFERTA</t>
  </si>
  <si>
    <t>Total CREATU BURGER</t>
  </si>
  <si>
    <t>Hot Dog Chill BBQ</t>
  </si>
  <si>
    <t>Total Crujipollo BBQ</t>
  </si>
  <si>
    <t>TARRO AMERICAN BURGER</t>
  </si>
  <si>
    <t>Total Crujipollo Original</t>
  </si>
  <si>
    <t>Tarro Bichota</t>
  </si>
  <si>
    <t>Tarro Whisky OFERTA</t>
  </si>
  <si>
    <t>Total Doblesquesos</t>
  </si>
  <si>
    <t>TARRO MOTAZA MIEL BICHOTA</t>
  </si>
  <si>
    <t>Tarro American Burger</t>
  </si>
  <si>
    <t>Total Maka</t>
  </si>
  <si>
    <t>Tarro Mojo Picon</t>
  </si>
  <si>
    <t>Total Sofi</t>
  </si>
  <si>
    <t>Total Burgers</t>
  </si>
  <si>
    <t>Alitas</t>
  </si>
  <si>
    <t>Total BARRIERA CHEESE BURGER + PATATAS</t>
  </si>
  <si>
    <t>Tarro Barbacoa OFERTA</t>
  </si>
  <si>
    <t>Total BICHOTA + LATA  + PATATAS( CAMPEONA 2023 BURGER SEVILLA🏆)</t>
  </si>
  <si>
    <t>MENU DOBLE BARRIERA CHEESE-BACON + PATATAS</t>
  </si>
  <si>
    <t>Total CAMPEONA  SEVILLA BURGER LEAGUE  “LA BICHOTA”</t>
  </si>
  <si>
    <t>Tarro Ketchup OFERTA</t>
  </si>
  <si>
    <t>TARRO WISKY EXTRA</t>
  </si>
  <si>
    <t>Total CERO15</t>
  </si>
  <si>
    <t>Tarro Mayo Sriracha</t>
  </si>
  <si>
    <t>TARRO MAYONESA ORIGINAL SOFI</t>
  </si>
  <si>
    <t>Total CRUJIPOLLO BBQ NUEVA RECETA</t>
  </si>
  <si>
    <t>SERRANISSIMO PULLED PORK</t>
  </si>
  <si>
    <t>TARRO CHEDAR LIQUIDO</t>
  </si>
  <si>
    <t>Total CRUJIPOLLO ORIGINAL</t>
  </si>
  <si>
    <t>Total Dobles Quesos</t>
  </si>
  <si>
    <t>Tarro Ranchera</t>
  </si>
  <si>
    <t>Total MAKA</t>
  </si>
  <si>
    <t>Total Menú  Cero15 + PATATAS + bebida + tarro</t>
  </si>
  <si>
    <t>Total Menú  CRUJI ORIGINAL  + bebida</t>
  </si>
  <si>
    <t>TARRO BBQ EXTRA</t>
  </si>
  <si>
    <t>Tarro Salsa Especial</t>
  </si>
  <si>
    <t>Total Menú CRUJIPOLLO BBQ NUEVA RECETA</t>
  </si>
  <si>
    <t>TARRO KETCHUP EXTRA</t>
  </si>
  <si>
    <t>Total MENU DOBLE BARRIERA CHEESE-BACON + PATATAS</t>
  </si>
  <si>
    <t>Total MENU DOBLE BARRIERA CHEESE-BACON + PATATAS + LATA</t>
  </si>
  <si>
    <t>Total Menú Dobles Quesos +PATATAS + bebida + tarro</t>
  </si>
  <si>
    <t>Total Burgers &amp; MENU</t>
  </si>
  <si>
    <t>Total PETACA DE PATATAS</t>
  </si>
  <si>
    <t>Total ENTRANTES</t>
  </si>
  <si>
    <t>Total Alitas</t>
  </si>
  <si>
    <t>Total Lagrimitas</t>
  </si>
  <si>
    <t>Total Nuggets (8 unid) + patatas + tarro salsa</t>
  </si>
  <si>
    <t>Total Patatas</t>
  </si>
  <si>
    <t>Total Patatas + PULLED PORK</t>
  </si>
  <si>
    <t>Total ENTRANTES Y COMPLEMENTOS</t>
  </si>
  <si>
    <t>Total Nuggets</t>
  </si>
  <si>
    <t>Total TEKILLOS + SALSA</t>
  </si>
  <si>
    <t>Total Las Box</t>
  </si>
  <si>
    <t>Total Gipsy Smash</t>
  </si>
  <si>
    <t>Total Hot Dog Chill BBQ</t>
  </si>
  <si>
    <t>Total HOT DOG SWEET BBQ</t>
  </si>
  <si>
    <t>Total Menú SMASH BURGER SERRANITO + Bebida Incl.</t>
  </si>
  <si>
    <t>Total NUEVO ! Sofi Chicken Fried</t>
  </si>
  <si>
    <t>Total NUEVO CESAR FRIED! (Patatas no incluidas)</t>
  </si>
  <si>
    <t>Total SMASH BURGER SERRANITO</t>
  </si>
  <si>
    <t>Total SOFI CHICKEN FRIED TOP!</t>
  </si>
  <si>
    <t>Total NUEVOS BRIOCHS!!</t>
  </si>
  <si>
    <t>Total TARTA CHOCOLATE DUBAI</t>
  </si>
  <si>
    <t>Total Tarta de Lotus Cream (200 g)</t>
  </si>
  <si>
    <t>Total TARTA DE QUESO</t>
  </si>
  <si>
    <t>Total Tarta Lotus casera</t>
  </si>
  <si>
    <t>Total Postres</t>
  </si>
  <si>
    <t>Total Tarro Alioli OFERTA</t>
  </si>
  <si>
    <t>Total TARRO ALIOLI ORIGINAL SOFI</t>
  </si>
  <si>
    <t>Total TARRO AMERICAN BURGER</t>
  </si>
  <si>
    <t>Total Tarro Bichota</t>
  </si>
  <si>
    <t>Total Tarro Cheddar</t>
  </si>
  <si>
    <t>Total TARRO KETCHUP</t>
  </si>
  <si>
    <t>Total TARRO MAYO SRIRACHA</t>
  </si>
  <si>
    <t>Total TARRO MAYONESA ORIGINAL SOFI</t>
  </si>
  <si>
    <t>Total TARRO MOTAZA MIEL BICHOTA</t>
  </si>
  <si>
    <t>Total Salsas</t>
  </si>
  <si>
    <t>Total SERRANISSIMO PULLED PORK</t>
  </si>
  <si>
    <t>Total Serranito Pollo</t>
  </si>
  <si>
    <t>Total Serranito Pollo Asado</t>
  </si>
  <si>
    <t>Total Serranito Pollo Empanado</t>
  </si>
  <si>
    <t>Total Serranito Solomillo</t>
  </si>
  <si>
    <t>Total Serranitos</t>
  </si>
  <si>
    <t>Total Jakiniño + patatas</t>
  </si>
  <si>
    <t>Total MENÚ  VEGETAL  + BEBIDA + TARRO</t>
  </si>
  <si>
    <t>Total Menú Jakiniño + bebida + tarro</t>
  </si>
  <si>
    <t>Total Menú Serranito + bebida + tarro</t>
  </si>
  <si>
    <t>Total Menú Serranito EMPANADO + bebida + tarro</t>
  </si>
  <si>
    <t>Total Menú Serranito POLLO ASADO + bebida + tarro</t>
  </si>
  <si>
    <t>Total SERRANITO de POLLO</t>
  </si>
  <si>
    <t>Total SERRANITO de POLLO + patatas</t>
  </si>
  <si>
    <t>Total Serranito EMPANADO + patatas</t>
  </si>
  <si>
    <t>Total Serranito POLLO ASADO + patatas</t>
  </si>
  <si>
    <t>Total Serranito SOLOMILLO  + patatas</t>
  </si>
  <si>
    <t>Total VEGETAL de POLLO ASAO</t>
  </si>
  <si>
    <t>Total VEGETAL de POLLO ASAO + patatas</t>
  </si>
  <si>
    <t>Total SERRANITOS &amp; BAGUETTES by SOFI</t>
  </si>
  <si>
    <t>Total TARRO ALIOLI EXTRA</t>
  </si>
  <si>
    <t>Total Tarro American Burger</t>
  </si>
  <si>
    <t>Total TARRO BBQ EXTRA</t>
  </si>
  <si>
    <t>Total TARRO CHEDAR LIQUIDO</t>
  </si>
  <si>
    <t>Total TARRO KETCHUP EXTRA</t>
  </si>
  <si>
    <t>Total Tarro Mayo Sriracha</t>
  </si>
  <si>
    <t>Total Tarro Mojo Picon</t>
  </si>
  <si>
    <t>Total Tarro Ranchera</t>
  </si>
  <si>
    <t>Total Tarro Salsa Especial</t>
  </si>
  <si>
    <t>Total TARRO WISKY EXTRA</t>
  </si>
  <si>
    <t>Total TARRO EXTRA</t>
  </si>
  <si>
    <t>Total Tarro Barbacoa OFERTA</t>
  </si>
  <si>
    <t>Total Tarro Ketchup OFERTA</t>
  </si>
  <si>
    <t>Total Tarro Mayonesa OFERTA</t>
  </si>
  <si>
    <t>Total Tarro Whisky OFERTA</t>
  </si>
  <si>
    <t>Total TARRO OFERTA</t>
  </si>
  <si>
    <t>Suma total</t>
  </si>
  <si>
    <r>
      <rPr>
        <rFont val="Calibri"/>
        <b/>
        <color theme="1"/>
        <sz val="12.0"/>
        <u/>
      </rPr>
      <t>Instrucciones:</t>
    </r>
    <r>
      <rPr>
        <rFont val="Calibri"/>
        <b val="0"/>
        <color theme="1"/>
        <sz val="12.0"/>
        <u/>
      </rPr>
      <t xml:space="preserve">
1. Solo editar sobre las celdas en blanco y naranja 
2. Si se pone aperitivo de cortesía con la bebida rellenar en la celda naranja (MEDIA del coste de aperitivos)
3. Meter IVA </t>
    </r>
  </si>
  <si>
    <t xml:space="preserve">Coste aperitivo </t>
  </si>
  <si>
    <t>Coste total</t>
  </si>
  <si>
    <t>Coste apertivo</t>
  </si>
  <si>
    <t>Coste bebida</t>
  </si>
  <si>
    <t>PVP con IVA</t>
  </si>
  <si>
    <t>Coste de Producto%</t>
  </si>
  <si>
    <t>CERVEZAS</t>
  </si>
  <si>
    <t>REFRESCOS</t>
  </si>
  <si>
    <t>Copas de vino</t>
  </si>
  <si>
    <t>AGUILA Y ORO APLICANDO UN 10% DE MERMA</t>
  </si>
  <si>
    <t xml:space="preserve">Botellas de vino </t>
  </si>
  <si>
    <t>Beneficio bruto promedio</t>
  </si>
  <si>
    <t>SALSAS PROPIAS</t>
  </si>
  <si>
    <t>ALIOLI</t>
  </si>
  <si>
    <t>E.1</t>
  </si>
  <si>
    <t>Cantidad Fabricación</t>
  </si>
  <si>
    <t>CLARA PASTEURIZADA</t>
  </si>
  <si>
    <t>Precio Base</t>
  </si>
  <si>
    <t>HUEVO PASTEURIZADO</t>
  </si>
  <si>
    <t>Nº de Raciones según receta</t>
  </si>
  <si>
    <t xml:space="preserve">Alioli 8kg 
Ajo 5,19€/kg 
150gr ajo 
160gr Sal  
90gr Vinagre 
1LClara 
1LHuevo 
5,2L aceite girasol </t>
  </si>
  <si>
    <t xml:space="preserve">MAYONESA </t>
  </si>
  <si>
    <t>E.2</t>
  </si>
  <si>
    <t xml:space="preserve">MAYONESA 8kg 
150gr ajo 
160gr Sal  
90gr Vinagre 
1LClara 
1LHuevo 
5,2L aceite girasol </t>
  </si>
  <si>
    <t xml:space="preserve">MOJO PICON </t>
  </si>
  <si>
    <t>E.3</t>
  </si>
  <si>
    <t>Mojo picón</t>
  </si>
  <si>
    <t>Aceite</t>
  </si>
  <si>
    <t>180ml de vinagre</t>
  </si>
  <si>
    <t>Pimiento Rojo</t>
  </si>
  <si>
    <t>Especias</t>
  </si>
  <si>
    <t>Ajos</t>
  </si>
  <si>
    <t>Pan aguado para reblandecer</t>
  </si>
  <si>
    <t>Thermomix 8-9</t>
  </si>
  <si>
    <t>Hasta que quede cremoso .</t>
  </si>
  <si>
    <t>Opcional añadir para expesor más pan.</t>
  </si>
  <si>
    <t>Cantidad total 1,5kg</t>
  </si>
  <si>
    <t>SALSA TRUFA</t>
  </si>
  <si>
    <t>SALSA WISKY</t>
  </si>
  <si>
    <t xml:space="preserve">Se pocha en aceite ajo 5min 
Se deja enfriar 
Añadir y Mezclar vino y caldo de carne 
Batir a mano 
Hervir 
Dejar enfriar . 
Batir con batidora 
Colar . 
Total : 2L </t>
  </si>
  <si>
    <t>ELABORACIONES PROPIAS</t>
  </si>
  <si>
    <t>MECHADA DE CERDO</t>
  </si>
  <si>
    <t>Chicharrón de Cadiz 10kg</t>
  </si>
  <si>
    <t>Reduce un 35%</t>
  </si>
  <si>
    <t>25gr orégano (8,85/kg)</t>
  </si>
  <si>
    <t>200gr sal</t>
  </si>
  <si>
    <t>20gr pimienta negra</t>
  </si>
  <si>
    <t>200gr ajo</t>
  </si>
  <si>
    <t>500ml litro vinagre</t>
  </si>
  <si>
    <t>1 y 500ml de agua</t>
  </si>
  <si>
    <t>Moler</t>
  </si>
  <si>
    <t>Macerar 24h</t>
  </si>
  <si>
    <t>Hornear 200gr unos 40min sin precalentar horno</t>
  </si>
  <si>
    <t>POSTRE LOTUS</t>
  </si>
  <si>
    <t>MECHADA</t>
  </si>
  <si>
    <t>SE MARINA TODO</t>
  </si>
  <si>
    <t>HORNO 170 GRADOS , UNA HORA Y MEDIA</t>
  </si>
  <si>
    <t>COSTE</t>
  </si>
  <si>
    <t>%MARGEN</t>
  </si>
  <si>
    <t>OPCION</t>
  </si>
  <si>
    <t>Puzzle</t>
  </si>
  <si>
    <t>Estrella</t>
  </si>
  <si>
    <t>Vaca</t>
  </si>
  <si>
    <t>BAGUETTES</t>
  </si>
  <si>
    <t>Column 5</t>
  </si>
  <si>
    <t>Columna 1</t>
  </si>
  <si>
    <r>
      <rPr>
        <color rgb="FF1155CC"/>
        <u/>
      </rPr>
      <t>SERRANO EMPANADO</t>
    </r>
    <r>
      <rPr>
        <color rgb="FF000000"/>
      </rPr>
      <t xml:space="preserve"> + 3 Q</t>
    </r>
  </si>
  <si>
    <r>
      <rPr>
        <color rgb="FF1155CC"/>
        <u/>
      </rPr>
      <t>SERRANO POLLO</t>
    </r>
    <r>
      <rPr/>
      <t xml:space="preserve"> + 3 Q</t>
    </r>
  </si>
  <si>
    <r>
      <rPr>
        <color rgb="FF1155CC"/>
        <u/>
      </rPr>
      <t>SERRANO POLLO ASADO</t>
    </r>
    <r>
      <rPr>
        <color rgb="FF000000"/>
      </rPr>
      <t xml:space="preserve"> + 3 Q</t>
    </r>
  </si>
  <si>
    <t>SERRANO SOLOMILLO + 3 Q</t>
  </si>
  <si>
    <t>Perro</t>
  </si>
  <si>
    <t>SIMPLE POLLO</t>
  </si>
  <si>
    <t>NAVIDAD</t>
  </si>
  <si>
    <t>% MARGEN</t>
  </si>
  <si>
    <t>Columna 2</t>
  </si>
  <si>
    <t xml:space="preserve">BOX TEKILLOS </t>
  </si>
  <si>
    <t>Nueva BURGER + BLACK  EDICIÓN LIMITADA patatas incluidas</t>
  </si>
  <si>
    <t xml:space="preserve">PRUEBA PATATAS </t>
  </si>
  <si>
    <t>CARTUCHO PATATAS EXTRA</t>
  </si>
  <si>
    <t>TARROS SALSAS</t>
  </si>
  <si>
    <t>% MARGEN.2</t>
  </si>
  <si>
    <t>Patatas Bravas</t>
  </si>
  <si>
    <t xml:space="preserve">TARRO SALSA BICHOTA </t>
  </si>
  <si>
    <t>TARRO MAYO TRUFA</t>
  </si>
  <si>
    <t>TARRO WISKY</t>
  </si>
  <si>
    <t>TARRO SALSA AMERICANA</t>
  </si>
  <si>
    <t xml:space="preserve">TARRO MOJO PICON </t>
  </si>
  <si>
    <t>TARRO BARBACOA</t>
  </si>
  <si>
    <t>TARRO MAYONESA</t>
  </si>
  <si>
    <t>TARRO ALIOLI</t>
  </si>
  <si>
    <t>TARRO MAYONESA EXTRA</t>
  </si>
  <si>
    <t xml:space="preserve">SIMPLE DE POLLO </t>
  </si>
  <si>
    <r>
      <rPr>
        <rFont val="Arial"/>
        <color rgb="FF1155CC"/>
        <u/>
      </rPr>
      <t xml:space="preserve">SERRANO </t>
    </r>
    <r>
      <rPr>
        <rFont val="Arial"/>
        <color rgb="FF000000"/>
      </rPr>
      <t xml:space="preserve">PULLED PORK </t>
    </r>
  </si>
  <si>
    <t>REVISAR EN LOCAL</t>
  </si>
  <si>
    <t>8 nugets</t>
  </si>
  <si>
    <t>BOX TEKILLOS</t>
  </si>
  <si>
    <t xml:space="preserve">PATATAS CARTUCHO </t>
  </si>
  <si>
    <t>BOX PATATAS PULLED</t>
  </si>
  <si>
    <t>SERRANO DE POLLO</t>
  </si>
  <si>
    <t xml:space="preserve">SERRANO POLLO ASADO </t>
  </si>
  <si>
    <t xml:space="preserve">SERRANO PULLED PORK </t>
  </si>
  <si>
    <t>SERRANO MECHADA</t>
  </si>
  <si>
    <t xml:space="preserve">RESUMEN </t>
  </si>
  <si>
    <t xml:space="preserve">VEGETAL POLLO </t>
  </si>
  <si>
    <t xml:space="preserve">PULLED BRIOCH / CHEESE STEACK </t>
  </si>
  <si>
    <t>GYPSI BRIOCHE</t>
  </si>
  <si>
    <t xml:space="preserve">INDICE 26 </t>
  </si>
  <si>
    <t>CESAR BRIOCHE ASADO</t>
  </si>
  <si>
    <t>INDICE 26</t>
  </si>
  <si>
    <t>CESAR BRIOCHE</t>
  </si>
  <si>
    <t xml:space="preserve">XMAS CHICKEN CRUNCH SUB </t>
  </si>
  <si>
    <t>BRIOCH TEMPORADA NAVIDAD</t>
  </si>
  <si>
    <t xml:space="preserve">HOTDOG SIMPLE </t>
  </si>
  <si>
    <t>NO SE VENDE POR UBER</t>
  </si>
  <si>
    <t>HOTDOG BACON QUESO</t>
  </si>
  <si>
    <t>NO SE VENDE LOCAL</t>
  </si>
  <si>
    <t>PERRITO+ CHEDAR LIQUIDO+ CEBOLLA CARAMELO + BBQ</t>
  </si>
  <si>
    <t>SUB CALAMARES</t>
  </si>
  <si>
    <t xml:space="preserve">TARTA DE QUESO </t>
  </si>
  <si>
    <t>TARTA DUBAI</t>
  </si>
  <si>
    <t xml:space="preserve">BURGER DOBLES QUESOS </t>
  </si>
  <si>
    <t>BURGER CERO15</t>
  </si>
  <si>
    <t xml:space="preserve">BURGER CALLEJERA </t>
  </si>
  <si>
    <t>EN PRUEBAS PARA LANZAR</t>
  </si>
  <si>
    <t xml:space="preserve">MENU CALLEJERA + PATATAS </t>
  </si>
  <si>
    <t>BURGER BARRIERA</t>
  </si>
  <si>
    <t>BURGER KAROL</t>
  </si>
  <si>
    <t>BURGER MAKA</t>
  </si>
  <si>
    <t xml:space="preserve">DADDY </t>
  </si>
  <si>
    <t xml:space="preserve">REVISAR REVISAR REVISAR </t>
  </si>
  <si>
    <t>ERROR SALSA BICHOTA</t>
  </si>
  <si>
    <t>ERRO CHICHARRON</t>
  </si>
  <si>
    <t xml:space="preserve">CRUJIPOLLO BBQ </t>
  </si>
  <si>
    <t>PRUEBAS</t>
  </si>
  <si>
    <t>PRUEBAS BEST BOCATA</t>
  </si>
  <si>
    <t>PRUEBAS CHURRASCO</t>
  </si>
  <si>
    <t>PRECIO  2</t>
  </si>
  <si>
    <t>TARRO MOJO PICON</t>
  </si>
  <si>
    <t>TARRO BBQ</t>
  </si>
  <si>
    <t>TARRO AMERICANA</t>
  </si>
  <si>
    <t>TARRO BICHOTA</t>
  </si>
  <si>
    <t>AJUSTAR</t>
  </si>
  <si>
    <r>
      <rPr>
        <color rgb="FF1155CC"/>
        <u/>
      </rPr>
      <t>SERRANO EMPANADO</t>
    </r>
    <r>
      <rPr>
        <color rgb="FF000000"/>
      </rPr>
      <t xml:space="preserve"> + 3 Q</t>
    </r>
  </si>
  <si>
    <r>
      <rPr>
        <color rgb="FF1155CC"/>
        <u/>
      </rPr>
      <t>SERRANO POLLO</t>
    </r>
    <r>
      <rPr/>
      <t xml:space="preserve"> + 3 Q</t>
    </r>
  </si>
  <si>
    <r>
      <rPr>
        <color rgb="FF1155CC"/>
        <u/>
      </rPr>
      <t>SERRANO POLLO ASADO</t>
    </r>
    <r>
      <rPr>
        <color rgb="FF000000"/>
      </rPr>
      <t xml:space="preserve"> + 3 Q</t>
    </r>
  </si>
  <si>
    <t>RETIRADA</t>
  </si>
  <si>
    <r>
      <rPr>
        <color rgb="FF1155CC"/>
        <u/>
      </rPr>
      <t>SERRANO POLLO</t>
    </r>
    <r>
      <rPr/>
      <t xml:space="preserve"> + 3 Q</t>
    </r>
  </si>
  <si>
    <r>
      <rPr>
        <color rgb="FF1155CC"/>
        <u/>
      </rPr>
      <t>SERRANO POLLO ASADO</t>
    </r>
    <r>
      <rPr>
        <color rgb="FF000000"/>
      </rPr>
      <t xml:space="preserve"> + 3 Q</t>
    </r>
  </si>
  <si>
    <r>
      <rPr>
        <color rgb="FF1155CC"/>
        <u/>
      </rPr>
      <t>SERRANO EMPANADO</t>
    </r>
    <r>
      <rPr>
        <color rgb="FF000000"/>
      </rPr>
      <t xml:space="preserve"> + 3 Q</t>
    </r>
  </si>
  <si>
    <t xml:space="preserve">RETIRADA TEMP. </t>
  </si>
  <si>
    <t xml:space="preserve">NO VENDER </t>
  </si>
  <si>
    <t>VENDER</t>
  </si>
  <si>
    <t>NO VENDER</t>
  </si>
  <si>
    <t>ENSALADA CAPRESE CON PESTO CASERO</t>
  </si>
  <si>
    <t>Tomate de temporada</t>
  </si>
  <si>
    <t>Mozzarella fresca</t>
  </si>
  <si>
    <t>Albahaca fresca</t>
  </si>
  <si>
    <t>Pan rústico rebanada</t>
  </si>
  <si>
    <t>Aceite de oliva virgen extra</t>
  </si>
  <si>
    <t>Sal fina</t>
  </si>
  <si>
    <t>1. Lavar y cortar el tomate en rodajas de medio centímetro</t>
  </si>
  <si>
    <t xml:space="preserve">2. Cortar la mozzarella fresca en rodajas similares					</t>
  </si>
  <si>
    <t xml:space="preserve">3. Tostar el pan rústico en horno o plancha hasta que esté dorado y crujiente.					</t>
  </si>
  <si>
    <t xml:space="preserve">4. Disponer en el plato las rodajas de tomate y mozzarella de forma alterna, en círculo o abanico.					</t>
  </si>
  <si>
    <t xml:space="preserve">5. Salpimentar ligeramente.					</t>
  </si>
  <si>
    <t>6. Añadir el pesto por encima de la mozzarella o en puntos alrededor del plato.</t>
  </si>
  <si>
    <t>7. Decorar con hojas de albahaca fresca</t>
  </si>
  <si>
    <t>8. Finalizar con un hilo fino de aceite de oliva virgen extra</t>
  </si>
  <si>
    <t>9. Servir acompañado del pan crujiente en el lateral o en recipiente aparte.</t>
  </si>
  <si>
    <t>Pesto casero (M&amp;P)</t>
  </si>
  <si>
    <t>Anacardos / Nueces</t>
  </si>
  <si>
    <t>Queso curado (Grana/Parmesano)</t>
  </si>
  <si>
    <t>Ajo</t>
  </si>
  <si>
    <t>Pimienta negra molida</t>
  </si>
  <si>
    <t>1. Usar hojas de albahaca frescas, lavadas y bien secas.</t>
  </si>
  <si>
    <t>2. Tostar ligeramente los frutos secos para realzar sabor.</t>
  </si>
  <si>
    <t>3. Retirar germen del ajo para evitar amargor.</t>
  </si>
  <si>
    <t>4. Triturar en orden: ajo y sal → frutos secos → albahaca → queso</t>
  </si>
  <si>
    <t>5. Añadir el aceite poco a poco hasta ligar la salsa.</t>
  </si>
  <si>
    <t>6. Textura: cremosa, no líquida, color verde brillante.</t>
  </si>
  <si>
    <t>7. Conservar en frío máx. 5 °C, cubrir con aceite.</t>
  </si>
  <si>
    <t xml:space="preserve">          Vida útil: 48–72 h, posible congelación en porciones.</t>
  </si>
  <si>
    <t>Nombre del plato</t>
  </si>
  <si>
    <t>Taco de Birria</t>
  </si>
  <si>
    <t>Ajo Pelado</t>
  </si>
  <si>
    <t xml:space="preserve"> Nombre Elaboración 1 (M&amp;P)</t>
  </si>
  <si>
    <t xml:space="preserve"> Nombre Elaboración 2 (M&amp;P)</t>
  </si>
  <si>
    <t xml:space="preserve"> Nombre Elaboración 3 (M&amp;P)</t>
  </si>
  <si>
    <t>Nombre Elaboración 4 (M&amp;P)</t>
  </si>
  <si>
    <t>E.4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</si>
</sst>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[$€-1]"/>
    <numFmt numFmtId="165" formatCode="#,##0.00\ &quot;€&quot;"/>
    <numFmt numFmtId="166" formatCode="#,##0.000"/>
    <numFmt numFmtId="167" formatCode="d mmmm"/>
    <numFmt numFmtId="168" formatCode="D/M/YYYY"/>
    <numFmt numFmtId="169" formatCode="0.0%"/>
    <numFmt numFmtId="170" formatCode="#,##0.00&quot;€&quot;"/>
    <numFmt numFmtId="171" formatCode="0.000"/>
    <numFmt numFmtId="172" formatCode="0.0"/>
  </numFmts>
  <fonts count="58">
    <font>
      <sz val="10.0"/>
      <color rgb="FF000000"/>
      <name val="Arial"/>
      <scheme val="minor"/>
    </font>
    <font>
      <color theme="1"/>
      <name val="Arial"/>
    </font>
    <font>
      <sz val="12.0"/>
      <color rgb="FF434343"/>
      <name val="Roboto"/>
    </font>
    <font>
      <sz val="12.0"/>
      <color theme="1"/>
      <name val="Calibri"/>
    </font>
    <font>
      <sz val="12.0"/>
      <color rgb="FF434343"/>
      <name val="Calibri"/>
    </font>
    <font>
      <b/>
      <color theme="1"/>
      <name val="Arial"/>
    </font>
    <font>
      <sz val="12.0"/>
      <color rgb="FF434343"/>
      <name val="Arial"/>
    </font>
    <font>
      <b/>
      <sz val="12.0"/>
      <color rgb="FF434343"/>
      <name val="Arial"/>
    </font>
    <font>
      <color theme="1"/>
      <name val="Arial"/>
      <scheme val="minor"/>
    </font>
    <font>
      <b/>
      <color rgb="FFFFFFFF"/>
      <name val="Arial"/>
    </font>
    <font>
      <b/>
      <sz val="11.0"/>
      <color rgb="FFFFFFFF"/>
      <name val="Arial"/>
    </font>
    <font>
      <b/>
      <color theme="1"/>
      <name val="Arial"/>
      <scheme val="minor"/>
    </font>
    <font>
      <b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strike/>
      <color theme="1"/>
      <name val="Arial"/>
    </font>
    <font>
      <strike/>
      <color theme="1"/>
      <name val="Arial"/>
      <scheme val="minor"/>
    </font>
    <font>
      <b/>
      <strike/>
      <color theme="1"/>
      <name val="Arial"/>
    </font>
    <font>
      <b/>
      <strike/>
      <color rgb="FF980000"/>
      <name val="Arial"/>
    </font>
    <font>
      <b/>
      <color rgb="FF980000"/>
      <name val="Arial"/>
    </font>
    <font>
      <b/>
      <sz val="11.0"/>
      <color rgb="FF222222"/>
      <name val="Arial"/>
    </font>
    <font>
      <b/>
      <sz val="13.0"/>
      <color rgb="FFFFFFFF"/>
      <name val="Calibri"/>
    </font>
    <font>
      <b/>
      <sz val="15.0"/>
      <color theme="1"/>
      <name val="Calibri"/>
    </font>
    <font/>
    <font>
      <b/>
      <sz val="13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b/>
      <color rgb="FFFFFFFF"/>
      <name val="Calibri"/>
    </font>
    <font>
      <b/>
      <sz val="10.0"/>
      <color rgb="FFFFFFFF"/>
      <name val="Calibri"/>
    </font>
    <font>
      <u/>
      <color rgb="FF0000FF"/>
    </font>
    <font>
      <b/>
      <sz val="11.0"/>
      <color theme="1"/>
      <name val="Calibri"/>
    </font>
    <font>
      <b/>
      <color theme="1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color rgb="FFFF0000"/>
      <name val="Arial"/>
    </font>
    <font>
      <b/>
      <u/>
      <color rgb="FF0000FF"/>
      <name val="Arial"/>
    </font>
    <font>
      <b/>
      <i/>
      <color theme="1"/>
      <name val="Arial"/>
      <scheme val="minor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color theme="1"/>
      <name val="Calibri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Arial"/>
    </font>
    <font>
      <u/>
      <color rgb="FF0000FF"/>
      <name val="Arial"/>
    </font>
    <font>
      <u/>
      <color rgb="FF0000FF"/>
      <name val="Calibri"/>
    </font>
    <font>
      <b/>
      <color rgb="FFCC4125"/>
      <name val="Calibri"/>
    </font>
    <font>
      <b/>
      <color rgb="FF000000"/>
      <name val="Calibri"/>
    </font>
    <font>
      <u/>
      <color rgb="FF0000FF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FE598"/>
        <bgColor rgb="FFFFE59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</fills>
  <borders count="5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284E3F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284E3F"/>
      </left>
      <right style="thin">
        <color rgb="FFFFE598"/>
      </right>
      <top style="thin">
        <color rgb="FFFFE598"/>
      </top>
      <bottom style="thin">
        <color rgb="FFFFE598"/>
      </bottom>
    </border>
    <border>
      <left style="thin">
        <color rgb="FFFFE598"/>
      </left>
      <right style="thin">
        <color rgb="FFFFE598"/>
      </right>
      <top style="thin">
        <color rgb="FFFFE598"/>
      </top>
      <bottom style="thin">
        <color rgb="FFFFE598"/>
      </bottom>
    </border>
    <border>
      <left style="medium">
        <color rgb="FF000000"/>
      </left>
      <right style="medium">
        <color rgb="FF000000"/>
      </right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thick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1" xfId="0" applyAlignment="1" applyBorder="1" applyFont="1" applyNumberFormat="1">
      <alignment horizontal="center" readingOrder="0" vertical="center"/>
    </xf>
    <xf borderId="2" fillId="3" fontId="2" numFmtId="0" xfId="0" applyAlignment="1" applyBorder="1" applyFill="1" applyFont="1">
      <alignment readingOrder="0" shrinkToFit="0" wrapText="0"/>
    </xf>
    <xf borderId="3" fillId="4" fontId="2" numFmtId="0" xfId="0" applyAlignment="1" applyBorder="1" applyFill="1" applyFont="1">
      <alignment readingOrder="0" shrinkToFit="0" wrapText="0"/>
    </xf>
    <xf borderId="2" fillId="3" fontId="3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3" fontId="3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4" fillId="5" fontId="2" numFmtId="0" xfId="0" applyAlignment="1" applyBorder="1" applyFill="1" applyFont="1">
      <alignment shrinkToFit="0" wrapText="0"/>
    </xf>
    <xf borderId="4" fillId="5" fontId="3" numFmtId="4" xfId="0" applyAlignment="1" applyBorder="1" applyFont="1" applyNumberFormat="1">
      <alignment readingOrder="0"/>
    </xf>
    <xf borderId="4" fillId="5" fontId="3" numFmtId="164" xfId="0" applyAlignment="1" applyBorder="1" applyFont="1" applyNumberFormat="1">
      <alignment readingOrder="0"/>
    </xf>
    <xf borderId="2" fillId="3" fontId="4" numFmtId="0" xfId="0" applyAlignment="1" applyBorder="1" applyFont="1">
      <alignment readingOrder="0" shrinkToFit="0" vertical="bottom" wrapText="0"/>
    </xf>
    <xf borderId="5" fillId="3" fontId="4" numFmtId="0" xfId="0" applyAlignment="1" applyBorder="1" applyFont="1">
      <alignment readingOrder="0" shrinkToFit="0" vertical="bottom" wrapText="0"/>
    </xf>
    <xf borderId="2" fillId="3" fontId="3" numFmtId="4" xfId="0" applyAlignment="1" applyBorder="1" applyFont="1" applyNumberFormat="1">
      <alignment readingOrder="0" vertical="bottom"/>
    </xf>
    <xf borderId="2" fillId="3" fontId="3" numFmtId="164" xfId="0" applyAlignment="1" applyBorder="1" applyFont="1" applyNumberFormat="1">
      <alignment readingOrder="0" vertical="bottom"/>
    </xf>
    <xf borderId="2" fillId="3" fontId="4" numFmtId="0" xfId="0" applyAlignment="1" applyBorder="1" applyFont="1">
      <alignment shrinkToFit="0" vertical="bottom" wrapText="0"/>
    </xf>
    <xf borderId="6" fillId="6" fontId="4" numFmtId="0" xfId="0" applyAlignment="1" applyBorder="1" applyFill="1" applyFont="1">
      <alignment shrinkToFit="0" vertical="bottom" wrapText="0"/>
    </xf>
    <xf borderId="7" fillId="6" fontId="4" numFmtId="4" xfId="0" applyAlignment="1" applyBorder="1" applyFont="1" applyNumberFormat="1">
      <alignment horizontal="right" shrinkToFit="0" vertical="bottom" wrapText="0"/>
    </xf>
    <xf borderId="1" fillId="0" fontId="1" numFmtId="0" xfId="0" applyAlignment="1" applyBorder="1" applyFont="1">
      <alignment horizontal="center" vertical="center"/>
    </xf>
    <xf borderId="7" fillId="6" fontId="4" numFmtId="164" xfId="0" applyAlignment="1" applyBorder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center" readingOrder="0" vertical="center"/>
    </xf>
    <xf borderId="4" fillId="5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4" fillId="0" fontId="3" numFmtId="4" xfId="0" applyAlignment="1" applyBorder="1" applyFont="1" applyNumberFormat="1">
      <alignment readingOrder="0" vertical="bottom"/>
    </xf>
    <xf borderId="4" fillId="0" fontId="6" numFmtId="164" xfId="0" applyAlignment="1" applyBorder="1" applyFont="1" applyNumberFormat="1">
      <alignment horizontal="right" shrinkToFit="0" vertical="bottom" wrapText="0"/>
    </xf>
    <xf borderId="2" fillId="3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shrinkToFit="0" vertical="bottom" wrapText="0"/>
    </xf>
    <xf borderId="2" fillId="0" fontId="6" numFmtId="4" xfId="0" applyAlignment="1" applyBorder="1" applyFont="1" applyNumberFormat="1">
      <alignment horizontal="right" readingOrder="0" shrinkToFit="0" vertical="bottom" wrapText="0"/>
    </xf>
    <xf borderId="2" fillId="0" fontId="6" numFmtId="4" xfId="0" applyAlignment="1" applyBorder="1" applyFont="1" applyNumberFormat="1">
      <alignment horizontal="right" shrinkToFit="0" vertical="bottom" wrapText="0"/>
    </xf>
    <xf borderId="4" fillId="0" fontId="6" numFmtId="164" xfId="0" applyAlignment="1" applyBorder="1" applyFont="1" applyNumberFormat="1">
      <alignment horizontal="right" readingOrder="0" shrinkToFit="0" vertical="bottom" wrapText="0"/>
    </xf>
    <xf borderId="5" fillId="0" fontId="6" numFmtId="0" xfId="0" applyAlignment="1" applyBorder="1" applyFont="1">
      <alignment shrinkToFit="0" vertical="bottom" wrapText="0"/>
    </xf>
    <xf borderId="2" fillId="0" fontId="3" numFmtId="4" xfId="0" applyAlignment="1" applyBorder="1" applyFont="1" applyNumberFormat="1">
      <alignment readingOrder="0" vertical="bottom"/>
    </xf>
    <xf borderId="2" fillId="0" fontId="6" numFmtId="16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left" readingOrder="0" vertical="center"/>
    </xf>
    <xf borderId="8" fillId="5" fontId="6" numFmtId="0" xfId="0" applyAlignment="1" applyBorder="1" applyFont="1">
      <alignment shrinkToFit="0" vertical="bottom" wrapText="0"/>
    </xf>
    <xf borderId="4" fillId="5" fontId="6" numFmtId="4" xfId="0" applyAlignment="1" applyBorder="1" applyFont="1" applyNumberFormat="1">
      <alignment horizontal="right" readingOrder="0" shrinkToFit="0" vertical="bottom" wrapText="0"/>
    </xf>
    <xf borderId="4" fillId="5" fontId="6" numFmtId="4" xfId="0" applyAlignment="1" applyBorder="1" applyFont="1" applyNumberFormat="1">
      <alignment horizontal="right" shrinkToFit="0" vertical="bottom" wrapText="0"/>
    </xf>
    <xf borderId="5" fillId="3" fontId="6" numFmtId="0" xfId="0" applyAlignment="1" applyBorder="1" applyFont="1">
      <alignment readingOrder="0" shrinkToFit="0" vertical="bottom" wrapText="0"/>
    </xf>
    <xf borderId="2" fillId="3" fontId="6" numFmtId="4" xfId="0" applyAlignment="1" applyBorder="1" applyFont="1" applyNumberFormat="1">
      <alignment horizontal="right" readingOrder="0" shrinkToFit="0" vertical="bottom" wrapText="0"/>
    </xf>
    <xf borderId="2" fillId="3" fontId="6" numFmtId="164" xfId="0" applyAlignment="1" applyBorder="1" applyFont="1" applyNumberFormat="1">
      <alignment horizontal="right" readingOrder="0" shrinkToFit="0" vertical="bottom" wrapText="0"/>
    </xf>
    <xf borderId="4" fillId="5" fontId="4" numFmtId="0" xfId="0" applyAlignment="1" applyBorder="1" applyFont="1">
      <alignment readingOrder="0" shrinkToFit="0" vertical="bottom" wrapText="0"/>
    </xf>
    <xf borderId="8" fillId="5" fontId="4" numFmtId="0" xfId="0" applyAlignment="1" applyBorder="1" applyFont="1">
      <alignment shrinkToFit="0" vertical="bottom" wrapText="0"/>
    </xf>
    <xf borderId="4" fillId="5" fontId="4" numFmtId="4" xfId="0" applyAlignment="1" applyBorder="1" applyFont="1" applyNumberFormat="1">
      <alignment horizontal="right" readingOrder="0" shrinkToFit="0" vertical="bottom" wrapText="0"/>
    </xf>
    <xf borderId="4" fillId="5" fontId="4" numFmtId="164" xfId="0" applyAlignment="1" applyBorder="1" applyFont="1" applyNumberFormat="1">
      <alignment horizontal="right" readingOrder="0" shrinkToFit="0" vertical="bottom" wrapText="0"/>
    </xf>
    <xf borderId="5" fillId="7" fontId="4" numFmtId="0" xfId="0" applyAlignment="1" applyBorder="1" applyFill="1" applyFont="1">
      <alignment shrinkToFit="0" vertical="bottom" wrapText="0"/>
    </xf>
    <xf borderId="2" fillId="7" fontId="3" numFmtId="4" xfId="0" applyAlignment="1" applyBorder="1" applyFont="1" applyNumberFormat="1">
      <alignment readingOrder="0" vertical="bottom"/>
    </xf>
    <xf borderId="1" fillId="7" fontId="1" numFmtId="0" xfId="0" applyAlignment="1" applyBorder="1" applyFont="1">
      <alignment horizontal="center" vertical="center"/>
    </xf>
    <xf borderId="2" fillId="7" fontId="3" numFmtId="164" xfId="0" applyAlignment="1" applyBorder="1" applyFont="1" applyNumberFormat="1">
      <alignment readingOrder="0" vertical="bottom"/>
    </xf>
    <xf borderId="1" fillId="7" fontId="1" numFmtId="164" xfId="0" applyAlignment="1" applyBorder="1" applyFont="1" applyNumberFormat="1">
      <alignment horizontal="center" vertical="center"/>
    </xf>
    <xf borderId="0" fillId="7" fontId="1" numFmtId="164" xfId="0" applyAlignment="1" applyFont="1" applyNumberFormat="1">
      <alignment horizontal="center" vertical="center"/>
    </xf>
    <xf borderId="9" fillId="8" fontId="4" numFmtId="0" xfId="0" applyAlignment="1" applyBorder="1" applyFill="1" applyFont="1">
      <alignment shrinkToFit="0" vertical="bottom" wrapText="0"/>
    </xf>
    <xf borderId="10" fillId="7" fontId="4" numFmtId="0" xfId="0" applyAlignment="1" applyBorder="1" applyFont="1">
      <alignment shrinkToFit="0" vertical="bottom" wrapText="0"/>
    </xf>
    <xf borderId="9" fillId="7" fontId="3" numFmtId="4" xfId="0" applyAlignment="1" applyBorder="1" applyFont="1" applyNumberFormat="1">
      <alignment vertical="bottom"/>
    </xf>
    <xf borderId="9" fillId="7" fontId="3" numFmtId="164" xfId="0" applyAlignment="1" applyBorder="1" applyFont="1" applyNumberFormat="1">
      <alignment vertical="bottom"/>
    </xf>
    <xf borderId="4" fillId="5" fontId="4" numFmtId="0" xfId="0" applyAlignment="1" applyBorder="1" applyFont="1">
      <alignment shrinkToFit="0" vertical="bottom" wrapText="0"/>
    </xf>
    <xf borderId="8" fillId="5" fontId="6" numFmtId="0" xfId="0" applyAlignment="1" applyBorder="1" applyFont="1">
      <alignment readingOrder="0" shrinkToFit="0" vertical="bottom" wrapText="0"/>
    </xf>
    <xf borderId="4" fillId="5" fontId="6" numFmtId="3" xfId="0" applyAlignment="1" applyBorder="1" applyFont="1" applyNumberFormat="1">
      <alignment horizontal="right" shrinkToFit="0" vertical="bottom" wrapText="0"/>
    </xf>
    <xf borderId="4" fillId="5" fontId="6" numFmtId="164" xfId="0" applyAlignment="1" applyBorder="1" applyFont="1" applyNumberFormat="1">
      <alignment horizontal="right" shrinkToFit="0" vertical="bottom" wrapText="0"/>
    </xf>
    <xf borderId="11" fillId="9" fontId="4" numFmtId="0" xfId="0" applyAlignment="1" applyBorder="1" applyFill="1" applyFont="1">
      <alignment shrinkToFit="0" vertical="bottom" wrapText="0"/>
    </xf>
    <xf borderId="12" fillId="9" fontId="4" numFmtId="4" xfId="0" applyAlignment="1" applyBorder="1" applyFont="1" applyNumberFormat="1">
      <alignment horizontal="right" shrinkToFit="0" vertical="bottom" wrapText="0"/>
    </xf>
    <xf borderId="12" fillId="9" fontId="4" numFmtId="164" xfId="0" applyAlignment="1" applyBorder="1" applyFont="1" applyNumberFormat="1">
      <alignment horizontal="right" shrinkToFit="0" vertical="bottom" wrapText="0"/>
    </xf>
    <xf borderId="11" fillId="9" fontId="4" numFmtId="0" xfId="0" applyAlignment="1" applyBorder="1" applyFont="1">
      <alignment readingOrder="0" shrinkToFit="0" vertical="bottom" wrapText="0"/>
    </xf>
    <xf borderId="12" fillId="9" fontId="4" numFmtId="4" xfId="0" applyAlignment="1" applyBorder="1" applyFont="1" applyNumberFormat="1">
      <alignment horizontal="right" readingOrder="0" shrinkToFit="0" vertical="bottom" wrapText="0"/>
    </xf>
    <xf borderId="12" fillId="9" fontId="4" numFmtId="164" xfId="0" applyAlignment="1" applyBorder="1" applyFont="1" applyNumberFormat="1">
      <alignment horizontal="right" readingOrder="0" shrinkToFit="0" vertical="bottom" wrapText="0"/>
    </xf>
    <xf borderId="4" fillId="5" fontId="3" numFmtId="4" xfId="0" applyAlignment="1" applyBorder="1" applyFont="1" applyNumberFormat="1">
      <alignment readingOrder="0" vertical="bottom"/>
    </xf>
    <xf borderId="4" fillId="5" fontId="3" numFmtId="164" xfId="0" applyAlignment="1" applyBorder="1" applyFont="1" applyNumberFormat="1">
      <alignment readingOrder="0" vertical="bottom"/>
    </xf>
    <xf borderId="8" fillId="5" fontId="4" numFmtId="0" xfId="0" applyAlignment="1" applyBorder="1" applyFont="1">
      <alignment readingOrder="0" shrinkToFit="0" vertical="bottom" wrapText="0"/>
    </xf>
    <xf borderId="8" fillId="5" fontId="7" numFmtId="0" xfId="0" applyAlignment="1" applyBorder="1" applyFont="1">
      <alignment shrinkToFit="0" vertical="bottom" wrapText="0"/>
    </xf>
    <xf borderId="4" fillId="5" fontId="6" numFmtId="164" xfId="0" applyAlignment="1" applyBorder="1" applyFont="1" applyNumberFormat="1">
      <alignment horizontal="right" readingOrder="0" shrinkToFit="0" vertical="bottom" wrapText="0"/>
    </xf>
    <xf borderId="5" fillId="3" fontId="6" numFmtId="0" xfId="0" applyAlignment="1" applyBorder="1" applyFont="1">
      <alignment shrinkToFit="0" vertical="bottom" wrapText="0"/>
    </xf>
    <xf borderId="2" fillId="3" fontId="6" numFmtId="164" xfId="0" applyAlignment="1" applyBorder="1" applyFont="1" applyNumberFormat="1">
      <alignment horizontal="right" shrinkToFit="0" vertical="bottom" wrapText="0"/>
    </xf>
    <xf borderId="4" fillId="5" fontId="3" numFmtId="0" xfId="0" applyAlignment="1" applyBorder="1" applyFont="1">
      <alignment readingOrder="0" vertical="bottom"/>
    </xf>
    <xf borderId="4" fillId="5" fontId="4" numFmtId="4" xfId="0" applyAlignment="1" applyBorder="1" applyFont="1" applyNumberFormat="1">
      <alignment horizontal="right" shrinkToFit="0" vertical="bottom" wrapText="0"/>
    </xf>
    <xf borderId="4" fillId="5" fontId="4" numFmtId="16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center" readingOrder="0" vertical="center"/>
    </xf>
    <xf borderId="2" fillId="3" fontId="2" numFmtId="0" xfId="0" applyAlignment="1" applyBorder="1" applyFont="1">
      <alignment shrinkToFit="0" wrapText="0"/>
    </xf>
    <xf borderId="5" fillId="3" fontId="2" numFmtId="0" xfId="0" applyAlignment="1" applyBorder="1" applyFont="1">
      <alignment shrinkToFit="0" wrapText="0"/>
    </xf>
    <xf borderId="2" fillId="3" fontId="2" numFmtId="4" xfId="0" applyAlignment="1" applyBorder="1" applyFont="1" applyNumberFormat="1">
      <alignment horizontal="right" readingOrder="0" shrinkToFit="0" wrapText="0"/>
    </xf>
    <xf borderId="0" fillId="0" fontId="5" numFmtId="0" xfId="0" applyAlignment="1" applyFont="1">
      <alignment horizontal="center" readingOrder="0" shrinkToFit="0" vertical="center" wrapText="0"/>
    </xf>
    <xf borderId="5" fillId="0" fontId="6" numFmtId="0" xfId="0" applyAlignment="1" applyBorder="1" applyFont="1">
      <alignment readingOrder="0" shrinkToFit="0" vertical="bottom" wrapText="0"/>
    </xf>
    <xf borderId="2" fillId="0" fontId="6" numFmtId="164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left" readingOrder="0" vertical="center"/>
    </xf>
    <xf borderId="4" fillId="5" fontId="3" numFmtId="0" xfId="0" applyAlignment="1" applyBorder="1" applyFont="1">
      <alignment readingOrder="0"/>
    </xf>
    <xf borderId="8" fillId="5" fontId="2" numFmtId="0" xfId="0" applyAlignment="1" applyBorder="1" applyFont="1">
      <alignment readingOrder="0" shrinkToFit="0" wrapText="0"/>
    </xf>
    <xf borderId="13" fillId="0" fontId="8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7" fillId="6" fontId="3" numFmtId="4" xfId="0" applyAlignment="1" applyBorder="1" applyFont="1" applyNumberFormat="1">
      <alignment readingOrder="0" vertical="bottom"/>
    </xf>
    <xf borderId="7" fillId="6" fontId="3" numFmtId="164" xfId="0" applyAlignment="1" applyBorder="1" applyFont="1" applyNumberFormat="1">
      <alignment readingOrder="0" vertical="bottom"/>
    </xf>
    <xf borderId="10" fillId="8" fontId="4" numFmtId="0" xfId="0" applyAlignment="1" applyBorder="1" applyFont="1">
      <alignment readingOrder="0" shrinkToFit="0" vertical="bottom" wrapText="0"/>
    </xf>
    <xf borderId="9" fillId="8" fontId="3" numFmtId="4" xfId="0" applyAlignment="1" applyBorder="1" applyFont="1" applyNumberFormat="1">
      <alignment readingOrder="0" vertical="bottom"/>
    </xf>
    <xf borderId="9" fillId="8" fontId="4" numFmtId="164" xfId="0" applyAlignment="1" applyBorder="1" applyFont="1" applyNumberFormat="1">
      <alignment horizontal="right" shrinkToFit="0" vertical="bottom" wrapText="0"/>
    </xf>
    <xf borderId="9" fillId="7" fontId="4" numFmtId="0" xfId="0" applyAlignment="1" applyBorder="1" applyFont="1">
      <alignment readingOrder="0" shrinkToFit="0" vertical="bottom" wrapText="0"/>
    </xf>
    <xf borderId="10" fillId="7" fontId="4" numFmtId="0" xfId="0" applyAlignment="1" applyBorder="1" applyFont="1">
      <alignment readingOrder="0" shrinkToFit="0" vertical="bottom" wrapText="0"/>
    </xf>
    <xf borderId="9" fillId="7" fontId="4" numFmtId="4" xfId="0" applyAlignment="1" applyBorder="1" applyFont="1" applyNumberFormat="1">
      <alignment horizontal="right" shrinkToFit="0" vertical="bottom" wrapText="0"/>
    </xf>
    <xf borderId="9" fillId="7" fontId="4" numFmtId="164" xfId="0" applyAlignment="1" applyBorder="1" applyFont="1" applyNumberFormat="1">
      <alignment horizontal="right" shrinkToFit="0" vertical="bottom" wrapText="0"/>
    </xf>
    <xf borderId="2" fillId="3" fontId="6" numFmtId="3" xfId="0" applyAlignment="1" applyBorder="1" applyFont="1" applyNumberFormat="1">
      <alignment horizontal="right" shrinkToFit="0" vertical="bottom" wrapText="0"/>
    </xf>
    <xf borderId="5" fillId="3" fontId="4" numFmtId="0" xfId="0" applyAlignment="1" applyBorder="1" applyFont="1">
      <alignment shrinkToFit="0" vertical="bottom" wrapText="0"/>
    </xf>
    <xf borderId="2" fillId="3" fontId="4" numFmtId="4" xfId="0" applyAlignment="1" applyBorder="1" applyFont="1" applyNumberFormat="1">
      <alignment horizontal="right" shrinkToFit="0" vertical="bottom" wrapText="0"/>
    </xf>
    <xf borderId="2" fillId="3" fontId="4" numFmtId="164" xfId="0" applyAlignment="1" applyBorder="1" applyFont="1" applyNumberFormat="1">
      <alignment horizontal="right" shrinkToFit="0" vertical="bottom" wrapText="0"/>
    </xf>
    <xf borderId="2" fillId="3" fontId="2" numFmtId="4" xfId="0" applyAlignment="1" applyBorder="1" applyFont="1" applyNumberFormat="1">
      <alignment horizontal="right" shrinkToFit="0" wrapText="0"/>
    </xf>
    <xf borderId="2" fillId="3" fontId="2" numFmtId="164" xfId="0" applyAlignment="1" applyBorder="1" applyFont="1" applyNumberFormat="1">
      <alignment horizontal="right" shrinkToFit="0" wrapText="0"/>
    </xf>
    <xf borderId="8" fillId="5" fontId="2" numFmtId="0" xfId="0" applyAlignment="1" applyBorder="1" applyFont="1">
      <alignment shrinkToFit="0" wrapText="0"/>
    </xf>
    <xf borderId="4" fillId="5" fontId="2" numFmtId="4" xfId="0" applyAlignment="1" applyBorder="1" applyFont="1" applyNumberFormat="1">
      <alignment horizontal="right" shrinkToFit="0" wrapText="0"/>
    </xf>
    <xf borderId="4" fillId="5" fontId="2" numFmtId="164" xfId="0" applyAlignment="1" applyBorder="1" applyFont="1" applyNumberFormat="1">
      <alignment horizontal="right" shrinkToFit="0" wrapText="0"/>
    </xf>
    <xf borderId="4" fillId="5" fontId="6" numFmtId="164" xfId="0" applyAlignment="1" applyBorder="1" applyFont="1" applyNumberFormat="1">
      <alignment horizontal="right" shrinkToFit="0" vertical="bottom" wrapText="0"/>
    </xf>
    <xf borderId="2" fillId="3" fontId="6" numFmtId="4" xfId="0" applyAlignment="1" applyBorder="1" applyFont="1" applyNumberFormat="1">
      <alignment horizontal="right" shrinkToFit="0" vertical="bottom" wrapText="0"/>
    </xf>
    <xf borderId="2" fillId="3" fontId="3" numFmtId="164" xfId="0" applyAlignment="1" applyBorder="1" applyFont="1" applyNumberFormat="1">
      <alignment vertical="bottom"/>
    </xf>
    <xf borderId="4" fillId="5" fontId="6" numFmtId="164" xfId="0" applyAlignment="1" applyBorder="1" applyFont="1" applyNumberFormat="1">
      <alignment horizontal="right" readingOrder="0" shrinkToFit="0" vertical="bottom" wrapText="0"/>
    </xf>
    <xf borderId="14" fillId="10" fontId="4" numFmtId="0" xfId="0" applyAlignment="1" applyBorder="1" applyFill="1" applyFont="1">
      <alignment shrinkToFit="0" vertical="bottom" wrapText="0"/>
    </xf>
    <xf borderId="15" fillId="10" fontId="3" numFmtId="4" xfId="0" applyAlignment="1" applyBorder="1" applyFont="1" applyNumberFormat="1">
      <alignment vertical="bottom"/>
    </xf>
    <xf borderId="15" fillId="10" fontId="3" numFmtId="164" xfId="0" applyAlignment="1" applyBorder="1" applyFont="1" applyNumberFormat="1">
      <alignment vertical="bottom"/>
    </xf>
    <xf borderId="15" fillId="10" fontId="4" numFmtId="4" xfId="0" applyAlignment="1" applyBorder="1" applyFont="1" applyNumberFormat="1">
      <alignment horizontal="right" shrinkToFit="0" vertical="bottom" wrapText="0"/>
    </xf>
    <xf borderId="15" fillId="10" fontId="4" numFmtId="164" xfId="0" applyAlignment="1" applyBorder="1" applyFont="1" applyNumberFormat="1">
      <alignment horizontal="right" shrinkToFit="0" vertical="bottom" wrapText="0"/>
    </xf>
    <xf borderId="2" fillId="3" fontId="3" numFmtId="4" xfId="0" applyAlignment="1" applyBorder="1" applyFont="1" applyNumberFormat="1">
      <alignment vertical="bottom"/>
    </xf>
    <xf borderId="4" fillId="5" fontId="3" numFmtId="4" xfId="0" applyAlignment="1" applyBorder="1" applyFont="1" applyNumberFormat="1">
      <alignment vertical="bottom"/>
    </xf>
    <xf borderId="4" fillId="5" fontId="3" numFmtId="164" xfId="0" applyAlignment="1" applyBorder="1" applyFont="1" applyNumberFormat="1">
      <alignment vertical="bottom"/>
    </xf>
    <xf borderId="13" fillId="0" fontId="1" numFmtId="164" xfId="0" applyAlignment="1" applyBorder="1" applyFont="1" applyNumberFormat="1">
      <alignment horizontal="right" readingOrder="0" vertical="bottom"/>
    </xf>
    <xf borderId="13" fillId="0" fontId="8" numFmtId="164" xfId="0" applyAlignment="1" applyBorder="1" applyFont="1" applyNumberFormat="1">
      <alignment readingOrder="0"/>
    </xf>
    <xf borderId="4" fillId="5" fontId="3" numFmtId="4" xfId="0" applyBorder="1" applyFont="1" applyNumberFormat="1"/>
    <xf borderId="4" fillId="5" fontId="3" numFmtId="164" xfId="0" applyBorder="1" applyFont="1" applyNumberFormat="1"/>
    <xf borderId="2" fillId="3" fontId="3" numFmtId="0" xfId="0" applyBorder="1" applyFont="1"/>
    <xf borderId="2" fillId="3" fontId="3" numFmtId="4" xfId="0" applyBorder="1" applyFont="1" applyNumberFormat="1"/>
    <xf borderId="2" fillId="3" fontId="3" numFmtId="164" xfId="0" applyBorder="1" applyFont="1" applyNumberFormat="1"/>
    <xf borderId="2" fillId="3" fontId="4" numFmtId="4" xfId="0" applyAlignment="1" applyBorder="1" applyFont="1" applyNumberFormat="1">
      <alignment horizontal="right" readingOrder="0" shrinkToFit="0" vertical="bottom" wrapText="0"/>
    </xf>
    <xf borderId="2" fillId="3" fontId="4" numFmtId="164" xfId="0" applyAlignment="1" applyBorder="1" applyFont="1" applyNumberFormat="1">
      <alignment horizontal="right" readingOrder="0" shrinkToFit="0" vertical="bottom" wrapText="0"/>
    </xf>
    <xf borderId="4" fillId="5" fontId="3" numFmtId="0" xfId="0" applyBorder="1" applyFont="1"/>
    <xf borderId="2" fillId="3" fontId="3" numFmtId="0" xfId="0" applyAlignment="1" applyBorder="1" applyFont="1">
      <alignment vertical="bottom"/>
    </xf>
    <xf borderId="4" fillId="5" fontId="6" numFmtId="0" xfId="0" applyAlignment="1" applyBorder="1" applyFont="1">
      <alignment readingOrder="0" shrinkToFit="0" vertical="bottom" wrapText="0"/>
    </xf>
    <xf borderId="8" fillId="5" fontId="7" numFmtId="0" xfId="0" applyAlignment="1" applyBorder="1" applyFont="1">
      <alignment readingOrder="0" shrinkToFit="0" vertical="bottom" wrapText="0"/>
    </xf>
    <xf borderId="5" fillId="3" fontId="7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5" fillId="3" fontId="7" numFmtId="0" xfId="0" applyAlignment="1" applyBorder="1" applyFont="1">
      <alignment readingOrder="0" shrinkToFit="0" vertical="bottom" wrapText="0"/>
    </xf>
    <xf borderId="10" fillId="8" fontId="4" numFmtId="0" xfId="0" applyAlignment="1" applyBorder="1" applyFont="1">
      <alignment shrinkToFit="0" vertical="bottom" wrapText="0"/>
    </xf>
    <xf borderId="9" fillId="8" fontId="3" numFmtId="4" xfId="0" applyAlignment="1" applyBorder="1" applyFont="1" applyNumberFormat="1">
      <alignment vertical="bottom"/>
    </xf>
    <xf borderId="9" fillId="8" fontId="3" numFmtId="164" xfId="0" applyAlignment="1" applyBorder="1" applyFont="1" applyNumberFormat="1">
      <alignment vertical="bottom"/>
    </xf>
    <xf borderId="9" fillId="8" fontId="3" numFmtId="164" xfId="0" applyAlignment="1" applyBorder="1" applyFont="1" applyNumberFormat="1">
      <alignment readingOrder="0" vertical="bottom"/>
    </xf>
    <xf borderId="9" fillId="8" fontId="4" numFmtId="0" xfId="0" applyAlignment="1" applyBorder="1" applyFont="1">
      <alignment readingOrder="0" shrinkToFit="0" vertical="bottom" wrapText="0"/>
    </xf>
    <xf borderId="0" fillId="3" fontId="3" numFmtId="4" xfId="0" applyAlignment="1" applyFont="1" applyNumberFormat="1">
      <alignment horizontal="center" readingOrder="0" vertical="bottom"/>
    </xf>
    <xf borderId="5" fillId="5" fontId="6" numFmtId="0" xfId="0" applyAlignment="1" applyBorder="1" applyFont="1">
      <alignment shrinkToFit="0" vertical="bottom" wrapText="0"/>
    </xf>
    <xf borderId="2" fillId="5" fontId="4" numFmtId="164" xfId="0" applyAlignment="1" applyBorder="1" applyFont="1" applyNumberFormat="1">
      <alignment horizontal="right" shrinkToFit="0" vertical="bottom" wrapText="0"/>
    </xf>
    <xf borderId="10" fillId="3" fontId="4" numFmtId="0" xfId="0" applyAlignment="1" applyBorder="1" applyFont="1">
      <alignment readingOrder="0" shrinkToFit="0" vertical="bottom" wrapText="0"/>
    </xf>
    <xf borderId="0" fillId="3" fontId="4" numFmtId="164" xfId="0" applyAlignment="1" applyFont="1" applyNumberForma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left" readingOrder="0" shrinkToFit="0" vertical="bottom" wrapText="0"/>
    </xf>
    <xf borderId="0" fillId="0" fontId="1" numFmtId="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readingOrder="0" vertical="center"/>
    </xf>
    <xf borderId="16" fillId="0" fontId="1" numFmtId="1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5" fontId="4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7" fillId="0" fontId="1" numFmtId="0" xfId="0" applyAlignment="1" applyBorder="1" applyFont="1">
      <alignment vertical="bottom"/>
    </xf>
    <xf borderId="18" fillId="0" fontId="1" numFmtId="164" xfId="0" applyAlignment="1" applyBorder="1" applyFont="1" applyNumberFormat="1">
      <alignment horizontal="center" vertical="bottom"/>
    </xf>
    <xf borderId="0" fillId="5" fontId="4" numFmtId="0" xfId="0" applyAlignment="1" applyFont="1">
      <alignment horizontal="left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11" fontId="9" numFmtId="0" xfId="0" applyAlignment="1" applyFill="1" applyFont="1">
      <alignment horizontal="center" vertical="center"/>
    </xf>
    <xf borderId="0" fillId="11" fontId="9" numFmtId="164" xfId="0" applyAlignment="1" applyFont="1" applyNumberFormat="1">
      <alignment horizontal="center" vertical="center"/>
    </xf>
    <xf borderId="0" fillId="11" fontId="9" numFmtId="164" xfId="0" applyAlignment="1" applyFont="1" applyNumberFormat="1">
      <alignment horizontal="center" vertical="center"/>
    </xf>
    <xf borderId="0" fillId="11" fontId="9" numFmtId="0" xfId="0" applyAlignment="1" applyFont="1">
      <alignment horizontal="center" readingOrder="0" vertical="center"/>
    </xf>
    <xf borderId="0" fillId="11" fontId="10" numFmtId="10" xfId="0" applyAlignment="1" applyFont="1" applyNumberFormat="1">
      <alignment horizontal="center" vertical="center"/>
    </xf>
    <xf borderId="0" fillId="11" fontId="9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19" fillId="11" fontId="9" numFmtId="0" xfId="0" applyAlignment="1" applyBorder="1" applyFont="1">
      <alignment horizontal="center" vertical="center"/>
    </xf>
    <xf borderId="19" fillId="11" fontId="9" numFmtId="164" xfId="0" applyAlignment="1" applyBorder="1" applyFont="1" applyNumberFormat="1">
      <alignment horizontal="center" vertical="center"/>
    </xf>
    <xf borderId="19" fillId="11" fontId="10" numFmtId="0" xfId="0" applyAlignment="1" applyBorder="1" applyFont="1">
      <alignment horizontal="center" vertical="center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8" numFmtId="0" xfId="0" applyFont="1"/>
    <xf borderId="0" fillId="0" fontId="1" numFmtId="2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165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2" xfId="0" applyAlignment="1" applyFont="1" applyNumberFormat="1">
      <alignment readingOrder="0" vertical="bottom"/>
    </xf>
    <xf borderId="20" fillId="5" fontId="12" numFmtId="0" xfId="0" applyAlignment="1" applyBorder="1" applyFont="1">
      <alignment horizontal="center" readingOrder="0"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0" fillId="11" fontId="10" numFmtId="0" xfId="0" applyAlignment="1" applyFont="1">
      <alignment horizontal="center" readingOrder="0" vertical="center"/>
    </xf>
    <xf borderId="0" fillId="0" fontId="8" numFmtId="164" xfId="0" applyFont="1" applyNumberFormat="1"/>
    <xf borderId="0" fillId="0" fontId="13" numFmtId="2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12" fontId="1" numFmtId="0" xfId="0" applyAlignment="1" applyFill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8" numFmtId="4" xfId="0" applyFont="1" applyNumberFormat="1"/>
    <xf borderId="0" fillId="12" fontId="8" numFmtId="0" xfId="0" applyAlignment="1" applyFont="1">
      <alignment readingOrder="0"/>
    </xf>
    <xf borderId="0" fillId="12" fontId="8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6" numFmtId="0" xfId="0" applyFont="1"/>
    <xf borderId="0" fillId="0" fontId="15" numFmtId="2" xfId="0" applyAlignment="1" applyFont="1" applyNumberFormat="1">
      <alignment vertical="bottom"/>
    </xf>
    <xf borderId="0" fillId="0" fontId="15" numFmtId="164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0" fillId="0" fontId="5" numFmtId="164" xfId="0" applyAlignment="1" applyFont="1" applyNumberFormat="1">
      <alignment vertical="bottom"/>
    </xf>
    <xf borderId="0" fillId="0" fontId="16" numFmtId="0" xfId="0" applyAlignment="1" applyFont="1">
      <alignment readingOrder="0"/>
    </xf>
    <xf borderId="0" fillId="0" fontId="15" numFmtId="164" xfId="0" applyAlignment="1" applyFont="1" applyNumberFormat="1">
      <alignment readingOrder="0" vertical="bottom"/>
    </xf>
    <xf borderId="0" fillId="0" fontId="17" numFmtId="16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11" fontId="20" numFmtId="0" xfId="0" applyFont="1"/>
    <xf borderId="0" fillId="11" fontId="1" numFmtId="0" xfId="0" applyAlignment="1" applyFont="1">
      <alignment vertical="bottom"/>
    </xf>
    <xf borderId="0" fillId="11" fontId="1" numFmtId="164" xfId="0" applyAlignment="1" applyFont="1" applyNumberFormat="1">
      <alignment vertical="bottom"/>
    </xf>
    <xf borderId="0" fillId="11" fontId="1" numFmtId="166" xfId="0" applyAlignment="1" applyFont="1" applyNumberFormat="1">
      <alignment vertical="bottom"/>
    </xf>
    <xf borderId="0" fillId="11" fontId="1" numFmtId="0" xfId="0" applyFont="1"/>
    <xf borderId="0" fillId="11" fontId="21" numFmtId="0" xfId="0" applyAlignment="1" applyFont="1">
      <alignment horizontal="center" vertical="bottom"/>
    </xf>
    <xf borderId="21" fillId="11" fontId="21" numFmtId="0" xfId="0" applyAlignment="1" applyBorder="1" applyFont="1">
      <alignment horizontal="center" vertical="bottom"/>
    </xf>
    <xf borderId="22" fillId="5" fontId="22" numFmtId="4" xfId="0" applyAlignment="1" applyBorder="1" applyFont="1" applyNumberFormat="1">
      <alignment horizontal="center" readingOrder="0" vertical="bottom"/>
    </xf>
    <xf borderId="22" fillId="0" fontId="23" numFmtId="0" xfId="0" applyBorder="1" applyFont="1"/>
    <xf borderId="1" fillId="11" fontId="24" numFmtId="0" xfId="0" applyAlignment="1" applyBorder="1" applyFont="1">
      <alignment horizontal="center" vertical="bottom"/>
    </xf>
    <xf borderId="23" fillId="11" fontId="1" numFmtId="0" xfId="0" applyAlignment="1" applyBorder="1" applyFont="1">
      <alignment vertical="bottom"/>
    </xf>
    <xf borderId="0" fillId="5" fontId="25" numFmtId="0" xfId="0" applyFont="1"/>
    <xf borderId="0" fillId="0" fontId="25" numFmtId="0" xfId="0" applyFont="1"/>
    <xf borderId="0" fillId="0" fontId="25" numFmtId="0" xfId="0" applyAlignment="1" applyFont="1">
      <alignment horizontal="center"/>
    </xf>
    <xf borderId="0" fillId="0" fontId="26" numFmtId="164" xfId="0" applyAlignment="1" applyFont="1" applyNumberFormat="1">
      <alignment horizontal="center"/>
    </xf>
    <xf borderId="0" fillId="0" fontId="25" numFmtId="166" xfId="0" applyFont="1" applyNumberFormat="1"/>
    <xf borderId="0" fillId="5" fontId="27" numFmtId="0" xfId="0" applyAlignment="1" applyFont="1">
      <alignment horizontal="center" shrinkToFit="0" vertical="center" wrapText="1"/>
    </xf>
    <xf borderId="1" fillId="11" fontId="27" numFmtId="0" xfId="0" applyAlignment="1" applyBorder="1" applyFont="1">
      <alignment horizontal="center" shrinkToFit="0" vertical="center" wrapText="1"/>
    </xf>
    <xf borderId="1" fillId="11" fontId="28" numFmtId="164" xfId="0" applyAlignment="1" applyBorder="1" applyFont="1" applyNumberFormat="1">
      <alignment horizontal="center" shrinkToFit="0" vertical="center" wrapText="1"/>
    </xf>
    <xf borderId="1" fillId="11" fontId="27" numFmtId="166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vertical="center"/>
    </xf>
    <xf borderId="0" fillId="0" fontId="29" numFmtId="0" xfId="0" applyAlignment="1" applyFont="1">
      <alignment readingOrder="0"/>
    </xf>
    <xf borderId="0" fillId="5" fontId="27" numFmtId="0" xfId="0" applyAlignment="1" applyFont="1">
      <alignment horizontal="center" vertical="center"/>
    </xf>
    <xf borderId="0" fillId="5" fontId="13" numFmtId="0" xfId="0" applyAlignment="1" applyFont="1">
      <alignment vertical="center"/>
    </xf>
    <xf borderId="1" fillId="5" fontId="13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1" fillId="13" fontId="26" numFmtId="0" xfId="0" applyAlignment="1" applyBorder="1" applyFill="1" applyFont="1">
      <alignment horizontal="center" vertical="center"/>
    </xf>
    <xf borderId="1" fillId="13" fontId="26" numFmtId="164" xfId="0" applyAlignment="1" applyBorder="1" applyFont="1" applyNumberFormat="1">
      <alignment horizontal="center" vertical="center"/>
    </xf>
    <xf borderId="1" fillId="0" fontId="26" numFmtId="166" xfId="0" applyAlignment="1" applyBorder="1" applyFont="1" applyNumberFormat="1">
      <alignment horizontal="center" vertical="center"/>
    </xf>
    <xf borderId="1" fillId="13" fontId="26" numFmtId="10" xfId="0" applyAlignment="1" applyBorder="1" applyFont="1" applyNumberFormat="1">
      <alignment horizontal="center" vertical="center"/>
    </xf>
    <xf borderId="1" fillId="14" fontId="30" numFmtId="4" xfId="0" applyAlignment="1" applyBorder="1" applyFill="1" applyFont="1" applyNumberFormat="1">
      <alignment shrinkToFit="0" vertical="center" wrapText="1"/>
    </xf>
    <xf borderId="24" fillId="13" fontId="31" numFmtId="164" xfId="0" applyAlignment="1" applyBorder="1" applyFont="1" applyNumberFormat="1">
      <alignment horizontal="center" vertical="center"/>
    </xf>
    <xf borderId="18" fillId="0" fontId="23" numFmtId="0" xfId="0" applyBorder="1" applyFont="1"/>
    <xf borderId="1" fillId="4" fontId="13" numFmtId="0" xfId="0" applyAlignment="1" applyBorder="1" applyFont="1">
      <alignment vertical="center"/>
    </xf>
    <xf borderId="1" fillId="4" fontId="26" numFmtId="0" xfId="0" applyAlignment="1" applyBorder="1" applyFont="1">
      <alignment horizontal="center" vertical="center"/>
    </xf>
    <xf borderId="1" fillId="4" fontId="26" numFmtId="164" xfId="0" applyAlignment="1" applyBorder="1" applyFont="1" applyNumberFormat="1">
      <alignment horizontal="center" vertical="center"/>
    </xf>
    <xf borderId="1" fillId="4" fontId="26" numFmtId="166" xfId="0" applyAlignment="1" applyBorder="1" applyFont="1" applyNumberFormat="1">
      <alignment horizontal="center" vertical="center"/>
    </xf>
    <xf borderId="1" fillId="4" fontId="26" numFmtId="10" xfId="0" applyAlignment="1" applyBorder="1" applyFont="1" applyNumberFormat="1">
      <alignment horizontal="center" vertical="center"/>
    </xf>
    <xf borderId="1" fillId="14" fontId="30" numFmtId="0" xfId="0" applyAlignment="1" applyBorder="1" applyFont="1">
      <alignment vertical="center"/>
    </xf>
    <xf borderId="24" fillId="0" fontId="31" numFmtId="165" xfId="0" applyAlignment="1" applyBorder="1" applyFont="1" applyNumberFormat="1">
      <alignment horizontal="center" readingOrder="0" vertical="center"/>
    </xf>
    <xf borderId="1" fillId="5" fontId="13" numFmtId="1" xfId="0" applyAlignment="1" applyBorder="1" applyFont="1" applyNumberFormat="1">
      <alignment vertical="center"/>
    </xf>
    <xf borderId="1" fillId="0" fontId="13" numFmtId="0" xfId="0" applyAlignment="1" applyBorder="1" applyFont="1">
      <alignment readingOrder="0" vertical="center"/>
    </xf>
    <xf borderId="1" fillId="0" fontId="26" numFmtId="166" xfId="0" applyAlignment="1" applyBorder="1" applyFont="1" applyNumberFormat="1">
      <alignment horizontal="center" readingOrder="0" vertical="center"/>
    </xf>
    <xf borderId="25" fillId="14" fontId="25" numFmtId="0" xfId="0" applyAlignment="1" applyBorder="1" applyFont="1">
      <alignment vertical="center"/>
    </xf>
    <xf borderId="26" fillId="14" fontId="25" numFmtId="164" xfId="0" applyAlignment="1" applyBorder="1" applyFont="1" applyNumberFormat="1">
      <alignment horizontal="center" vertical="center"/>
    </xf>
    <xf borderId="27" fillId="0" fontId="23" numFmtId="0" xfId="0" applyBorder="1" applyFont="1"/>
    <xf borderId="1" fillId="13" fontId="26" numFmtId="0" xfId="0" applyAlignment="1" applyBorder="1" applyFont="1">
      <alignment horizontal="center" readingOrder="0" vertical="center"/>
    </xf>
    <xf borderId="28" fillId="14" fontId="25" numFmtId="0" xfId="0" applyAlignment="1" applyBorder="1" applyFont="1">
      <alignment vertical="center"/>
    </xf>
    <xf borderId="0" fillId="0" fontId="25" numFmtId="9" xfId="0" applyAlignment="1" applyFont="1" applyNumberFormat="1">
      <alignment horizontal="center" vertical="center"/>
    </xf>
    <xf borderId="17" fillId="0" fontId="23" numFmtId="0" xfId="0" applyBorder="1" applyFont="1"/>
    <xf borderId="29" fillId="11" fontId="32" numFmtId="0" xfId="0" applyAlignment="1" applyBorder="1" applyFont="1">
      <alignment vertical="center"/>
    </xf>
    <xf borderId="16" fillId="11" fontId="33" numFmtId="4" xfId="0" applyAlignment="1" applyBorder="1" applyFont="1" applyNumberFormat="1">
      <alignment horizontal="center" vertical="center"/>
    </xf>
    <xf borderId="30" fillId="11" fontId="33" numFmtId="0" xfId="0" applyAlignment="1" applyBorder="1" applyFont="1">
      <alignment horizontal="center" vertical="center"/>
    </xf>
    <xf borderId="26" fillId="11" fontId="32" numFmtId="0" xfId="0" applyAlignment="1" applyBorder="1" applyFont="1">
      <alignment vertical="center"/>
    </xf>
    <xf borderId="23" fillId="11" fontId="33" numFmtId="4" xfId="0" applyAlignment="1" applyBorder="1" applyFont="1" applyNumberFormat="1">
      <alignment horizontal="center" vertical="center"/>
    </xf>
    <xf borderId="27" fillId="11" fontId="33" numFmtId="0" xfId="0" applyAlignment="1" applyBorder="1" applyFont="1">
      <alignment horizontal="center" vertical="center"/>
    </xf>
    <xf borderId="26" fillId="11" fontId="32" numFmtId="0" xfId="0" applyAlignment="1" applyBorder="1" applyFont="1">
      <alignment vertical="bottom"/>
    </xf>
    <xf borderId="0" fillId="11" fontId="33" numFmtId="4" xfId="0" applyAlignment="1" applyFont="1" applyNumberFormat="1">
      <alignment horizontal="center" vertical="bottom"/>
    </xf>
    <xf borderId="17" fillId="11" fontId="33" numFmtId="0" xfId="0" applyAlignment="1" applyBorder="1" applyFont="1">
      <alignment horizontal="center" vertical="bottom"/>
    </xf>
    <xf borderId="0" fillId="0" fontId="25" numFmtId="10" xfId="0" applyFont="1" applyNumberFormat="1"/>
    <xf borderId="26" fillId="11" fontId="32" numFmtId="0" xfId="0" applyBorder="1" applyFont="1"/>
    <xf borderId="23" fillId="11" fontId="33" numFmtId="4" xfId="0" applyAlignment="1" applyBorder="1" applyFont="1" applyNumberFormat="1">
      <alignment horizontal="center" vertical="bottom"/>
    </xf>
    <xf borderId="27" fillId="11" fontId="33" numFmtId="0" xfId="0" applyAlignment="1" applyBorder="1" applyFont="1">
      <alignment horizontal="center" vertical="bottom"/>
    </xf>
    <xf borderId="23" fillId="11" fontId="33" numFmtId="9" xfId="0" applyAlignment="1" applyBorder="1" applyFont="1" applyNumberFormat="1">
      <alignment horizontal="center" vertical="bottom"/>
    </xf>
    <xf borderId="0" fillId="15" fontId="8" numFmtId="0" xfId="0" applyAlignment="1" applyFill="1" applyFont="1">
      <alignment readingOrder="0"/>
    </xf>
    <xf borderId="0" fillId="15" fontId="8" numFmtId="0" xfId="0" applyFont="1"/>
    <xf borderId="0" fillId="5" fontId="9" numFmtId="0" xfId="0" applyAlignment="1" applyFont="1">
      <alignment horizontal="center" vertical="bottom"/>
    </xf>
    <xf borderId="29" fillId="11" fontId="9" numFmtId="0" xfId="0" applyAlignment="1" applyBorder="1" applyFont="1">
      <alignment horizontal="center" vertical="bottom"/>
    </xf>
    <xf borderId="16" fillId="0" fontId="23" numFmtId="0" xfId="0" applyBorder="1" applyFont="1"/>
    <xf borderId="30" fillId="0" fontId="23" numFmtId="0" xfId="0" applyBorder="1" applyFont="1"/>
    <xf borderId="0" fillId="5" fontId="1" numFmtId="0" xfId="0" applyAlignment="1" applyFont="1">
      <alignment shrinkToFit="0" vertical="center" wrapText="1"/>
    </xf>
    <xf borderId="29" fillId="0" fontId="1" numFmtId="0" xfId="0" applyAlignment="1" applyBorder="1" applyFont="1">
      <alignment shrinkToFit="0" vertical="center" wrapText="1"/>
    </xf>
    <xf borderId="0" fillId="5" fontId="1" numFmtId="0" xfId="0" applyAlignment="1" applyFont="1">
      <alignment vertical="center"/>
    </xf>
    <xf borderId="3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6" fillId="0" fontId="1" numFmtId="0" xfId="0" applyAlignment="1" applyBorder="1" applyFont="1">
      <alignment vertical="center"/>
    </xf>
    <xf borderId="23" fillId="0" fontId="23" numFmtId="0" xfId="0" applyBorder="1" applyFont="1"/>
    <xf borderId="31" fillId="0" fontId="34" numFmtId="0" xfId="0" applyAlignment="1" applyBorder="1" applyFont="1">
      <alignment horizontal="center" readingOrder="0" vertical="center"/>
    </xf>
    <xf borderId="0" fillId="5" fontId="1" numFmtId="0" xfId="0" applyFont="1"/>
    <xf borderId="0" fillId="0" fontId="1" numFmtId="0" xfId="0" applyAlignment="1" applyFont="1">
      <alignment horizontal="center"/>
    </xf>
    <xf borderId="0" fillId="0" fontId="13" numFmtId="164" xfId="0" applyAlignment="1" applyFont="1" applyNumberFormat="1">
      <alignment horizontal="center"/>
    </xf>
    <xf borderId="32" fillId="11" fontId="35" numFmtId="164" xfId="0" applyAlignment="1" applyBorder="1" applyFont="1" applyNumberFormat="1">
      <alignment readingOrder="0" vertical="bottom"/>
    </xf>
    <xf borderId="24" fillId="4" fontId="11" numFmtId="0" xfId="0" applyAlignment="1" applyBorder="1" applyFont="1">
      <alignment readingOrder="0"/>
    </xf>
    <xf borderId="33" fillId="0" fontId="23" numFmtId="0" xfId="0" applyBorder="1" applyFont="1"/>
    <xf borderId="31" fillId="0" fontId="16" numFmtId="0" xfId="0" applyAlignment="1" applyBorder="1" applyFont="1">
      <alignment readingOrder="0"/>
    </xf>
    <xf borderId="31" fillId="0" fontId="11" numFmtId="0" xfId="0" applyAlignment="1" applyBorder="1" applyFont="1">
      <alignment readingOrder="0"/>
    </xf>
    <xf borderId="31" fillId="0" fontId="8" numFmtId="0" xfId="0" applyBorder="1" applyFont="1"/>
    <xf borderId="26" fillId="0" fontId="8" numFmtId="0" xfId="0" applyBorder="1" applyFont="1"/>
    <xf borderId="0" fillId="0" fontId="36" numFmtId="0" xfId="0" applyAlignment="1" applyFont="1">
      <alignment readingOrder="0"/>
    </xf>
    <xf borderId="0" fillId="0" fontId="36" numFmtId="0" xfId="0" applyFont="1"/>
    <xf borderId="0" fillId="0" fontId="36" numFmtId="167" xfId="0" applyAlignment="1" applyFont="1" applyNumberFormat="1">
      <alignment readingOrder="0"/>
    </xf>
    <xf borderId="0" fillId="0" fontId="8" numFmtId="0" xfId="0" applyAlignment="1" applyFont="1">
      <alignment horizontal="left"/>
    </xf>
    <xf borderId="0" fillId="0" fontId="8" numFmtId="3" xfId="0" applyAlignment="1" applyFont="1" applyNumberFormat="1">
      <alignment horizontal="left"/>
    </xf>
    <xf borderId="0" fillId="0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2" xfId="0" applyAlignment="1" applyFont="1" applyNumberFormat="1">
      <alignment vertical="bottom"/>
    </xf>
    <xf borderId="34" fillId="16" fontId="37" numFmtId="0" xfId="0" applyAlignment="1" applyBorder="1" applyFill="1" applyFont="1">
      <alignment vertical="bottom"/>
    </xf>
    <xf borderId="35" fillId="0" fontId="23" numFmtId="0" xfId="0" applyBorder="1" applyFont="1"/>
    <xf borderId="36" fillId="0" fontId="23" numFmtId="0" xfId="0" applyBorder="1" applyFont="1"/>
    <xf borderId="37" fillId="14" fontId="38" numFmtId="0" xfId="0" applyAlignment="1" applyBorder="1" applyFont="1">
      <alignment horizontal="center" vertical="bottom"/>
    </xf>
    <xf borderId="37" fillId="17" fontId="3" numFmtId="2" xfId="0" applyAlignment="1" applyBorder="1" applyFill="1" applyFont="1" applyNumberFormat="1">
      <alignment horizontal="center" vertical="bottom"/>
    </xf>
    <xf borderId="0" fillId="0" fontId="1" numFmtId="168" xfId="0" applyAlignment="1" applyFont="1" applyNumberFormat="1">
      <alignment vertical="bottom"/>
    </xf>
    <xf borderId="37" fillId="0" fontId="3" numFmtId="9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38" fillId="5" fontId="1" numFmtId="2" xfId="0" applyAlignment="1" applyBorder="1" applyFont="1" applyNumberFormat="1">
      <alignment vertical="bottom"/>
    </xf>
    <xf borderId="34" fillId="0" fontId="39" numFmtId="2" xfId="0" applyAlignment="1" applyBorder="1" applyFont="1" applyNumberFormat="1">
      <alignment horizontal="center" vertical="bottom"/>
    </xf>
    <xf borderId="35" fillId="0" fontId="40" numFmtId="2" xfId="0" applyAlignment="1" applyBorder="1" applyFont="1" applyNumberFormat="1">
      <alignment horizontal="center" vertical="bottom"/>
    </xf>
    <xf borderId="36" fillId="0" fontId="41" numFmtId="0" xfId="0" applyAlignment="1" applyBorder="1" applyFont="1">
      <alignment horizontal="center" vertical="bottom"/>
    </xf>
    <xf borderId="37" fillId="18" fontId="42" numFmtId="2" xfId="0" applyAlignment="1" applyBorder="1" applyFill="1" applyFont="1" applyNumberFormat="1">
      <alignment horizontal="center" vertical="bottom"/>
    </xf>
    <xf borderId="39" fillId="18" fontId="1" numFmtId="2" xfId="0" applyAlignment="1" applyBorder="1" applyFont="1" applyNumberFormat="1">
      <alignment vertical="bottom"/>
    </xf>
    <xf borderId="40" fillId="18" fontId="1" numFmtId="2" xfId="0" applyAlignment="1" applyBorder="1" applyFont="1" applyNumberFormat="1">
      <alignment vertical="bottom"/>
    </xf>
    <xf borderId="41" fillId="6" fontId="1" numFmtId="2" xfId="0" applyAlignment="1" applyBorder="1" applyFont="1" applyNumberFormat="1">
      <alignment vertical="bottom"/>
    </xf>
    <xf borderId="0" fillId="14" fontId="3" numFmtId="2" xfId="0" applyAlignment="1" applyFont="1" applyNumberFormat="1">
      <alignment horizontal="center" vertical="bottom"/>
    </xf>
    <xf borderId="0" fillId="11" fontId="1" numFmtId="2" xfId="0" applyAlignment="1" applyFont="1" applyNumberFormat="1">
      <alignment vertical="bottom"/>
    </xf>
    <xf borderId="42" fillId="14" fontId="3" numFmtId="169" xfId="0" applyAlignment="1" applyBorder="1" applyFont="1" applyNumberFormat="1">
      <alignment horizontal="center" vertical="bottom"/>
    </xf>
    <xf borderId="43" fillId="6" fontId="1" numFmtId="2" xfId="0" applyAlignment="1" applyBorder="1" applyFont="1" applyNumberFormat="1">
      <alignment vertical="bottom"/>
    </xf>
    <xf borderId="44" fillId="6" fontId="1" numFmtId="2" xfId="0" applyAlignment="1" applyBorder="1" applyFont="1" applyNumberFormat="1">
      <alignment vertical="bottom"/>
    </xf>
    <xf borderId="39" fillId="11" fontId="1" numFmtId="2" xfId="0" applyAlignment="1" applyBorder="1" applyFont="1" applyNumberFormat="1">
      <alignment vertical="bottom"/>
    </xf>
    <xf borderId="45" fillId="11" fontId="1" numFmtId="2" xfId="0" applyAlignment="1" applyBorder="1" applyFont="1" applyNumberFormat="1">
      <alignment vertical="bottom"/>
    </xf>
    <xf borderId="0" fillId="15" fontId="1" numFmtId="2" xfId="0" applyAlignment="1" applyFont="1" applyNumberFormat="1">
      <alignment vertical="bottom"/>
    </xf>
    <xf borderId="0" fillId="0" fontId="3" numFmtId="2" xfId="0" applyAlignment="1" applyFont="1" applyNumberFormat="1">
      <alignment horizontal="center" vertical="bottom"/>
    </xf>
    <xf borderId="42" fillId="0" fontId="3" numFmtId="169" xfId="0" applyAlignment="1" applyBorder="1" applyFont="1" applyNumberFormat="1">
      <alignment horizontal="center" vertical="bottom"/>
    </xf>
    <xf borderId="29" fillId="0" fontId="42" numFmtId="0" xfId="0" applyAlignment="1" applyBorder="1" applyFont="1">
      <alignment horizontal="center" vertical="bottom"/>
    </xf>
    <xf borderId="26" fillId="0" fontId="23" numFmtId="0" xfId="0" applyBorder="1" applyFont="1"/>
    <xf borderId="46" fillId="6" fontId="1" numFmtId="2" xfId="0" applyAlignment="1" applyBorder="1" applyFont="1" applyNumberFormat="1">
      <alignment vertical="bottom"/>
    </xf>
    <xf borderId="45" fillId="0" fontId="1" numFmtId="2" xfId="0" applyAlignment="1" applyBorder="1" applyFont="1" applyNumberFormat="1">
      <alignment vertical="bottom"/>
    </xf>
    <xf borderId="45" fillId="0" fontId="3" numFmtId="2" xfId="0" applyAlignment="1" applyBorder="1" applyFont="1" applyNumberFormat="1">
      <alignment horizontal="center" vertical="bottom"/>
    </xf>
    <xf borderId="47" fillId="0" fontId="3" numFmtId="169" xfId="0" applyAlignment="1" applyBorder="1" applyFont="1" applyNumberFormat="1">
      <alignment horizontal="center" vertical="bottom"/>
    </xf>
    <xf borderId="39" fillId="0" fontId="3" numFmtId="10" xfId="0" applyAlignment="1" applyBorder="1" applyFont="1" applyNumberFormat="1">
      <alignment horizontal="center" vertical="bottom"/>
    </xf>
    <xf borderId="39" fillId="0" fontId="23" numFmtId="0" xfId="0" applyBorder="1" applyFont="1"/>
    <xf borderId="1" fillId="4" fontId="26" numFmtId="166" xfId="0" applyAlignment="1" applyBorder="1" applyFont="1" applyNumberFormat="1">
      <alignment horizontal="center" readingOrder="0" vertical="center"/>
    </xf>
    <xf borderId="0" fillId="5" fontId="31" numFmtId="0" xfId="0" applyAlignment="1" applyFont="1">
      <alignment horizontal="center" shrinkToFit="0" vertical="center" wrapText="1"/>
    </xf>
    <xf borderId="1" fillId="4" fontId="31" numFmtId="0" xfId="0" applyAlignment="1" applyBorder="1" applyFont="1">
      <alignment horizontal="center" shrinkToFit="0" vertical="center" wrapText="1"/>
    </xf>
    <xf borderId="1" fillId="4" fontId="31" numFmtId="0" xfId="0" applyAlignment="1" applyBorder="1" applyFont="1">
      <alignment horizontal="center" readingOrder="0" shrinkToFit="0" vertical="center" wrapText="1"/>
    </xf>
    <xf borderId="1" fillId="4" fontId="43" numFmtId="164" xfId="0" applyAlignment="1" applyBorder="1" applyFont="1" applyNumberFormat="1">
      <alignment horizontal="center" shrinkToFit="0" vertical="center" wrapText="1"/>
    </xf>
    <xf borderId="1" fillId="4" fontId="31" numFmtId="166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1" fillId="5" fontId="1" numFmtId="1" xfId="0" applyAlignment="1" applyBorder="1" applyFont="1" applyNumberFormat="1">
      <alignment vertical="center"/>
    </xf>
    <xf borderId="1" fillId="0" fontId="1" numFmtId="0" xfId="0" applyAlignment="1" applyBorder="1" applyFont="1">
      <alignment readingOrder="0" vertical="center"/>
    </xf>
    <xf borderId="1" fillId="0" fontId="44" numFmtId="166" xfId="0" applyAlignment="1" applyBorder="1" applyFont="1" applyNumberFormat="1">
      <alignment horizontal="center" readingOrder="0" vertical="center"/>
    </xf>
    <xf borderId="1" fillId="0" fontId="44" numFmtId="166" xfId="0" applyAlignment="1" applyBorder="1" applyFont="1" applyNumberFormat="1">
      <alignment horizontal="center" vertical="center"/>
    </xf>
    <xf borderId="1" fillId="13" fontId="44" numFmtId="10" xfId="0" applyAlignment="1" applyBorder="1" applyFont="1" applyNumberFormat="1">
      <alignment horizontal="center" vertical="center"/>
    </xf>
    <xf borderId="1" fillId="13" fontId="44" numFmtId="164" xfId="0" applyAlignment="1" applyBorder="1" applyFont="1" applyNumberFormat="1">
      <alignment horizontal="center" vertical="center"/>
    </xf>
    <xf borderId="1" fillId="13" fontId="44" numFmtId="0" xfId="0" applyAlignment="1" applyBorder="1" applyFont="1">
      <alignment horizontal="center" vertical="center"/>
    </xf>
    <xf borderId="1" fillId="19" fontId="26" numFmtId="0" xfId="0" applyAlignment="1" applyBorder="1" applyFill="1" applyFont="1">
      <alignment horizontal="center" vertical="center"/>
    </xf>
    <xf borderId="1" fillId="13" fontId="31" numFmtId="164" xfId="0" applyAlignment="1" applyBorder="1" applyFont="1" applyNumberFormat="1">
      <alignment horizontal="center" vertical="center"/>
    </xf>
    <xf borderId="0" fillId="0" fontId="25" numFmtId="4" xfId="0" applyFont="1" applyNumberFormat="1"/>
    <xf borderId="1" fillId="0" fontId="31" numFmtId="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vertical="center"/>
    </xf>
    <xf borderId="1" fillId="0" fontId="25" numFmtId="166" xfId="0" applyAlignment="1" applyBorder="1" applyFont="1" applyNumberFormat="1">
      <alignment horizontal="center" readingOrder="0" vertical="center"/>
    </xf>
    <xf borderId="1" fillId="0" fontId="25" numFmtId="166" xfId="0" applyAlignment="1" applyBorder="1" applyFont="1" applyNumberFormat="1">
      <alignment horizontal="center" vertical="center"/>
    </xf>
    <xf borderId="0" fillId="0" fontId="25" numFmtId="165" xfId="0" applyFont="1" applyNumberFormat="1"/>
    <xf borderId="1" fillId="0" fontId="1" numFmtId="0" xfId="0" applyAlignment="1" applyBorder="1" applyFont="1">
      <alignment vertical="center"/>
    </xf>
    <xf borderId="1" fillId="14" fontId="44" numFmtId="4" xfId="0" applyAlignment="1" applyBorder="1" applyFont="1" applyNumberFormat="1">
      <alignment horizontal="center"/>
    </xf>
    <xf borderId="1" fillId="14" fontId="31" numFmtId="4" xfId="0" applyAlignment="1" applyBorder="1" applyFont="1" applyNumberFormat="1">
      <alignment horizontal="center"/>
    </xf>
    <xf borderId="0" fillId="5" fontId="31" numFmtId="4" xfId="0" applyAlignment="1" applyFont="1" applyNumberFormat="1">
      <alignment horizontal="center"/>
    </xf>
    <xf borderId="29" fillId="0" fontId="1" numFmtId="0" xfId="0" applyAlignment="1" applyBorder="1" applyFont="1">
      <alignment readingOrder="0" shrinkToFit="0" vertical="center" wrapText="1"/>
    </xf>
    <xf borderId="31" fillId="0" fontId="23" numFmtId="0" xfId="0" applyBorder="1" applyFont="1"/>
    <xf borderId="1" fillId="4" fontId="31" numFmtId="0" xfId="0" applyAlignment="1" applyBorder="1" applyFont="1">
      <alignment horizontal="center" shrinkToFit="0" wrapText="1"/>
    </xf>
    <xf borderId="1" fillId="4" fontId="31" numFmtId="0" xfId="0" applyAlignment="1" applyBorder="1" applyFont="1">
      <alignment horizontal="center" readingOrder="0" shrinkToFit="0" wrapText="1"/>
    </xf>
    <xf borderId="1" fillId="4" fontId="31" numFmtId="164" xfId="0" applyAlignment="1" applyBorder="1" applyFont="1" applyNumberFormat="1">
      <alignment horizontal="center" shrinkToFit="0" wrapText="1"/>
    </xf>
    <xf borderId="1" fillId="4" fontId="31" numFmtId="0" xfId="0" applyAlignment="1" applyBorder="1" applyFont="1">
      <alignment horizontal="center" shrinkToFit="0" wrapText="1"/>
    </xf>
    <xf borderId="1" fillId="4" fontId="31" numFmtId="166" xfId="0" applyAlignment="1" applyBorder="1" applyFont="1" applyNumberFormat="1">
      <alignment horizontal="center" shrinkToFit="0" wrapText="1"/>
    </xf>
    <xf borderId="0" fillId="0" fontId="1" numFmtId="0" xfId="0" applyFont="1"/>
    <xf borderId="1" fillId="5" fontId="1" numFmtId="1" xfId="0" applyAlignment="1" applyBorder="1" applyFont="1" applyNumberFormat="1">
      <alignment horizontal="right"/>
    </xf>
    <xf borderId="1" fillId="13" fontId="44" numFmtId="0" xfId="0" applyAlignment="1" applyBorder="1" applyFont="1">
      <alignment horizontal="center"/>
    </xf>
    <xf borderId="1" fillId="13" fontId="44" numFmtId="164" xfId="0" applyAlignment="1" applyBorder="1" applyFont="1" applyNumberFormat="1">
      <alignment horizontal="center"/>
    </xf>
    <xf borderId="1" fillId="0" fontId="44" numFmtId="166" xfId="0" applyAlignment="1" applyBorder="1" applyFont="1" applyNumberFormat="1">
      <alignment horizontal="center" readingOrder="0"/>
    </xf>
    <xf borderId="1" fillId="0" fontId="1" numFmtId="166" xfId="0" applyBorder="1" applyFont="1" applyNumberFormat="1"/>
    <xf borderId="1" fillId="13" fontId="44" numFmtId="10" xfId="0" applyAlignment="1" applyBorder="1" applyFont="1" applyNumberFormat="1">
      <alignment horizontal="center"/>
    </xf>
    <xf borderId="1" fillId="13" fontId="44" numFmtId="0" xfId="0" applyAlignment="1" applyBorder="1" applyFont="1">
      <alignment horizontal="center"/>
    </xf>
    <xf borderId="1" fillId="5" fontId="1" numFmtId="1" xfId="0" applyBorder="1" applyFont="1" applyNumberFormat="1"/>
    <xf borderId="1" fillId="0" fontId="1" numFmtId="0" xfId="0" applyAlignment="1" applyBorder="1" applyFont="1">
      <alignment readingOrder="0"/>
    </xf>
    <xf borderId="1" fillId="19" fontId="44" numFmtId="0" xfId="0" applyAlignment="1" applyBorder="1" applyFont="1">
      <alignment horizontal="center"/>
    </xf>
    <xf borderId="1" fillId="13" fontId="31" numFmtId="164" xfId="0" applyAlignment="1" applyBorder="1" applyFont="1" applyNumberFormat="1">
      <alignment horizontal="center"/>
    </xf>
    <xf borderId="1" fillId="0" fontId="31" numFmtId="4" xfId="0" applyAlignment="1" applyBorder="1" applyFont="1" applyNumberFormat="1">
      <alignment horizontal="center"/>
    </xf>
    <xf borderId="1" fillId="14" fontId="44" numFmtId="4" xfId="0" applyAlignment="1" applyBorder="1" applyFont="1" applyNumberFormat="1">
      <alignment horizontal="center" vertical="bottom"/>
    </xf>
    <xf borderId="1" fillId="14" fontId="31" numFmtId="4" xfId="0" applyAlignment="1" applyBorder="1" applyFont="1" applyNumberFormat="1">
      <alignment horizontal="center" vertical="bottom"/>
    </xf>
    <xf borderId="0" fillId="5" fontId="1" numFmtId="4" xfId="0" applyAlignment="1" applyFont="1" applyNumberFormat="1">
      <alignment vertical="bottom"/>
    </xf>
    <xf borderId="0" fillId="5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  <xf borderId="29" fillId="11" fontId="9" numFmtId="0" xfId="0" applyAlignment="1" applyBorder="1" applyFont="1">
      <alignment horizontal="center" vertical="bottom"/>
    </xf>
    <xf borderId="29" fillId="0" fontId="1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wrapText="1"/>
    </xf>
    <xf borderId="30" fillId="0" fontId="1" numFmtId="0" xfId="0" applyAlignment="1" applyBorder="1" applyFont="1">
      <alignment readingOrder="0" shrinkToFit="0" wrapText="1"/>
    </xf>
    <xf borderId="3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7" fillId="0" fontId="1" numFmtId="0" xfId="0" applyAlignment="1" applyBorder="1" applyFont="1">
      <alignment readingOrder="0" shrinkToFit="0" wrapText="1"/>
    </xf>
    <xf borderId="31" fillId="0" fontId="8" numFmtId="0" xfId="0" applyAlignment="1" applyBorder="1" applyFont="1">
      <alignment readingOrder="0"/>
    </xf>
    <xf borderId="17" fillId="0" fontId="8" numFmtId="0" xfId="0" applyBorder="1" applyFont="1"/>
    <xf borderId="26" fillId="0" fontId="8" numFmtId="0" xfId="0" applyAlignment="1" applyBorder="1" applyFont="1">
      <alignment readingOrder="0"/>
    </xf>
    <xf borderId="23" fillId="0" fontId="1" numFmtId="0" xfId="0" applyAlignment="1" applyBorder="1" applyFont="1">
      <alignment horizontal="center"/>
    </xf>
    <xf borderId="23" fillId="0" fontId="13" numFmtId="164" xfId="0" applyAlignment="1" applyBorder="1" applyFont="1" applyNumberFormat="1">
      <alignment horizontal="center"/>
    </xf>
    <xf borderId="23" fillId="0" fontId="8" numFmtId="0" xfId="0" applyBorder="1" applyFont="1"/>
    <xf borderId="27" fillId="0" fontId="8" numFmtId="0" xfId="0" applyBorder="1" applyFont="1"/>
    <xf borderId="1" fillId="5" fontId="1" numFmtId="0" xfId="0" applyBorder="1" applyFont="1"/>
    <xf borderId="29" fillId="0" fontId="1" numFmtId="0" xfId="0" applyAlignment="1" applyBorder="1" applyFont="1">
      <alignment horizontal="left" readingOrder="0" shrinkToFit="0" vertical="top" wrapText="1"/>
    </xf>
    <xf borderId="1" fillId="4" fontId="13" numFmtId="0" xfId="0" applyAlignment="1" applyBorder="1" applyFont="1">
      <alignment readingOrder="0" vertical="center"/>
    </xf>
    <xf borderId="17" fillId="0" fontId="1" numFmtId="0" xfId="0" applyAlignment="1" applyBorder="1" applyFont="1">
      <alignment vertical="center"/>
    </xf>
    <xf borderId="31" fillId="0" fontId="8" numFmtId="0" xfId="0" applyBorder="1" applyFont="1"/>
    <xf borderId="0" fillId="0" fontId="8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25" numFmtId="0" xfId="0" applyAlignment="1" applyFont="1">
      <alignment horizontal="left" readingOrder="0" shrinkToFit="0" vertical="bottom" wrapText="0"/>
    </xf>
    <xf borderId="0" fillId="0" fontId="45" numFmtId="0" xfId="0" applyAlignment="1" applyFont="1">
      <alignment readingOrder="0" shrinkToFit="0" vertical="center" wrapText="0"/>
    </xf>
    <xf borderId="48" fillId="5" fontId="46" numFmtId="4" xfId="0" applyAlignment="1" applyBorder="1" applyFont="1" applyNumberFormat="1">
      <alignment horizontal="right" shrinkToFit="0" vertical="center" wrapText="0"/>
    </xf>
    <xf borderId="0" fillId="0" fontId="8" numFmtId="170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47" numFmtId="0" xfId="0" applyAlignment="1" applyFont="1">
      <alignment readingOrder="0" shrinkToFit="0" vertical="center" wrapText="0"/>
    </xf>
    <xf borderId="49" fillId="3" fontId="46" numFmtId="4" xfId="0" applyAlignment="1" applyBorder="1" applyFont="1" applyNumberFormat="1">
      <alignment horizontal="right" shrinkToFit="0" vertical="center" wrapText="0"/>
    </xf>
    <xf borderId="0" fillId="4" fontId="48" numFmtId="0" xfId="0" applyAlignment="1" applyFon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4" fontId="8" numFmtId="170" xfId="0" applyAlignment="1" applyFont="1" applyNumberFormat="1">
      <alignment readingOrder="0" shrinkToFit="0" vertical="center" wrapText="0"/>
    </xf>
    <xf borderId="0" fillId="4" fontId="8" numFmtId="171" xfId="0" applyAlignment="1" applyFont="1" applyNumberFormat="1">
      <alignment readingOrder="0" shrinkToFit="0" vertical="center" wrapText="0"/>
    </xf>
    <xf borderId="0" fillId="0" fontId="8" numFmtId="4" xfId="0" applyAlignment="1" applyFont="1" applyNumberFormat="1">
      <alignment shrinkToFit="0" vertical="center" wrapText="0"/>
    </xf>
    <xf borderId="50" fillId="5" fontId="46" numFmtId="4" xfId="0" applyAlignment="1" applyBorder="1" applyFont="1" applyNumberFormat="1">
      <alignment horizontal="right" shrinkToFit="0" vertical="center" wrapText="0"/>
    </xf>
    <xf borderId="0" fillId="0" fontId="8" numFmtId="171" xfId="0" applyAlignment="1" applyFont="1" applyNumberFormat="1">
      <alignment readingOrder="0" shrinkToFit="0" vertical="center" wrapText="0"/>
    </xf>
    <xf borderId="0" fillId="0" fontId="8" numFmtId="171" xfId="0" applyAlignment="1" applyFont="1" applyNumberFormat="1">
      <alignment shrinkToFit="0" vertical="center" wrapText="0"/>
    </xf>
    <xf borderId="0" fillId="20" fontId="49" numFmtId="0" xfId="0" applyAlignment="1" applyFill="1" applyFont="1">
      <alignment readingOrder="0" shrinkToFit="0" vertical="center" wrapText="0"/>
    </xf>
    <xf borderId="0" fillId="20" fontId="8" numFmtId="0" xfId="0" applyAlignment="1" applyFont="1">
      <alignment readingOrder="0" shrinkToFit="0" vertical="center" wrapText="0"/>
    </xf>
    <xf borderId="0" fillId="20" fontId="8" numFmtId="170" xfId="0" applyAlignment="1" applyFont="1" applyNumberFormat="1">
      <alignment readingOrder="0" shrinkToFit="0" vertical="center" wrapText="0"/>
    </xf>
    <xf borderId="0" fillId="20" fontId="8" numFmtId="171" xfId="0" applyAlignment="1" applyFont="1" applyNumberFormat="1">
      <alignment readingOrder="0" shrinkToFit="0" vertical="center" wrapText="0"/>
    </xf>
    <xf borderId="0" fillId="20" fontId="8" numFmtId="0" xfId="0" applyAlignment="1" applyFont="1">
      <alignment shrinkToFit="0" vertical="center" wrapText="0"/>
    </xf>
    <xf borderId="0" fillId="20" fontId="8" numFmtId="171" xfId="0" applyAlignment="1" applyFont="1" applyNumberFormat="1">
      <alignment shrinkToFit="0" vertical="center" wrapText="0"/>
    </xf>
    <xf borderId="0" fillId="0" fontId="8" numFmtId="4" xfId="0" applyAlignment="1" applyFont="1" applyNumberFormat="1">
      <alignment readingOrder="0" shrinkToFit="0" vertical="center" wrapText="0"/>
    </xf>
    <xf borderId="0" fillId="0" fontId="8" numFmtId="2" xfId="0" applyAlignment="1" applyFont="1" applyNumberFormat="1">
      <alignment shrinkToFit="0" vertical="center" wrapText="0"/>
    </xf>
    <xf borderId="0" fillId="4" fontId="8" numFmtId="2" xfId="0" applyAlignment="1" applyFont="1" applyNumberFormat="1">
      <alignment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5" fontId="8" numFmtId="2" xfId="0" applyAlignment="1" applyFont="1" applyNumberFormat="1">
      <alignment readingOrder="0" shrinkToFit="0" vertical="center" wrapText="0"/>
    </xf>
    <xf borderId="0" fillId="0" fontId="8" numFmtId="2" xfId="0" applyAlignment="1" applyFont="1" applyNumberFormat="1">
      <alignment readingOrder="0" shrinkToFit="0" vertical="center" wrapText="0"/>
    </xf>
    <xf borderId="0" fillId="0" fontId="50" numFmtId="0" xfId="0" applyAlignment="1" applyFont="1">
      <alignment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52" numFmtId="0" xfId="0" applyAlignment="1" applyFont="1">
      <alignment readingOrder="0" vertical="bottom"/>
    </xf>
    <xf borderId="0" fillId="0" fontId="53" numFmtId="0" xfId="0" applyAlignment="1" applyFont="1">
      <alignment vertical="bottom"/>
    </xf>
    <xf borderId="0" fillId="0" fontId="8" numFmtId="0" xfId="0" applyFont="1"/>
    <xf borderId="0" fillId="0" fontId="8" numFmtId="0" xfId="0" applyFont="1"/>
    <xf borderId="31" fillId="0" fontId="1" numFmtId="0" xfId="0" applyAlignment="1" applyBorder="1" applyFont="1">
      <alignment readingOrder="0" vertical="center"/>
    </xf>
    <xf borderId="1" fillId="6" fontId="13" numFmtId="0" xfId="0" applyAlignment="1" applyBorder="1" applyFont="1">
      <alignment readingOrder="0" vertical="center"/>
    </xf>
    <xf borderId="1" fillId="6" fontId="26" numFmtId="0" xfId="0" applyAlignment="1" applyBorder="1" applyFont="1">
      <alignment horizontal="center" readingOrder="0" vertical="center"/>
    </xf>
    <xf borderId="1" fillId="6" fontId="26" numFmtId="164" xfId="0" applyAlignment="1" applyBorder="1" applyFont="1" applyNumberFormat="1">
      <alignment horizontal="center" vertical="center"/>
    </xf>
    <xf borderId="1" fillId="6" fontId="26" numFmtId="166" xfId="0" applyAlignment="1" applyBorder="1" applyFont="1" applyNumberFormat="1">
      <alignment horizontal="center" readingOrder="0" vertical="center"/>
    </xf>
    <xf borderId="1" fillId="6" fontId="26" numFmtId="166" xfId="0" applyAlignment="1" applyBorder="1" applyFont="1" applyNumberFormat="1">
      <alignment horizontal="center" vertical="center"/>
    </xf>
    <xf borderId="1" fillId="6" fontId="26" numFmtId="10" xfId="0" applyAlignment="1" applyBorder="1" applyFont="1" applyNumberFormat="1">
      <alignment horizontal="center" vertical="center"/>
    </xf>
    <xf borderId="0" fillId="5" fontId="54" numFmtId="0" xfId="0" applyAlignment="1" applyFont="1">
      <alignment horizontal="center" readingOrder="0" vertical="center"/>
    </xf>
    <xf borderId="24" fillId="11" fontId="24" numFmtId="0" xfId="0" applyAlignment="1" applyBorder="1" applyFont="1">
      <alignment horizontal="center" vertical="bottom"/>
    </xf>
    <xf borderId="0" fillId="5" fontId="55" numFmtId="0" xfId="0" applyAlignment="1" applyFont="1">
      <alignment horizontal="left" readingOrder="0" vertical="center"/>
    </xf>
    <xf borderId="0" fillId="0" fontId="25" numFmtId="0" xfId="0" applyAlignment="1" applyFont="1">
      <alignment readingOrder="0"/>
    </xf>
    <xf borderId="1" fillId="11" fontId="27" numFmtId="0" xfId="0" applyAlignment="1" applyBorder="1" applyFont="1">
      <alignment horizontal="center" readingOrder="0" shrinkToFit="0" vertical="center" wrapText="1"/>
    </xf>
    <xf borderId="0" fillId="5" fontId="56" numFmtId="0" xfId="0" applyAlignment="1" applyFont="1">
      <alignment horizontal="center" readingOrder="0" vertical="center"/>
    </xf>
    <xf borderId="0" fillId="11" fontId="27" numFmtId="0" xfId="0" applyAlignment="1" applyFont="1">
      <alignment horizontal="center" shrinkToFit="0" vertical="center" wrapText="1"/>
    </xf>
    <xf borderId="0" fillId="11" fontId="27" numFmtId="0" xfId="0" applyAlignment="1" applyFont="1">
      <alignment horizontal="center" readingOrder="0" shrinkToFit="0" vertical="center" wrapText="1"/>
    </xf>
    <xf borderId="0" fillId="11" fontId="28" numFmtId="164" xfId="0" applyAlignment="1" applyFont="1" applyNumberFormat="1">
      <alignment horizontal="center" shrinkToFit="0" vertical="center" wrapText="1"/>
    </xf>
    <xf borderId="0" fillId="11" fontId="27" numFmtId="166" xfId="0" applyAlignment="1" applyFont="1" applyNumberForma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0"/>
    </xf>
    <xf borderId="23" fillId="0" fontId="57" numFmtId="0" xfId="0" applyAlignment="1" applyBorder="1" applyFont="1">
      <alignment readingOrder="0" shrinkToFit="0" vertical="center" wrapText="0"/>
    </xf>
    <xf borderId="51" fillId="5" fontId="46" numFmtId="4" xfId="0" applyAlignment="1" applyBorder="1" applyFont="1" applyNumberFormat="1">
      <alignment horizontal="right" shrinkToFit="0" vertical="center" wrapText="0"/>
    </xf>
    <xf borderId="23" fillId="0" fontId="8" numFmtId="170" xfId="0" applyAlignment="1" applyBorder="1" applyFont="1" applyNumberFormat="1">
      <alignment readingOrder="0" shrinkToFit="0" vertical="center" wrapText="0"/>
    </xf>
    <xf borderId="48" fillId="5" fontId="46" numFmtId="4" xfId="0" applyAlignment="1" applyBorder="1" applyFont="1" applyNumberFormat="1">
      <alignment horizontal="right" readingOrder="0" shrinkToFit="0" vertical="center" wrapText="0"/>
    </xf>
    <xf borderId="0" fillId="0" fontId="8" numFmtId="9" xfId="0" applyAlignment="1" applyFont="1" applyNumberFormat="1">
      <alignment shrinkToFit="0" vertical="center" wrapText="0"/>
    </xf>
    <xf borderId="49" fillId="3" fontId="46" numFmtId="4" xfId="0" applyAlignment="1" applyBorder="1" applyFont="1" applyNumberFormat="1">
      <alignment horizontal="right" readingOrder="0" shrinkToFit="0" vertical="center" wrapText="0"/>
    </xf>
    <xf borderId="0" fillId="4" fontId="8" numFmtId="9" xfId="0" applyAlignment="1" applyFont="1" applyNumberFormat="1">
      <alignment readingOrder="0" shrinkToFit="0" vertical="center" wrapText="0"/>
    </xf>
    <xf borderId="50" fillId="5" fontId="46" numFmtId="4" xfId="0" applyAlignment="1" applyBorder="1" applyFont="1" applyNumberFormat="1">
      <alignment horizontal="righ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51" fillId="5" fontId="46" numFmtId="4" xfId="0" applyAlignment="1" applyBorder="1" applyFont="1" applyNumberFormat="1">
      <alignment horizontal="right" readingOrder="0" shrinkToFit="0" vertical="center" wrapText="0"/>
    </xf>
    <xf borderId="0" fillId="0" fontId="8" numFmtId="9" xfId="0" applyFont="1" applyNumberFormat="1"/>
    <xf borderId="0" fillId="0" fontId="8" numFmtId="164" xfId="0" applyAlignment="1" applyFont="1" applyNumberFormat="1">
      <alignment readingOrder="0"/>
    </xf>
    <xf borderId="0" fillId="0" fontId="8" numFmtId="9" xfId="0" applyAlignment="1" applyFont="1" applyNumberFormat="1">
      <alignment readingOrder="0" shrinkToFit="0" vertical="center" wrapText="0"/>
    </xf>
    <xf borderId="0" fillId="4" fontId="8" numFmtId="9" xfId="0" applyAlignment="1" applyFont="1" applyNumberFormat="1">
      <alignment shrinkToFit="0" vertical="center" wrapText="0"/>
    </xf>
    <xf borderId="0" fillId="20" fontId="8" numFmtId="9" xfId="0" applyAlignment="1" applyFont="1" applyNumberFormat="1">
      <alignment shrinkToFit="0" vertical="center" wrapText="0"/>
    </xf>
    <xf borderId="0" fillId="0" fontId="8" numFmtId="164" xfId="0" applyFont="1" applyNumberFormat="1"/>
    <xf borderId="0" fillId="20" fontId="8" numFmtId="9" xfId="0" applyAlignment="1" applyFont="1" applyNumberForma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9" xfId="0" applyAlignment="1" applyFont="1" applyNumberFormat="1">
      <alignment shrinkToFit="0" vertical="center" wrapText="0"/>
    </xf>
    <xf borderId="0" fillId="0" fontId="8" numFmtId="4" xfId="0" applyAlignment="1" applyFont="1" applyNumberFormat="1">
      <alignment shrinkToFit="0" vertical="center" wrapText="0"/>
    </xf>
    <xf borderId="0" fillId="11" fontId="1" numFmtId="0" xfId="0" applyAlignment="1" applyFont="1">
      <alignment horizontal="center" vertical="bottom"/>
    </xf>
    <xf borderId="22" fillId="5" fontId="22" numFmtId="4" xfId="0" applyAlignment="1" applyBorder="1" applyFont="1" applyNumberFormat="1">
      <alignment horizontal="center" vertical="bottom"/>
    </xf>
    <xf borderId="23" fillId="11" fontId="1" numFmtId="0" xfId="0" applyAlignment="1" applyBorder="1" applyFont="1">
      <alignment horizontal="center" vertical="bottom"/>
    </xf>
    <xf borderId="0" fillId="5" fontId="25" numFmtId="0" xfId="0" applyAlignment="1" applyFont="1">
      <alignment horizontal="center"/>
    </xf>
    <xf borderId="1" fillId="5" fontId="13" numFmtId="1" xfId="0" applyAlignment="1" applyBorder="1" applyFont="1" applyNumberFormat="1">
      <alignment horizontal="center" vertical="center"/>
    </xf>
    <xf borderId="1" fillId="4" fontId="13" numFmtId="0" xfId="0" applyAlignment="1" applyBorder="1" applyFont="1">
      <alignment horizontal="center" vertical="center"/>
    </xf>
    <xf borderId="24" fillId="0" fontId="31" numFmtId="165" xfId="0" applyAlignment="1" applyBorder="1" applyFont="1" applyNumberFormat="1">
      <alignment horizontal="center" vertical="center"/>
    </xf>
    <xf borderId="0" fillId="5" fontId="1" numFmtId="0" xfId="0" applyAlignment="1" applyFont="1">
      <alignment horizontal="center" shrinkToFit="0" vertical="center" wrapText="1"/>
    </xf>
    <xf borderId="29" fillId="0" fontId="1" numFmtId="0" xfId="0" applyAlignment="1" applyBorder="1" applyFont="1">
      <alignment shrinkToFit="0" vertical="bottom" wrapText="1"/>
    </xf>
    <xf borderId="30" fillId="0" fontId="1" numFmtId="0" xfId="0" applyBorder="1" applyFont="1"/>
    <xf borderId="0" fillId="5" fontId="1" numFmtId="0" xfId="0" applyAlignment="1" applyFont="1">
      <alignment horizontal="center" vertical="center"/>
    </xf>
    <xf borderId="31" fillId="0" fontId="1" numFmtId="0" xfId="0" applyBorder="1" applyFont="1"/>
    <xf borderId="31" fillId="0" fontId="1" numFmtId="0" xfId="0" applyAlignment="1" applyBorder="1" applyFont="1">
      <alignment vertical="bottom"/>
    </xf>
    <xf borderId="17" fillId="0" fontId="1" numFmtId="0" xfId="0" applyBorder="1" applyFont="1"/>
    <xf borderId="26" fillId="0" fontId="1" numFmtId="0" xfId="0" applyAlignment="1" applyBorder="1" applyFont="1">
      <alignment vertical="bottom"/>
    </xf>
    <xf borderId="27" fillId="0" fontId="1" numFmtId="0" xfId="0" applyBorder="1" applyFont="1"/>
    <xf borderId="1" fillId="5" fontId="1" numFmtId="1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vertical="bottom"/>
    </xf>
    <xf borderId="16" fillId="0" fontId="1" numFmtId="0" xfId="0" applyBorder="1" applyFont="1"/>
    <xf borderId="0" fillId="0" fontId="1" numFmtId="0" xfId="0" applyFont="1"/>
    <xf borderId="0" fillId="5" fontId="1" numFmtId="0" xfId="0" applyAlignment="1" applyFont="1">
      <alignment horizontal="center"/>
    </xf>
    <xf borderId="23" fillId="0" fontId="1" numFmtId="0" xfId="0" applyAlignment="1" applyBorder="1" applyFont="1">
      <alignment vertical="bottom"/>
    </xf>
    <xf borderId="23" fillId="0" fontId="1" numFmtId="164" xfId="0" applyAlignment="1" applyBorder="1" applyFont="1" applyNumberFormat="1">
      <alignment vertical="bottom"/>
    </xf>
    <xf borderId="27" fillId="0" fontId="1" numFmtId="0" xfId="0" applyAlignment="1" applyBorder="1" applyFont="1">
      <alignment vertical="bottom"/>
    </xf>
    <xf borderId="22" fillId="5" fontId="22" numFmtId="0" xfId="0" applyAlignment="1" applyBorder="1" applyFont="1">
      <alignment horizontal="center" vertical="bottom"/>
    </xf>
    <xf borderId="52" fillId="11" fontId="32" numFmtId="0" xfId="0" applyAlignment="1" applyBorder="1" applyFont="1">
      <alignment vertical="center"/>
    </xf>
    <xf borderId="1" fillId="11" fontId="33" numFmtId="4" xfId="0" applyAlignment="1" applyBorder="1" applyFont="1" applyNumberFormat="1">
      <alignment horizontal="center" vertical="center"/>
    </xf>
    <xf borderId="0" fillId="11" fontId="33" numFmtId="0" xfId="0" applyAlignment="1" applyFont="1">
      <alignment horizontal="center" vertical="center"/>
    </xf>
    <xf borderId="53" fillId="11" fontId="32" numFmtId="0" xfId="0" applyAlignment="1" applyBorder="1" applyFont="1">
      <alignment vertical="center"/>
    </xf>
    <xf borderId="1" fillId="14" fontId="44" numFmtId="4" xfId="0" applyAlignment="1" applyBorder="1" applyFont="1" applyNumberFormat="1">
      <alignment horizontal="center" vertical="center"/>
    </xf>
    <xf borderId="1" fillId="14" fontId="31" numFmtId="4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vertical="center"/>
    </xf>
    <xf borderId="0" fillId="5" fontId="31" numFmtId="0" xfId="0" applyAlignment="1" applyFont="1">
      <alignment horizontal="center" vertical="center"/>
    </xf>
    <xf borderId="54" fillId="4" fontId="31" numFmtId="0" xfId="0" applyAlignment="1" applyBorder="1" applyFont="1">
      <alignment horizontal="center" vertical="center"/>
    </xf>
    <xf borderId="54" fillId="4" fontId="43" numFmtId="164" xfId="0" applyAlignment="1" applyBorder="1" applyFont="1" applyNumberFormat="1">
      <alignment horizontal="center" vertical="center"/>
    </xf>
    <xf borderId="54" fillId="4" fontId="31" numFmtId="166" xfId="0" applyAlignment="1" applyBorder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center" vertical="center"/>
    </xf>
    <xf borderId="31" fillId="0" fontId="1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shrinkToFit="0" vertical="center" wrapText="1"/>
    </xf>
    <xf borderId="1" fillId="4" fontId="31" numFmtId="0" xfId="0" applyAlignment="1" applyBorder="1" applyFont="1">
      <alignment horizontal="center" vertical="center"/>
    </xf>
    <xf borderId="1" fillId="4" fontId="43" numFmtId="164" xfId="0" applyAlignment="1" applyBorder="1" applyFont="1" applyNumberFormat="1">
      <alignment horizontal="center" vertical="center"/>
    </xf>
    <xf borderId="1" fillId="0" fontId="44" numFmtId="172" xfId="0" applyAlignment="1" applyBorder="1" applyFont="1" applyNumberFormat="1">
      <alignment horizontal="center" vertical="center"/>
    </xf>
    <xf borderId="1" fillId="0" fontId="44" numFmtId="0" xfId="0" applyAlignment="1" applyBorder="1" applyFont="1">
      <alignment horizontal="center" vertical="center"/>
    </xf>
    <xf borderId="28" fillId="5" fontId="1" numFmtId="0" xfId="0" applyAlignment="1" applyBorder="1" applyFont="1">
      <alignment vertical="center"/>
    </xf>
    <xf borderId="31" fillId="11" fontId="9" numFmtId="0" xfId="0" applyAlignment="1" applyBorder="1" applyFont="1">
      <alignment horizontal="center" vertical="bottom"/>
    </xf>
    <xf borderId="26" fillId="0" fontId="1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59">
    <tableStyle count="4" pivot="0" name="Base de da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se de datos-style 2">
      <tableStyleElement dxfId="2" type="firstRowStripe"/>
      <tableStyleElement dxfId="3" type="secondRowStripe"/>
    </tableStyle>
    <tableStyle count="2" pivot="0" name="Base de datos-style 3">
      <tableStyleElement dxfId="2" type="firstRowStripe"/>
      <tableStyleElement dxfId="3" type="secondRowStripe"/>
    </tableStyle>
    <tableStyle count="2" pivot="0" name="Base de datos-style 4">
      <tableStyleElement dxfId="2" type="firstRowStripe"/>
      <tableStyleElement dxfId="3" type="secondRowStripe"/>
    </tableStyle>
    <tableStyle count="2" pivot="0" name="Base de datos-style 5">
      <tableStyleElement dxfId="2" type="firstRowStripe"/>
      <tableStyleElement dxfId="3" type="secondRowStripe"/>
    </tableStyle>
    <tableStyle count="2" pivot="0" name="RESUMEN DE COSTES-style">
      <tableStyleElement dxfId="2" type="firstRowStripe"/>
      <tableStyleElement dxfId="3" type="secondRowStripe"/>
    </tableStyle>
    <tableStyle count="2" pivot="0" name="RESUMEN DE COSTES-style 2">
      <tableStyleElement dxfId="2" type="firstRowStripe"/>
      <tableStyleElement dxfId="3" type="secondRowStripe"/>
    </tableStyle>
    <tableStyle count="2" pivot="0" name="RESUMEN DE COSTES-style 3">
      <tableStyleElement dxfId="2" type="firstRowStripe"/>
      <tableStyleElement dxfId="3" type="secondRowStripe"/>
    </tableStyle>
    <tableStyle count="2" pivot="0" name="RESUMEN DE COSTES-style 4">
      <tableStyleElement dxfId="2" type="firstRowStripe"/>
      <tableStyleElement dxfId="3" type="secondRowStripe"/>
    </tableStyle>
    <tableStyle count="2" pivot="0" name="RESUMEN DE COSTES-style 5">
      <tableStyleElement dxfId="2" type="firstRowStripe"/>
      <tableStyleElement dxfId="3" type="secondRowStripe"/>
    </tableStyle>
    <tableStyle count="2" pivot="0" name="RESUMEN DE COSTES-style 6">
      <tableStyleElement dxfId="2" type="firstRowStripe"/>
      <tableStyleElement dxfId="3" type="secondRowStripe"/>
    </tableStyle>
    <tableStyle count="2" pivot="0" name="RESUMEN DE COSTES-style 7">
      <tableStyleElement dxfId="3" type="firstRowStripe"/>
      <tableStyleElement dxfId="2" type="secondRowStripe"/>
    </tableStyle>
    <tableStyle count="2" pivot="0" name="UPSMENUS-style">
      <tableStyleElement dxfId="2" type="firstRowStripe"/>
      <tableStyleElement dxfId="3" type="secondRowStripe"/>
    </tableStyle>
    <tableStyle count="2" pivot="0" name="UPSMENUS-style 2">
      <tableStyleElement dxfId="2" type="firstRowStripe"/>
      <tableStyleElement dxfId="3" type="secondRowStripe"/>
    </tableStyle>
    <tableStyle count="2" pivot="0" name="UPSMENUS-style 3">
      <tableStyleElement dxfId="2" type="firstRowStripe"/>
      <tableStyleElement dxfId="3" type="secondRowStripe"/>
    </tableStyle>
    <tableStyle count="2" pivot="0" name="UPSMENUS-style 4">
      <tableStyleElement dxfId="2" type="firstRowStripe"/>
      <tableStyleElement dxfId="3" type="secondRowStripe"/>
    </tableStyle>
    <tableStyle count="2" pivot="0" name="UPSMENUS-style 5">
      <tableStyleElement dxfId="2" type="firstRowStripe"/>
      <tableStyleElement dxfId="3" type="secondRowStripe"/>
    </tableStyle>
    <tableStyle count="2" pivot="0" name="UPSMENUS-style 6">
      <tableStyleElement dxfId="2" type="firstRowStripe"/>
      <tableStyleElement dxfId="3" type="secondRowStripe"/>
    </tableStyle>
    <tableStyle count="2" pivot="0" name="UPSMENUS-style 7">
      <tableStyleElement dxfId="3" type="firstRowStripe"/>
      <tableStyleElement dxfId="2" type="secondRowStripe"/>
    </tableStyle>
    <tableStyle count="2" pivot="0" name="SCRIPTS VENTAS Y MENU-style">
      <tableStyleElement dxfId="2" type="firstRowStripe"/>
      <tableStyleElement dxfId="3" type="secondRowStripe"/>
    </tableStyle>
    <tableStyle count="2" pivot="0" name="SCRIPTS VENTAS Y MENU-style 2">
      <tableStyleElement dxfId="3" type="firstRowStripe"/>
      <tableStyleElement dxfId="2" type="secondRowStripe"/>
    </tableStyle>
    <tableStyle count="2" pivot="0" name="SCRIPTS VENTAS Y MENU-style 3">
      <tableStyleElement dxfId="2" type="firstRowStripe"/>
      <tableStyleElement dxfId="3" type="secondRowStripe"/>
    </tableStyle>
    <tableStyle count="2" pivot="0" name="SCRIPTS VENTAS Y MENU-style 4">
      <tableStyleElement dxfId="3" type="firstRowStripe"/>
      <tableStyleElement dxfId="2" type="secondRowStripe"/>
    </tableStyle>
    <tableStyle count="2" pivot="0" name="UBER- RESUMEN DE COSTES-style">
      <tableStyleElement dxfId="2" type="firstRowStripe"/>
      <tableStyleElement dxfId="3" type="secondRowStripe"/>
    </tableStyle>
    <tableStyle count="2" pivot="0" name="UBER- RESUMEN DE COSTES-style 2">
      <tableStyleElement dxfId="2" type="firstRowStripe"/>
      <tableStyleElement dxfId="3" type="secondRowStripe"/>
    </tableStyle>
    <tableStyle count="2" pivot="0" name="UBER- RESUMEN DE COSTES-style 3">
      <tableStyleElement dxfId="2" type="firstRowStripe"/>
      <tableStyleElement dxfId="3" type="secondRowStripe"/>
    </tableStyle>
    <tableStyle count="2" pivot="0" name="UBER- RESUMEN DE COSTES-style 4">
      <tableStyleElement dxfId="2" type="firstRowStripe"/>
      <tableStyleElement dxfId="3" type="secondRowStripe"/>
    </tableStyle>
    <tableStyle count="2" pivot="0" name="UBER- RESUMEN DE COSTES-style 5">
      <tableStyleElement dxfId="2" type="firstRowStripe"/>
      <tableStyleElement dxfId="3" type="secondRowStripe"/>
    </tableStyle>
    <tableStyle count="2" pivot="0" name="UBER- RESUMEN DE COSTES-style 6">
      <tableStyleElement dxfId="2" type="firstRowStripe"/>
      <tableStyleElement dxfId="3" type="secondRowStripe"/>
    </tableStyle>
    <tableStyle count="2" pivot="0" name="UBER- RESUMEN DE COSTES-style 7">
      <tableStyleElement dxfId="2" type="firstRowStripe"/>
      <tableStyleElement dxfId="3" type="secondRowStripe"/>
    </tableStyle>
    <tableStyle count="2" pivot="0" name="UBER- RESUMEN DE COSTES-style 8">
      <tableStyleElement dxfId="2" type="firstRowStripe"/>
      <tableStyleElement dxfId="3" type="secondRowStripe"/>
    </tableStyle>
    <tableStyle count="2" pivot="0" name="UBER- RESUMEN DE COSTES-style 9">
      <tableStyleElement dxfId="2" type="firstRowStripe"/>
      <tableStyleElement dxfId="3" type="secondRowStripe"/>
    </tableStyle>
    <tableStyle count="4" pivot="0" name="INDICE 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5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5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5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5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5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5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NTEO PRODUCTOS VENDIDOS.-style">
      <tableStyleElement dxfId="2" type="firstRowStripe"/>
      <tableStyleElement dxfId="3" type="secondRowStripe"/>
    </tableStyle>
    <tableStyle count="2" pivot="0" name="CONTEO PRODUCTOS VENDIDOS.-style 2">
      <tableStyleElement dxfId="2" type="firstRowStripe"/>
      <tableStyleElement dxfId="3" type="secondRowStripe"/>
    </tableStyle>
    <tableStyle count="2" pivot="0" name="CONTEO PRODUCTOS VENDIDOS.-style 3">
      <tableStyleElement dxfId="2" type="firstRowStripe"/>
      <tableStyleElement dxfId="3" type="secondRowStripe"/>
    </tableStyle>
    <tableStyle count="4" pivot="0" name="INDICE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0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02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026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026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026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2026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E UBER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6" sheet="VENTAS TOTALES"/>
  </cacheSource>
  <cacheFields>
    <cacheField name="Categoría" numFmtId="0">
      <sharedItems>
        <s v="Burgers"/>
        <s v="Serranitos"/>
        <s v="Burgers &amp; MENU"/>
        <s v="SERRANITOS &amp; BAGUETTES by SOFI"/>
        <s v="Bocatas"/>
        <s v="Bocatas Vegetales"/>
        <s v="Brioches"/>
        <s v="NUEVOS BRIOCHS!!"/>
        <s v="Bebidas"/>
        <s v="BOCATAS SIMPLES"/>
        <s v="Salsas"/>
        <s v="ENTRANTES"/>
        <s v="Las Box"/>
        <s v="Box"/>
        <s v="ENTRANTES Y COMPLEMENTOS"/>
        <s v="Postres"/>
        <s v="BEBIDAS."/>
        <s v="TARRO EXTRA"/>
        <s v="TARRO OFERTA"/>
        <s v="🎁EDICIÓN LIMITADA"/>
      </sharedItems>
    </cacheField>
    <cacheField name="Producto" numFmtId="0">
      <sharedItems>
        <s v="Bichota Campeona 2023 Sevilla League"/>
        <s v="Doblesquesos"/>
        <s v="Serranito Pollo"/>
        <s v="Cero15"/>
        <s v="Dobles Quesos"/>
        <s v="Barriera Cheese burger PM"/>
        <s v="CAMPEONA  SEVILLA BURGER LEAGUE  “LA BICHOTA”"/>
        <s v="SERRANITO de POLLO + patatas"/>
        <s v="Sofi"/>
        <s v="Joaquinto"/>
        <s v="Serranito Pollo Asado"/>
        <s v="Serranito Solomillo"/>
        <s v="Maka"/>
        <s v="Guarrito"/>
        <s v="Cristian"/>
        <s v="Barbara"/>
        <s v="Vegetal Pollo"/>
        <s v="Jakiniño + patatas"/>
        <s v="Smash Serrano Burger"/>
        <s v="Serranito Pollo Empanado"/>
        <s v="NUEVO ! Sofi Chicken Fried"/>
        <s v="Serranito POLLO ASADO + patatas"/>
        <s v="Crujipollo BBQ"/>
        <s v="CocaCola"/>
        <s v="Serranito SOLOMILLO  + patatas"/>
        <s v="SIMPLE DE POLLO"/>
        <s v="BARRIERA CHEESE BURGER + PATATAS"/>
        <s v="Menú Serranito + bebida + tarro"/>
        <s v="Vegetal Pollo Asado"/>
        <s v="Tarro Alioli OFERTA"/>
        <s v="Sofi chicken fried"/>
        <s v="BICHOTA + LATA  + PATATAS( CAMPEONA 2023 BURGER SEVILLA🏆)"/>
        <s v="Box Patatas"/>
        <s v="Patatas + PULLED PORK"/>
        <s v="SMASH BURGER SERRANITO"/>
        <s v="Menú Dobles Quesos +PATATAS + bebida + tarro"/>
        <s v="Serranito EMPANADO + patatas"/>
        <s v="SOFI CHICKEN FRIED TOP!"/>
        <s v="Crujipollo Original"/>
        <s v="SERRANITO de POLLO"/>
        <s v="Gipsy Smash"/>
        <s v="Box Papas Pulled Pork"/>
        <s v="Box Nuggets"/>
        <s v="VEGETAL de POLLO ASAO + patatas"/>
        <s v="Gipsy"/>
        <s v="Box Lagrimitas"/>
        <s v="Patatas"/>
        <s v="Box Alitas"/>
        <s v="Perrito"/>
        <s v="TARRO ALIOLI ORIGINAL SOFI"/>
        <s v="Menú Jakiniño + bebida + tarro"/>
        <s v="Menú Serranito POLLO ASADO + bebida + tarro"/>
        <s v="Menú SMASH BURGER SERRANITO + Bebida Incl."/>
        <s v="CRUJIPOLLO BBQ NUEVA RECETA"/>
        <s v="Menú  Cero15 + PATATAS + bebida + tarro"/>
        <s v="Perrito/Hotdog + Bacon + Queso"/>
        <s v="SIMPLE DE ASADO"/>
        <s v="Vegetal Atún"/>
        <s v="Lagrimitas"/>
        <s v="SIMPLE EMPANADO"/>
        <s v="Agua Botella"/>
        <s v="PETACA DE PATATAS"/>
        <s v="NUEVO CESAR FRIED! (Patatas no incluidas)"/>
        <s v="Vegetal Empanado"/>
        <s v="Tarta de Lotus Cream (200 g)"/>
        <s v="MENU DOBLE BARRIERA CHEESE-BACON + PATATAS + LATA"/>
        <s v="Nuggets (8 unid) + patatas + tarro salsa"/>
        <s v="Tarta Lotus casera"/>
        <s v="BOX Tekillos"/>
        <s v="SIMPLE SOLOMILLO"/>
        <s v="Menú Serranito EMPANADO + bebida + tarro"/>
        <s v="Fanta"/>
        <s v="Perrito/Hotdog + Bacon.Queso.Cebolla"/>
        <s v="Fuzetea"/>
        <s v="COCACOLA ORIGINAL 33cl"/>
        <s v="Nuggets"/>
        <s v="Menú CRUJIPOLLO BBQ NUEVA RECETA"/>
        <s v="TEKILLOS + SALSA"/>
        <s v="COCACOLA ZERO 33cl"/>
        <s v="CESAR FRIED"/>
        <s v="VEGETAL de POLLO ASAO"/>
        <s v="TARTA DE QUESO"/>
        <s v="MENÚ  VEGETAL  + BEBIDA + TARRO"/>
        <s v="HOT DOG SWEET BBQ"/>
        <s v="Tarro Cheddar"/>
        <s v="CREA TU CRUJI"/>
        <s v="CREATU BURGER"/>
        <s v="Aquarius"/>
        <s v="TARRO ALIOLI EXTRA"/>
        <s v="XMAS CHICKEN CRUNCH SUB — LIMITED XMAS DROP"/>
        <s v="Menú  CRUJI ORIGINAL  + bebida"/>
        <s v="TARTA CHOCOLATE DUBAI"/>
        <s v="Tarro Mayonesa OFERTA"/>
        <s v="COCACOLA ZERO ZERO 33cl"/>
        <s v="Hot Dog Chill BBQ"/>
        <s v="FANTA NARANJA 33CL"/>
        <s v="TARRO AMERICAN BURGER"/>
        <s v="Tarro Bichota"/>
        <s v="Tarro Whisky OFERTA"/>
        <s v="TARRO MOTAZA MIEL BICHOTA"/>
        <s v="FANTA LIMON 33CL"/>
        <s v="Tarro Mojo Picon"/>
        <s v="FUZETEA MARACUYA  33cl"/>
        <s v="Alitas"/>
        <s v="Black Limited Edition"/>
        <s v="Tarro Barbacoa OFERTA"/>
        <s v="FUZETEA LIMON 33cl"/>
        <s v="MENU DOBLE BARRIERA CHEESE-BACON + PATATAS"/>
        <s v="AGUA  BEZOYA 50cl"/>
        <s v="Tarro Ketchup OFERTA"/>
        <s v="TARRO WISKY EXTRA"/>
        <s v="Tarro Mayo Sriracha"/>
        <s v="TARRO MAYONESA ORIGINAL SOFI"/>
        <s v="SERRANISSIMO PULLED PORK"/>
        <s v="TARRO CHEDAR LIQUIDO"/>
        <s v="AQUARIOUS LIMON 33CL"/>
        <s v="AQUIARIOUS NARANJA 33CL"/>
        <s v="Tarro Ranchera"/>
        <s v="SevenUp"/>
        <s v="TARRO KETCHUP"/>
        <s v="Cerveza Cruzcampo 0,0%"/>
        <s v="Kas"/>
        <s v="TARRO BBQ EXTRA"/>
        <s v="Tarro Salsa Especial"/>
        <s v="TARRO KETCHUP EXTRA"/>
      </sharedItems>
    </cacheField>
    <cacheField name="Unidades" numFmtId="0">
      <sharedItems containsSemiMixedTypes="0" containsString="0" containsNumber="1" containsInteger="1">
        <n v="608.0"/>
        <n v="634.0"/>
        <n v="837.0"/>
        <n v="450.0"/>
        <n v="282.0"/>
        <n v="386.0"/>
        <n v="222.0"/>
        <n v="316.0"/>
        <n v="312.0"/>
        <n v="288.0"/>
        <n v="279.0"/>
        <n v="253.0"/>
        <n v="174.0"/>
        <n v="242.0"/>
        <n v="236.0"/>
        <n v="133.0"/>
        <n v="308.0"/>
        <n v="247.0"/>
        <n v="95.0"/>
        <n v="119.0"/>
        <n v="134.0"/>
        <n v="162.0"/>
        <n v="114.0"/>
        <n v="103.0"/>
        <n v="118.0"/>
        <n v="560.0"/>
        <n v="91.0"/>
        <n v="192.0"/>
        <n v="74.0"/>
        <n v="90.0"/>
        <n v="109.0"/>
        <n v="1332.0"/>
        <n v="83.0"/>
        <n v="52.0"/>
        <n v="123.0"/>
        <n v="76.0"/>
        <n v="45.0"/>
        <n v="43.0"/>
        <n v="55.0"/>
        <n v="60.0"/>
        <n v="71.0"/>
        <n v="80.0"/>
        <n v="49.0"/>
        <n v="69.0"/>
        <n v="62.0"/>
        <n v="88.0"/>
        <n v="73.0"/>
        <n v="46.0"/>
        <n v="70.0"/>
        <n v="63.0"/>
        <n v="94.0"/>
        <n v="296.0"/>
        <n v="37.0"/>
        <n v="41.0"/>
        <n v="29.0"/>
        <n v="48.0"/>
        <n v="27.0"/>
        <n v="22.0"/>
        <n v="36.0"/>
        <n v="44.0"/>
        <n v="156.0"/>
        <n v="65.0"/>
        <n v="17.0"/>
        <n v="30.0"/>
        <n v="21.0"/>
        <n v="26.0"/>
        <n v="31.0"/>
        <n v="24.0"/>
        <n v="13.0"/>
        <n v="25.0"/>
        <n v="16.0"/>
        <n v="18.0"/>
        <n v="12.0"/>
        <n v="14.0"/>
        <n v="10.0"/>
        <n v="9.0"/>
        <n v="6.0"/>
        <n v="33.0"/>
        <n v="5.0"/>
        <n v="23.0"/>
        <n v="7.0"/>
        <n v="4.0"/>
        <n v="56.0"/>
        <n v="15.0"/>
        <n v="3.0"/>
        <n v="2.0"/>
        <n v="11.0"/>
        <n v="28.0"/>
        <n v="8.0"/>
        <n v="1.0"/>
      </sharedItems>
    </cacheField>
    <cacheField name="Total (€)" numFmtId="4">
      <sharedItems containsSemiMixedTypes="0" containsString="0" containsNumber="1">
        <n v="6129.0"/>
        <n v="5293.5"/>
        <n v="5073.0"/>
        <n v="3677.2"/>
        <n v="3324.8"/>
        <n v="2968.4"/>
        <n v="2768.1"/>
        <n v="2712.1"/>
        <n v="2628.7"/>
        <n v="2312.7"/>
        <n v="1862.5"/>
        <n v="1780.5"/>
        <n v="1733.3"/>
        <n v="1704.7"/>
        <n v="1659.5"/>
        <n v="1581.7"/>
        <n v="1548.0"/>
        <n v="1250.0"/>
        <n v="1235.0"/>
        <n v="1108.4"/>
        <n v="1077.0"/>
        <n v="1063.0"/>
        <n v="979.7"/>
        <n v="962.6"/>
        <n v="944.0"/>
        <n v="856.8"/>
        <n v="854.7"/>
        <n v="851.0"/>
        <n v="741.6"/>
        <n v="712.7"/>
        <n v="710.2"/>
        <n v="666.0"/>
        <n v="664.7"/>
        <n v="639.6"/>
        <n v="624.1"/>
        <n v="570.0"/>
        <n v="552.8"/>
        <n v="534.1"/>
        <n v="517.5"/>
        <n v="510.0"/>
        <n v="505.2"/>
        <n v="505.0"/>
        <n v="485.1"/>
        <n v="483.0"/>
        <n v="456.7"/>
        <n v="455.4"/>
        <n v="450.5"/>
        <n v="445.6"/>
        <n v="441.8"/>
        <n v="423.2"/>
        <n v="421.4"/>
        <n v="412.5"/>
        <n v="393.0"/>
        <n v="380.6"/>
        <n v="375.0"/>
        <n v="364.0"/>
        <n v="355.2"/>
        <n v="337.5"/>
        <n v="335.0"/>
        <n v="328.3"/>
        <n v="318.0"/>
        <n v="289.1"/>
        <n v="275.4"/>
        <n v="271.4"/>
        <n v="267.5"/>
        <n v="253.0"/>
        <n v="248.5"/>
        <n v="236.5"/>
        <n v="235.0"/>
        <n v="234.0"/>
        <n v="188.5"/>
        <n v="185.7"/>
        <n v="184.0"/>
        <n v="183.5"/>
        <n v="178.0"/>
        <n v="174.7"/>
        <n v="169.8"/>
        <n v="165.8"/>
        <n v="157.2"/>
        <n v="155.0"/>
        <n v="147.5"/>
        <n v="144.7"/>
        <n v="140.0"/>
        <n v="132.0"/>
        <n v="124.5"/>
        <n v="124.2"/>
        <n v="118.4"/>
        <n v="114.0"/>
        <n v="110.5"/>
        <n v="108.0"/>
        <n v="101.0"/>
        <n v="100.0"/>
        <n v="93.0"/>
        <n v="85.0"/>
        <n v="83.0"/>
        <n v="80.0"/>
        <n v="76.0"/>
        <n v="74.6"/>
        <n v="74.0"/>
        <n v="72.0"/>
        <n v="69.0"/>
        <n v="65.6"/>
        <n v="52.8"/>
        <n v="52.5"/>
        <n v="49.5"/>
        <n v="46.0"/>
        <n v="45.5"/>
        <n v="40.0"/>
        <n v="39.6"/>
        <n v="39.0"/>
        <n v="35.0"/>
        <n v="34.5"/>
        <n v="33.5"/>
        <n v="32.4"/>
        <n v="28.0"/>
        <n v="24.0"/>
        <n v="23.0"/>
        <n v="22.5"/>
        <n v="21.75"/>
        <n v="21.6"/>
        <n v="21.0"/>
        <n v="20.8"/>
        <n v="20.5"/>
        <n v="19.8"/>
        <n v="16.8"/>
        <n v="15.6"/>
        <n v="14.0"/>
        <n v="12.75"/>
        <n v="12.0"/>
        <n v="9.6"/>
        <n v="8.5"/>
        <n v="7.2"/>
        <n v="6.4"/>
        <n v="6.0"/>
        <n v="3.6"/>
        <n v="3.0"/>
        <n v="2.3"/>
        <n v="1.5"/>
        <n v="1.3"/>
        <n v="0.7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 TOTALES" cacheId="0" dataCaption="" compact="0" compactData="0">
  <location ref="I1:L310" firstHeaderRow="0" firstDataRow="3" firstDataCol="0"/>
  <pivotFields>
    <pivotField name="Categoría" axis="axisRow" compact="0" outline="0" multipleItemSelectionAllowed="1" showAll="0" sortType="ascending">
      <items>
        <item x="19"/>
        <item x="8"/>
        <item x="16"/>
        <item x="4"/>
        <item x="9"/>
        <item x="5"/>
        <item x="13"/>
        <item x="6"/>
        <item x="0"/>
        <item x="2"/>
        <item x="11"/>
        <item x="14"/>
        <item x="12"/>
        <item x="7"/>
        <item x="15"/>
        <item x="10"/>
        <item x="1"/>
        <item x="3"/>
        <item x="17"/>
        <item x="18"/>
        <item t="default"/>
      </items>
    </pivotField>
    <pivotField name="Producto" axis="axisRow" compact="0" outline="0" multipleItemSelectionAllowed="1" showAll="0" sortType="ascending">
      <items>
        <item x="108"/>
        <item x="60"/>
        <item x="103"/>
        <item x="115"/>
        <item x="87"/>
        <item x="116"/>
        <item x="15"/>
        <item x="26"/>
        <item x="5"/>
        <item x="31"/>
        <item x="0"/>
        <item x="104"/>
        <item x="47"/>
        <item x="45"/>
        <item x="42"/>
        <item x="41"/>
        <item x="32"/>
        <item x="68"/>
        <item x="6"/>
        <item x="3"/>
        <item x="120"/>
        <item x="79"/>
        <item x="23"/>
        <item x="74"/>
        <item x="78"/>
        <item x="93"/>
        <item x="85"/>
        <item x="86"/>
        <item x="14"/>
        <item x="22"/>
        <item x="53"/>
        <item x="38"/>
        <item x="4"/>
        <item x="1"/>
        <item x="71"/>
        <item x="100"/>
        <item x="95"/>
        <item x="73"/>
        <item x="106"/>
        <item x="102"/>
        <item x="44"/>
        <item x="40"/>
        <item x="13"/>
        <item x="94"/>
        <item x="83"/>
        <item x="17"/>
        <item x="9"/>
        <item x="121"/>
        <item x="58"/>
        <item x="12"/>
        <item x="54"/>
        <item x="90"/>
        <item x="82"/>
        <item x="76"/>
        <item x="107"/>
        <item x="65"/>
        <item x="35"/>
        <item x="50"/>
        <item x="27"/>
        <item x="70"/>
        <item x="51"/>
        <item x="52"/>
        <item x="20"/>
        <item x="62"/>
        <item x="75"/>
        <item x="66"/>
        <item x="46"/>
        <item x="33"/>
        <item x="48"/>
        <item x="55"/>
        <item x="72"/>
        <item x="61"/>
        <item x="113"/>
        <item x="39"/>
        <item x="7"/>
        <item x="36"/>
        <item x="2"/>
        <item x="10"/>
        <item x="21"/>
        <item x="19"/>
        <item x="11"/>
        <item x="24"/>
        <item x="118"/>
        <item x="56"/>
        <item x="25"/>
        <item x="59"/>
        <item x="69"/>
        <item x="34"/>
        <item x="18"/>
        <item x="8"/>
        <item x="30"/>
        <item x="37"/>
        <item x="88"/>
        <item x="29"/>
        <item x="49"/>
        <item x="96"/>
        <item x="105"/>
        <item x="122"/>
        <item x="97"/>
        <item x="114"/>
        <item x="84"/>
        <item x="119"/>
        <item x="124"/>
        <item x="109"/>
        <item x="111"/>
        <item x="92"/>
        <item x="112"/>
        <item x="101"/>
        <item x="99"/>
        <item x="117"/>
        <item x="123"/>
        <item x="98"/>
        <item x="110"/>
        <item x="91"/>
        <item x="64"/>
        <item x="81"/>
        <item x="67"/>
        <item x="77"/>
        <item x="57"/>
        <item x="80"/>
        <item x="43"/>
        <item x="63"/>
        <item x="16"/>
        <item x="28"/>
        <item x="89"/>
        <item t="default"/>
      </items>
    </pivotField>
    <pivotField name="Unidades" axis="axisRow" compact="0" outline="0" multipleItemSelectionAllowed="1" showAll="0" sortType="ascending">
      <items>
        <item x="89"/>
        <item x="85"/>
        <item x="84"/>
        <item x="81"/>
        <item x="78"/>
        <item x="76"/>
        <item x="80"/>
        <item x="88"/>
        <item x="75"/>
        <item x="74"/>
        <item x="86"/>
        <item x="72"/>
        <item x="68"/>
        <item x="73"/>
        <item x="83"/>
        <item x="70"/>
        <item x="62"/>
        <item x="71"/>
        <item x="64"/>
        <item x="57"/>
        <item x="79"/>
        <item x="67"/>
        <item x="69"/>
        <item x="65"/>
        <item x="56"/>
        <item x="87"/>
        <item x="54"/>
        <item x="63"/>
        <item x="66"/>
        <item x="77"/>
        <item x="58"/>
        <item x="52"/>
        <item x="53"/>
        <item x="37"/>
        <item x="59"/>
        <item x="36"/>
        <item x="47"/>
        <item x="55"/>
        <item x="42"/>
        <item x="33"/>
        <item x="38"/>
        <item x="82"/>
        <item x="39"/>
        <item x="44"/>
        <item x="49"/>
        <item x="61"/>
        <item x="43"/>
        <item x="48"/>
        <item x="40"/>
        <item x="46"/>
        <item x="28"/>
        <item x="35"/>
        <item x="41"/>
        <item x="32"/>
        <item x="45"/>
        <item x="29"/>
        <item x="26"/>
        <item x="50"/>
        <item x="18"/>
        <item x="23"/>
        <item x="30"/>
        <item x="22"/>
        <item x="24"/>
        <item x="19"/>
        <item x="34"/>
        <item x="15"/>
        <item x="20"/>
        <item x="60"/>
        <item x="21"/>
        <item x="12"/>
        <item x="27"/>
        <item x="6"/>
        <item x="14"/>
        <item x="13"/>
        <item x="17"/>
        <item x="11"/>
        <item x="10"/>
        <item x="4"/>
        <item x="9"/>
        <item x="51"/>
        <item x="16"/>
        <item x="8"/>
        <item x="7"/>
        <item x="5"/>
        <item x="3"/>
        <item x="25"/>
        <item x="0"/>
        <item x="1"/>
        <item x="2"/>
        <item x="31"/>
        <item t="default"/>
      </items>
    </pivotField>
    <pivotField name="Total (€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</pivotFields>
  <rowFields>
    <field x="0"/>
    <field x="1"/>
    <field x="2"/>
  </rowFields>
</pivotTableDefinition>
</file>

<file path=xl/tables/table1.xml><?xml version="1.0" encoding="utf-8"?>
<table xmlns="http://schemas.openxmlformats.org/spreadsheetml/2006/main" headerRowCount="0" ref="A1:I1" displayName="BASE_DATOS_PRODUCTOS" name="BASE_DATOS_PRODUCTOS" id="1">
  <autoFilter ref="$A$1:$I$1"/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ase de dat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2:B102" displayName="Table_1" name="Table_1" id="2">
  <tableColumns count="1">
    <tableColumn name="Column1" id="1"/>
  </tableColumns>
  <tableStyleInfo name="Base de dat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:C177" displayName="Table_2" name="Table_2" id="3">
  <tableColumns count="1">
    <tableColumn name="Column1" id="1"/>
  </tableColumns>
  <tableStyleInfo name="Base de dat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D2:D120" displayName="Table_3" name="Table_3" id="4">
  <tableColumns count="1">
    <tableColumn name="Column1" id="1"/>
  </tableColumns>
  <tableStyleInfo name="Base de datos-style 4" showColumnStripes="0" showFirstColumn="1" showLastColumn="1" showRowStripes="1"/>
</table>
</file>

<file path=xl/tables/table5.xml><?xml version="1.0" encoding="utf-8"?>
<table xmlns="http://schemas.openxmlformats.org/spreadsheetml/2006/main" headerRowCount="0" ref="F2:F120" displayName="Table_4" name="Table_4" id="5">
  <tableColumns count="1">
    <tableColumn name="Column1" id="1"/>
  </tableColumns>
  <tableStyleInfo name="Base de datos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6:J19" displayName="Table_5" name="Table_5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UMEN DE COSTES-style" showColumnStripes="0" showFirstColumn="1" showLastColumn="1" showRowStripes="1"/>
</table>
</file>

<file path=xl/tables/table7.xml><?xml version="1.0" encoding="utf-8"?>
<table xmlns="http://schemas.openxmlformats.org/spreadsheetml/2006/main" headerRowCount="0" ref="B22:J27" displayName="Table_6" name="Table_6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UMEN DE COSTES-style 2" showColumnStripes="0" showFirstColumn="1" showLastColumn="1" showRowStripes="1"/>
</table>
</file>

<file path=xl/tables/table8.xml><?xml version="1.0" encoding="utf-8"?>
<table xmlns="http://schemas.openxmlformats.org/spreadsheetml/2006/main" headerRowCount="0" ref="B30:J38" displayName="Table_7" name="Table_7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UMEN DE COSTES-style 3" showColumnStripes="0" showFirstColumn="1" showLastColumn="1" showRowStripes="1"/>
</table>
</file>

<file path=xl/tables/table9.xml><?xml version="1.0" encoding="utf-8"?>
<table xmlns="http://schemas.openxmlformats.org/spreadsheetml/2006/main" headerRowCount="0" ref="B39:J39" displayName="Table_8" name="Table_8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UMEN DE COSTES-style 4" showColumnStripes="0" showFirstColumn="1" showLastColumn="1" showRowStripes="1"/>
</table>
</file>

<file path=xl/tables/table10.xml><?xml version="1.0" encoding="utf-8"?>
<table xmlns="http://schemas.openxmlformats.org/spreadsheetml/2006/main" headerRowCount="0" ref="E41:J41" displayName="Table_9" name="Table_9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SUMEN DE COSTES-style 5" showColumnStripes="0" showFirstColumn="1" showLastColumn="1" showRowStripes="1"/>
</table>
</file>

<file path=xl/tables/table11.xml><?xml version="1.0" encoding="utf-8"?>
<table xmlns="http://schemas.openxmlformats.org/spreadsheetml/2006/main" headerRowCount="0" ref="B59:D67" displayName="Table_10" name="Table_10" id="11">
  <tableColumns count="3">
    <tableColumn name="Column1" id="1"/>
    <tableColumn name="Column2" id="2"/>
    <tableColumn name="Column3" id="3"/>
  </tableColumns>
  <tableStyleInfo name="RESUMEN DE COSTES-style 6" showColumnStripes="0" showFirstColumn="1" showLastColumn="1" showRowStripes="1"/>
</table>
</file>

<file path=xl/tables/table12.xml><?xml version="1.0" encoding="utf-8"?>
<table xmlns="http://schemas.openxmlformats.org/spreadsheetml/2006/main" headerRowCount="0" ref="B70:H80" displayName="Table_11" name="Table_11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SUMEN DE COSTES-style 7" showColumnStripes="0" showFirstColumn="1" showLastColumn="1" showRowStripes="1"/>
</table>
</file>

<file path=xl/tables/table13.xml><?xml version="1.0" encoding="utf-8"?>
<table xmlns="http://schemas.openxmlformats.org/spreadsheetml/2006/main" headerRowCount="0" ref="B16:O19" displayName="Table_12" name="Table_12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UPSMENUS-style" showColumnStripes="0" showFirstColumn="1" showLastColumn="1" showRowStripes="1"/>
</table>
</file>

<file path=xl/tables/table14.xml><?xml version="1.0" encoding="utf-8"?>
<table xmlns="http://schemas.openxmlformats.org/spreadsheetml/2006/main" headerRowCount="0" ref="B22:O27" displayName="Table_13" name="Table_13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UPSMENUS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30:O38" displayName="Table_14" name="Table_14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UPSMENUS-style 3" showColumnStripes="0" showFirstColumn="1" showLastColumn="1" showRowStripes="1"/>
</table>
</file>

<file path=xl/tables/table16.xml><?xml version="1.0" encoding="utf-8"?>
<table xmlns="http://schemas.openxmlformats.org/spreadsheetml/2006/main" headerRowCount="0" ref="B39:O39" displayName="Table_15" name="Table_15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UPSMENUS-style 4" showColumnStripes="0" showFirstColumn="1" showLastColumn="1" showRowStripes="1"/>
</table>
</file>

<file path=xl/tables/table17.xml><?xml version="1.0" encoding="utf-8"?>
<table xmlns="http://schemas.openxmlformats.org/spreadsheetml/2006/main" headerRowCount="0" ref="E45:O45" displayName="Table_16" name="Table_16" id="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UPSMENUS-style 5" showColumnStripes="0" showFirstColumn="1" showLastColumn="1" showRowStripes="1"/>
</table>
</file>

<file path=xl/tables/table18.xml><?xml version="1.0" encoding="utf-8"?>
<table xmlns="http://schemas.openxmlformats.org/spreadsheetml/2006/main" headerRowCount="0" ref="B60:D68" displayName="Table_17" name="Table_17" id="18">
  <tableColumns count="3">
    <tableColumn name="Column1" id="1"/>
    <tableColumn name="Column2" id="2"/>
    <tableColumn name="Column3" id="3"/>
  </tableColumns>
  <tableStyleInfo name="UPSMENUS-style 6" showColumnStripes="0" showFirstColumn="1" showLastColumn="1" showRowStripes="1"/>
</table>
</file>

<file path=xl/tables/table19.xml><?xml version="1.0" encoding="utf-8"?>
<table xmlns="http://schemas.openxmlformats.org/spreadsheetml/2006/main" headerRowCount="0" ref="B71:H81" displayName="Table_18" name="Table_18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PSMENUS-style 7" showColumnStripes="0" showFirstColumn="1" showLastColumn="1" showRowStripes="1"/>
</table>
</file>

<file path=xl/tables/table20.xml><?xml version="1.0" encoding="utf-8"?>
<table xmlns="http://schemas.openxmlformats.org/spreadsheetml/2006/main" headerRowCount="0" ref="B15:C18" displayName="Table_19" name="Table_19" id="20">
  <tableColumns count="2">
    <tableColumn name="Column1" id="1"/>
    <tableColumn name="Column2" id="2"/>
  </tableColumns>
  <tableStyleInfo name="SCRIPTS VENTAS Y MENU-style" showColumnStripes="0" showFirstColumn="1" showLastColumn="1" showRowStripes="1"/>
</table>
</file>

<file path=xl/tables/table21.xml><?xml version="1.0" encoding="utf-8"?>
<table xmlns="http://schemas.openxmlformats.org/spreadsheetml/2006/main" headerRowCount="0" ref="B21:C24" displayName="Table_20" name="Table_20" id="21">
  <tableColumns count="2">
    <tableColumn name="Column1" id="1"/>
    <tableColumn name="Column2" id="2"/>
  </tableColumns>
  <tableStyleInfo name="SCRIPTS VENTAS Y MENU-style 2" showColumnStripes="0" showFirstColumn="1" showLastColumn="1" showRowStripes="1"/>
</table>
</file>

<file path=xl/tables/table22.xml><?xml version="1.0" encoding="utf-8"?>
<table xmlns="http://schemas.openxmlformats.org/spreadsheetml/2006/main" headerRowCount="0" ref="B27:H32" displayName="Table_21" name="Table_21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RIPTS VENTAS Y MENU-style 3" showColumnStripes="0" showFirstColumn="1" showLastColumn="1" showRowStripes="1"/>
</table>
</file>

<file path=xl/tables/table23.xml><?xml version="1.0" encoding="utf-8"?>
<table xmlns="http://schemas.openxmlformats.org/spreadsheetml/2006/main" headerRowCount="0" ref="B43:C53" displayName="Table_22" name="Table_22" id="23">
  <tableColumns count="2">
    <tableColumn name="Column1" id="1"/>
    <tableColumn name="Column2" id="2"/>
  </tableColumns>
  <tableStyleInfo name="SCRIPTS VENTAS Y MENU-style 4" showColumnStripes="0" showFirstColumn="1" showLastColumn="1" showRowStripes="1"/>
</table>
</file>

<file path=xl/tables/table24.xml><?xml version="1.0" encoding="utf-8"?>
<table xmlns="http://schemas.openxmlformats.org/spreadsheetml/2006/main" headerRowCount="0" ref="E8:H8" displayName="Table_23" name="Table_23" id="24">
  <tableColumns count="4">
    <tableColumn name="Column1" id="1"/>
    <tableColumn name="Column2" id="2"/>
    <tableColumn name="Column3" id="3"/>
    <tableColumn name="Column4" id="4"/>
  </tableColumns>
  <tableStyleInfo name="UBER- RESUMEN DE COSTES-style" showColumnStripes="0" showFirstColumn="1" showLastColumn="1" showRowStripes="1"/>
</table>
</file>

<file path=xl/tables/table25.xml><?xml version="1.0" encoding="utf-8"?>
<table xmlns="http://schemas.openxmlformats.org/spreadsheetml/2006/main" headerRowCount="0" ref="E9:H9" displayName="Table_24" name="Table_24" id="25">
  <tableColumns count="4">
    <tableColumn name="Column1" id="1"/>
    <tableColumn name="Column2" id="2"/>
    <tableColumn name="Column3" id="3"/>
    <tableColumn name="Column4" id="4"/>
  </tableColumns>
  <tableStyleInfo name="UBER- RESUMEN DE COSTES-style 2" showColumnStripes="0" showFirstColumn="1" showLastColumn="1" showRowStripes="1"/>
</table>
</file>

<file path=xl/tables/table26.xml><?xml version="1.0" encoding="utf-8"?>
<table xmlns="http://schemas.openxmlformats.org/spreadsheetml/2006/main" headerRowCount="0" ref="E13:H13" displayName="Table_25" name="Table_25" id="26">
  <tableColumns count="4">
    <tableColumn name="Column1" id="1"/>
    <tableColumn name="Column2" id="2"/>
    <tableColumn name="Column3" id="3"/>
    <tableColumn name="Column4" id="4"/>
  </tableColumns>
  <tableStyleInfo name="UBER- RESUMEN DE COSTES-style 3" showColumnStripes="0" showFirstColumn="1" showLastColumn="1" showRowStripes="1"/>
</table>
</file>

<file path=xl/tables/table27.xml><?xml version="1.0" encoding="utf-8"?>
<table xmlns="http://schemas.openxmlformats.org/spreadsheetml/2006/main" headerRowCount="0" ref="E14:H14" displayName="Table_26" name="Table_26" id="27">
  <tableColumns count="4">
    <tableColumn name="Column1" id="1"/>
    <tableColumn name="Column2" id="2"/>
    <tableColumn name="Column3" id="3"/>
    <tableColumn name="Column4" id="4"/>
  </tableColumns>
  <tableStyleInfo name="UBER- RESUMEN DE COSTES-style 4" showColumnStripes="0" showFirstColumn="1" showLastColumn="1" showRowStripes="1"/>
</table>
</file>

<file path=xl/tables/table28.xml><?xml version="1.0" encoding="utf-8"?>
<table xmlns="http://schemas.openxmlformats.org/spreadsheetml/2006/main" headerRowCount="0" ref="B16:J19" displayName="Table_27" name="Table_27" id="2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UBER- RESUMEN DE COSTES-style 5" showColumnStripes="0" showFirstColumn="1" showLastColumn="1" showRowStripes="1"/>
</table>
</file>

<file path=xl/tables/table29.xml><?xml version="1.0" encoding="utf-8"?>
<table xmlns="http://schemas.openxmlformats.org/spreadsheetml/2006/main" headerRowCount="0" ref="B22:K27" displayName="Table_28" name="Table_28" id="2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UBER- RESUMEN DE COSTES-style 6" showColumnStripes="0" showFirstColumn="1" showLastColumn="1" showRowStripes="1"/>
</table>
</file>

<file path=xl/tables/table30.xml><?xml version="1.0" encoding="utf-8"?>
<table xmlns="http://schemas.openxmlformats.org/spreadsheetml/2006/main" headerRowCount="0" ref="B30:K38" displayName="Table_29" name="Table_29" id="3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UBER- RESUMEN DE COSTES-style 7" showColumnStripes="0" showFirstColumn="1" showLastColumn="1" showRowStripes="1"/>
</table>
</file>

<file path=xl/tables/table31.xml><?xml version="1.0" encoding="utf-8"?>
<table xmlns="http://schemas.openxmlformats.org/spreadsheetml/2006/main" headerRowCount="0" ref="B39:K39" displayName="Table_30" name="Table_30" id="3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UBER- RESUMEN DE COSTES-style 8" showColumnStripes="0" showFirstColumn="1" showLastColumn="1" showRowStripes="1"/>
</table>
</file>

<file path=xl/tables/table32.xml><?xml version="1.0" encoding="utf-8"?>
<table xmlns="http://schemas.openxmlformats.org/spreadsheetml/2006/main" headerRowCount="0" ref="E41:K41" displayName="Table_31" name="Table_31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BER- RESUMEN DE COSTES-style 9" showColumnStripes="0" showFirstColumn="1" showLastColumn="1" showRowStripes="1"/>
</table>
</file>

<file path=xl/tables/table33.xml><?xml version="1.0" encoding="utf-8"?>
<table xmlns="http://schemas.openxmlformats.org/spreadsheetml/2006/main" ref="B5:F14" displayName="BURGERS" name="BURGERS" id="33">
  <tableColumns count="5">
    <tableColumn name="BURGER" id="1"/>
    <tableColumn name="PVP" id="2"/>
    <tableColumn name="COSTE" id="3"/>
    <tableColumn name="%MARGEN" id="4"/>
    <tableColumn name="OPCION" id="5"/>
  </tableColumns>
  <tableStyleInfo name="INDICE 25-style" showColumnStripes="0" showFirstColumn="1" showLastColumn="1" showRowStripes="1"/>
</table>
</file>

<file path=xl/tables/table34.xml><?xml version="1.0" encoding="utf-8"?>
<table xmlns="http://schemas.openxmlformats.org/spreadsheetml/2006/main" ref="J5:L105" displayName="VENTAS_NOVIEMBRE" name="VENTAS_NOVIEMBRE" id="34">
  <autoFilter ref="$J$5:$L$105"/>
  <tableColumns count="3">
    <tableColumn name="Categoría" id="1"/>
    <tableColumn name="Producto" id="2"/>
    <tableColumn name="Unidades" id="3"/>
  </tableColumns>
  <tableStyleInfo name="INDICE 25-style 2" showColumnStripes="0" showFirstColumn="1" showLastColumn="1" showRowStripes="1"/>
</table>
</file>

<file path=xl/tables/table35.xml><?xml version="1.0" encoding="utf-8"?>
<table xmlns="http://schemas.openxmlformats.org/spreadsheetml/2006/main" ref="B18:F42" displayName="BOCATAS" name="BOCATAS" id="35">
  <tableColumns count="5">
    <tableColumn name="BAGUETTES" id="1"/>
    <tableColumn name="Column 5" id="2"/>
    <tableColumn name="COSTE" id="3"/>
    <tableColumn name="%MARGEN" id="4"/>
    <tableColumn name="Columna 1" id="5"/>
  </tableColumns>
  <tableStyleInfo name="INDICE 25-style 3" showColumnStripes="0" showFirstColumn="1" showLastColumn="1" showRowStripes="1"/>
</table>
</file>

<file path=xl/tables/table36.xml><?xml version="1.0" encoding="utf-8"?>
<table xmlns="http://schemas.openxmlformats.org/spreadsheetml/2006/main" ref="B44:F49" displayName="SUBS" name="SUBS" id="36">
  <tableColumns count="5">
    <tableColumn name="BRIOCHES" id="1"/>
    <tableColumn name="Column 5" id="2"/>
    <tableColumn name="COSTE" id="3"/>
    <tableColumn name="%MARGEN" id="4"/>
    <tableColumn name="Columna 1" id="5"/>
  </tableColumns>
  <tableStyleInfo name="INDICE 25-style 4" showColumnStripes="0" showFirstColumn="1" showLastColumn="1" showRowStripes="1"/>
</table>
</file>

<file path=xl/tables/table37.xml><?xml version="1.0" encoding="utf-8"?>
<table xmlns="http://schemas.openxmlformats.org/spreadsheetml/2006/main" ref="B52:F58" displayName="ENTRANTES" name="ENTRANTES" id="37">
  <tableColumns count="5">
    <tableColumn name="ENTRANTES" id="1"/>
    <tableColumn name="Column 5" id="2"/>
    <tableColumn name="COSTE" id="3"/>
    <tableColumn name="% MARGEN" id="4"/>
    <tableColumn name="Columna 2" id="5"/>
  </tableColumns>
  <tableStyleInfo name="INDICE 25-style 5" showColumnStripes="0" showFirstColumn="1" showLastColumn="1" showRowStripes="1"/>
</table>
</file>

<file path=xl/tables/table38.xml><?xml version="1.0" encoding="utf-8"?>
<table xmlns="http://schemas.openxmlformats.org/spreadsheetml/2006/main" ref="B61:F63" displayName="Tabla_2" name="Tabla_2" id="38">
  <tableColumns count="5">
    <tableColumn name="PRUEBA PATATAS " id="1"/>
    <tableColumn name="Column 5" id="2"/>
    <tableColumn name="COSTE" id="3"/>
    <tableColumn name="% MARGEN" id="4"/>
    <tableColumn name="Columna 2" id="5"/>
  </tableColumns>
  <tableStyleInfo name="INDICE 25-style 6" showColumnStripes="0" showFirstColumn="1" showLastColumn="1" showRowStripes="1"/>
</table>
</file>

<file path=xl/tables/table39.xml><?xml version="1.0" encoding="utf-8"?>
<table xmlns="http://schemas.openxmlformats.org/spreadsheetml/2006/main" ref="B68:F70" displayName="Tabla_1" name="Tabla_1" id="39">
  <tableColumns count="5">
    <tableColumn name="POSTRES" id="1"/>
    <tableColumn name="Column 5" id="2"/>
    <tableColumn name="COSTE" id="3"/>
    <tableColumn name="% MARGEN" id="4"/>
    <tableColumn name="Columna 2" id="5"/>
  </tableColumns>
  <tableStyleInfo name="INDICE 25-style 7" showColumnStripes="0" showFirstColumn="1" showLastColumn="1" showRowStripes="1"/>
</table>
</file>

<file path=xl/tables/table40.xml><?xml version="1.0" encoding="utf-8"?>
<table xmlns="http://schemas.openxmlformats.org/spreadsheetml/2006/main" ref="B73:F84" displayName="Tabla_3" name="Tabla_3" id="40">
  <tableColumns count="5">
    <tableColumn name="TARROS SALSAS" id="1"/>
    <tableColumn name="Column 5" id="2"/>
    <tableColumn name="COSTE" id="3"/>
    <tableColumn name="% MARGEN" id="4"/>
    <tableColumn name="% MARGEN.2" id="5"/>
  </tableColumns>
  <tableStyleInfo name="INDICE 25-style 8" showColumnStripes="0" showFirstColumn="1" showLastColumn="1" showRowStripes="1"/>
</table>
</file>

<file path=xl/tables/table41.xml><?xml version="1.0" encoding="utf-8"?>
<table xmlns="http://schemas.openxmlformats.org/spreadsheetml/2006/main" headerRowCount="0" ref="F15:G18" displayName="Table_32" name="Table_32" id="41">
  <tableColumns count="2">
    <tableColumn name="Column1" id="1"/>
    <tableColumn name="Column2" id="2"/>
  </tableColumns>
  <tableStyleInfo name="CONTEO PRODUCTOS VENDIDOS.-style" showColumnStripes="0" showFirstColumn="1" showLastColumn="1" showRowStripes="1"/>
</table>
</file>

<file path=xl/tables/table42.xml><?xml version="1.0" encoding="utf-8"?>
<table xmlns="http://schemas.openxmlformats.org/spreadsheetml/2006/main" headerRowCount="0" ref="F21:G26" displayName="Table_33" name="Table_33" id="42">
  <tableColumns count="2">
    <tableColumn name="Column1" id="1"/>
    <tableColumn name="Column2" id="2"/>
  </tableColumns>
  <tableStyleInfo name="CONTEO PRODUCTOS VENDIDOS.-style 2" showColumnStripes="0" showFirstColumn="1" showLastColumn="1" showRowStripes="1"/>
</table>
</file>

<file path=xl/tables/table43.xml><?xml version="1.0" encoding="utf-8"?>
<table xmlns="http://schemas.openxmlformats.org/spreadsheetml/2006/main" headerRowCount="0" ref="F29:G37" displayName="Table_34" name="Table_34" id="43">
  <tableColumns count="2">
    <tableColumn name="Column1" id="1"/>
    <tableColumn name="Column2" id="2"/>
  </tableColumns>
  <tableStyleInfo name="CONTEO PRODUCTOS VENDIDOS.-style 3" showColumnStripes="0" showFirstColumn="1" showLastColumn="1" showRowStripes="1"/>
</table>
</file>

<file path=xl/tables/table44.xml><?xml version="1.0" encoding="utf-8"?>
<table xmlns="http://schemas.openxmlformats.org/spreadsheetml/2006/main" ref="B5:G14" displayName="BURGERS_3" name="BURGERS_3" id="44">
  <tableColumns count="6">
    <tableColumn name="BURGER" id="1"/>
    <tableColumn name="PVP" id="2"/>
    <tableColumn name="COSTE" id="3"/>
    <tableColumn name="%MARGEN" id="4"/>
    <tableColumn name="OPCION" id="5"/>
    <tableColumn name="Columna 1" id="6"/>
  </tableColumns>
  <tableStyleInfo name="INDICE 2026-style" showColumnStripes="0" showFirstColumn="1" showLastColumn="1" showRowStripes="1"/>
</table>
</file>

<file path=xl/tables/table45.xml><?xml version="1.0" encoding="utf-8"?>
<table xmlns="http://schemas.openxmlformats.org/spreadsheetml/2006/main" ref="J5:L106" displayName="VENTAS_NOVIEMBRE_3" name="VENTAS_NOVIEMBRE_3" id="45">
  <autoFilter ref="$J$5:$L$106"/>
  <tableColumns count="3">
    <tableColumn name="Categoría" id="1"/>
    <tableColumn name="Producto" id="2"/>
    <tableColumn name="Unidades" id="3"/>
  </tableColumns>
  <tableStyleInfo name="INDICE 2026-style 2" showColumnStripes="0" showFirstColumn="1" showLastColumn="1" showRowStripes="1"/>
</table>
</file>

<file path=xl/tables/table46.xml><?xml version="1.0" encoding="utf-8"?>
<table xmlns="http://schemas.openxmlformats.org/spreadsheetml/2006/main" ref="B18:G42" displayName="BOCATAS_3" name="BOCATAS_3" id="46">
  <tableColumns count="6">
    <tableColumn name="BAGUETTES" id="1"/>
    <tableColumn name="PVP" id="2"/>
    <tableColumn name="COSTE" id="3"/>
    <tableColumn name="%MARGEN" id="4"/>
    <tableColumn name="Columna 1" id="5"/>
    <tableColumn name="Columna 2" id="6"/>
  </tableColumns>
  <tableStyleInfo name="INDICE 2026-style 3" showColumnStripes="0" showFirstColumn="1" showLastColumn="1" showRowStripes="1"/>
</table>
</file>

<file path=xl/tables/table47.xml><?xml version="1.0" encoding="utf-8"?>
<table xmlns="http://schemas.openxmlformats.org/spreadsheetml/2006/main" ref="B44:G50" displayName="SUBS_3" name="SUBS_3" id="47">
  <tableColumns count="6">
    <tableColumn name="BRIOCHES" id="1"/>
    <tableColumn name="PVP" id="2"/>
    <tableColumn name="COSTE" id="3"/>
    <tableColumn name="%MARGEN" id="4"/>
    <tableColumn name="Columna 1" id="5"/>
    <tableColumn name="Columna 2" id="6"/>
  </tableColumns>
  <tableStyleInfo name="INDICE 2026-style 4" showColumnStripes="0" showFirstColumn="1" showLastColumn="1" showRowStripes="1"/>
</table>
</file>

<file path=xl/tables/table48.xml><?xml version="1.0" encoding="utf-8"?>
<table xmlns="http://schemas.openxmlformats.org/spreadsheetml/2006/main" ref="B53:G59" displayName="ENTRANTES_3" name="ENTRANTES_3" id="48">
  <tableColumns count="6">
    <tableColumn name="ENTRANTES" id="1"/>
    <tableColumn name="PVP" id="2"/>
    <tableColumn name="COSTE" id="3"/>
    <tableColumn name="% MARGEN" id="4"/>
    <tableColumn name="Columna 2" id="5"/>
    <tableColumn name="Columna 1" id="6"/>
  </tableColumns>
  <tableStyleInfo name="INDICE 2026-style 5" showColumnStripes="0" showFirstColumn="1" showLastColumn="1" showRowStripes="1"/>
</table>
</file>

<file path=xl/tables/table49.xml><?xml version="1.0" encoding="utf-8"?>
<table xmlns="http://schemas.openxmlformats.org/spreadsheetml/2006/main" ref="B62:F64" displayName="Tabla_6" name="Tabla_6" id="49">
  <tableColumns count="5">
    <tableColumn name="PRUEBA PATATAS " id="1"/>
    <tableColumn name="PVP" id="2"/>
    <tableColumn name="COSTE" id="3"/>
    <tableColumn name="% MARGEN" id="4"/>
    <tableColumn name="Columna 2" id="5"/>
  </tableColumns>
  <tableStyleInfo name="INDICE 2026-style 6" showColumnStripes="0" showFirstColumn="1" showLastColumn="1" showRowStripes="1"/>
</table>
</file>

<file path=xl/tables/table50.xml><?xml version="1.0" encoding="utf-8"?>
<table xmlns="http://schemas.openxmlformats.org/spreadsheetml/2006/main" ref="B69:F72" displayName="Tabla_7" name="Tabla_7" id="50">
  <tableColumns count="5">
    <tableColumn name="POSTRES" id="1"/>
    <tableColumn name="PVP" id="2"/>
    <tableColumn name="COSTE" id="3"/>
    <tableColumn name="% MARGEN" id="4"/>
    <tableColumn name="Columna 2" id="5"/>
  </tableColumns>
  <tableStyleInfo name="INDICE 2026-style 7" showColumnStripes="0" showFirstColumn="1" showLastColumn="1" showRowStripes="1"/>
</table>
</file>

<file path=xl/tables/table51.xml><?xml version="1.0" encoding="utf-8"?>
<table xmlns="http://schemas.openxmlformats.org/spreadsheetml/2006/main" ref="B74:F85" displayName="Tabla_8" name="Tabla_8" id="51">
  <tableColumns count="5">
    <tableColumn name="TARROS SALSAS" id="1"/>
    <tableColumn name="PVP" id="2"/>
    <tableColumn name="COSTE" id="3"/>
    <tableColumn name="% MARGEN" id="4"/>
    <tableColumn name="% MARGEN.2" id="5"/>
  </tableColumns>
  <tableStyleInfo name="INDICE 2026-style 8" showColumnStripes="0" showFirstColumn="1" showLastColumn="1" showRowStripes="1"/>
</table>
</file>

<file path=xl/tables/table52.xml><?xml version="1.0" encoding="utf-8"?>
<table xmlns="http://schemas.openxmlformats.org/spreadsheetml/2006/main" ref="B5:F14" displayName="BURGERS_2" name="BURGERS_2" id="52">
  <tableColumns count="5">
    <tableColumn name="BURGER" id="1"/>
    <tableColumn name="PVP" id="2"/>
    <tableColumn name="COSTE" id="3"/>
    <tableColumn name="%MARGEN" id="4"/>
    <tableColumn name="OPCION" id="5"/>
  </tableColumns>
  <tableStyleInfo name="INDICE UBER-style" showColumnStripes="0" showFirstColumn="1" showLastColumn="1" showRowStripes="1"/>
</table>
</file>

<file path=xl/tables/table53.xml><?xml version="1.0" encoding="utf-8"?>
<table xmlns="http://schemas.openxmlformats.org/spreadsheetml/2006/main" ref="J5:L106" displayName="VENTAS_NOVIEMBRE_2" name="VENTAS_NOVIEMBRE_2" id="53">
  <autoFilter ref="$J$5:$L$106"/>
  <tableColumns count="3">
    <tableColumn name="Categoría" id="1"/>
    <tableColumn name="Producto" id="2"/>
    <tableColumn name="Unidades" id="3"/>
  </tableColumns>
  <tableStyleInfo name="INDICE UBER-style 2" showColumnStripes="0" showFirstColumn="1" showLastColumn="1" showRowStripes="1"/>
</table>
</file>

<file path=xl/tables/table54.xml><?xml version="1.0" encoding="utf-8"?>
<table xmlns="http://schemas.openxmlformats.org/spreadsheetml/2006/main" ref="B18:F42" displayName="BOCATAS_2" name="BOCATAS_2" id="54">
  <tableColumns count="5">
    <tableColumn name="BAGUETTES" id="1"/>
    <tableColumn name="PVP" id="2"/>
    <tableColumn name="COSTE" id="3"/>
    <tableColumn name="%MARGEN" id="4"/>
    <tableColumn name="Columna 1" id="5"/>
  </tableColumns>
  <tableStyleInfo name="INDICE UBER-style 3" showColumnStripes="0" showFirstColumn="1" showLastColumn="1" showRowStripes="1"/>
</table>
</file>

<file path=xl/tables/table55.xml><?xml version="1.0" encoding="utf-8"?>
<table xmlns="http://schemas.openxmlformats.org/spreadsheetml/2006/main" ref="B44:F50" displayName="SUBS_2" name="SUBS_2" id="55">
  <tableColumns count="5">
    <tableColumn name="BRIOCHES" id="1"/>
    <tableColumn name="PVP" id="2"/>
    <tableColumn name="COSTE" id="3"/>
    <tableColumn name="%MARGEN" id="4"/>
    <tableColumn name="Columna 1" id="5"/>
  </tableColumns>
  <tableStyleInfo name="INDICE UBER-style 4" showColumnStripes="0" showFirstColumn="1" showLastColumn="1" showRowStripes="1"/>
</table>
</file>

<file path=xl/tables/table56.xml><?xml version="1.0" encoding="utf-8"?>
<table xmlns="http://schemas.openxmlformats.org/spreadsheetml/2006/main" ref="B52:F58" displayName="ENTRANTES_2" name="ENTRANTES_2" id="56">
  <tableColumns count="5">
    <tableColumn name="ENTRANTES" id="1"/>
    <tableColumn name="PVP" id="2"/>
    <tableColumn name="COSTE" id="3"/>
    <tableColumn name="% MARGEN" id="4"/>
    <tableColumn name="Columna 2" id="5"/>
  </tableColumns>
  <tableStyleInfo name="INDICE UBER-style 5" showColumnStripes="0" showFirstColumn="1" showLastColumn="1" showRowStripes="1"/>
</table>
</file>

<file path=xl/tables/table57.xml><?xml version="1.0" encoding="utf-8"?>
<table xmlns="http://schemas.openxmlformats.org/spreadsheetml/2006/main" ref="B61:F63" displayName="Tabla" name="Tabla" id="57">
  <tableColumns count="5">
    <tableColumn name="PRUEBA PATATAS " id="1"/>
    <tableColumn name="Column 5" id="2"/>
    <tableColumn name="COSTE" id="3"/>
    <tableColumn name="% MARGEN" id="4"/>
    <tableColumn name="Columna 2" id="5"/>
  </tableColumns>
  <tableStyleInfo name="INDICE UBER-style 6" showColumnStripes="0" showFirstColumn="1" showLastColumn="1" showRowStripes="1"/>
</table>
</file>

<file path=xl/tables/table58.xml><?xml version="1.0" encoding="utf-8"?>
<table xmlns="http://schemas.openxmlformats.org/spreadsheetml/2006/main" ref="B68:F72" displayName="Tabla_4" name="Tabla_4" id="58">
  <tableColumns count="5">
    <tableColumn name="POSTRES" id="1"/>
    <tableColumn name="PVP" id="2"/>
    <tableColumn name="COSTE" id="3"/>
    <tableColumn name="% MARGEN" id="4"/>
    <tableColumn name="Columna 2" id="5"/>
  </tableColumns>
  <tableStyleInfo name="INDICE UBER-style 7" showColumnStripes="0" showFirstColumn="1" showLastColumn="1" showRowStripes="1"/>
</table>
</file>

<file path=xl/tables/table59.xml><?xml version="1.0" encoding="utf-8"?>
<table xmlns="http://schemas.openxmlformats.org/spreadsheetml/2006/main" ref="B74:F85" displayName="Tabla_5" name="Tabla_5" id="59">
  <tableColumns count="5">
    <tableColumn name="TARROS SALSAS" id="1"/>
    <tableColumn name="Column 5" id="2"/>
    <tableColumn name="COSTE" id="3"/>
    <tableColumn name="% MARGEN" id="4"/>
    <tableColumn name="% MARGEN.2" id="5"/>
  </tableColumns>
  <tableStyleInfo name="INDICE UBER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5.xml"/><Relationship Id="rId10" Type="http://schemas.openxmlformats.org/officeDocument/2006/relationships/table" Target="../tables/table14.xml"/><Relationship Id="rId13" Type="http://schemas.openxmlformats.org/officeDocument/2006/relationships/table" Target="../tables/table17.xml"/><Relationship Id="rId12" Type="http://schemas.openxmlformats.org/officeDocument/2006/relationships/table" Target="../tables/table16.xml"/><Relationship Id="rId9" Type="http://schemas.openxmlformats.org/officeDocument/2006/relationships/table" Target="../tables/table13.xml"/><Relationship Id="rId15" Type="http://schemas.openxmlformats.org/officeDocument/2006/relationships/table" Target="../tables/table19.xml"/><Relationship Id="rId14" Type="http://schemas.openxmlformats.org/officeDocument/2006/relationships/table" Target="../tables/table1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23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24.xml"/><Relationship Id="rId13" Type="http://schemas.openxmlformats.org/officeDocument/2006/relationships/table" Target="../tables/table26.xml"/><Relationship Id="rId12" Type="http://schemas.openxmlformats.org/officeDocument/2006/relationships/table" Target="../tables/table25.xml"/><Relationship Id="rId15" Type="http://schemas.openxmlformats.org/officeDocument/2006/relationships/table" Target="../tables/table28.xml"/><Relationship Id="rId14" Type="http://schemas.openxmlformats.org/officeDocument/2006/relationships/table" Target="../tables/table27.xml"/><Relationship Id="rId17" Type="http://schemas.openxmlformats.org/officeDocument/2006/relationships/table" Target="../tables/table30.xml"/><Relationship Id="rId16" Type="http://schemas.openxmlformats.org/officeDocument/2006/relationships/table" Target="../tables/table29.xml"/><Relationship Id="rId19" Type="http://schemas.openxmlformats.org/officeDocument/2006/relationships/table" Target="../tables/table32.xml"/><Relationship Id="rId18" Type="http://schemas.openxmlformats.org/officeDocument/2006/relationships/table" Target="../tables/table3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34.xml"/><Relationship Id="rId10" Type="http://schemas.openxmlformats.org/officeDocument/2006/relationships/table" Target="../tables/table33.xml"/><Relationship Id="rId13" Type="http://schemas.openxmlformats.org/officeDocument/2006/relationships/table" Target="../tables/table36.xml"/><Relationship Id="rId12" Type="http://schemas.openxmlformats.org/officeDocument/2006/relationships/table" Target="../tables/table35.xml"/><Relationship Id="rId15" Type="http://schemas.openxmlformats.org/officeDocument/2006/relationships/table" Target="../tables/table38.xml"/><Relationship Id="rId14" Type="http://schemas.openxmlformats.org/officeDocument/2006/relationships/table" Target="../tables/table37.xml"/><Relationship Id="rId17" Type="http://schemas.openxmlformats.org/officeDocument/2006/relationships/table" Target="../tables/table40.xml"/><Relationship Id="rId16" Type="http://schemas.openxmlformats.org/officeDocument/2006/relationships/table" Target="../tables/table3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41.xml"/><Relationship Id="rId6" Type="http://schemas.openxmlformats.org/officeDocument/2006/relationships/table" Target="../tables/table42.xml"/><Relationship Id="rId7" Type="http://schemas.openxmlformats.org/officeDocument/2006/relationships/table" Target="../tables/table4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11" Type="http://schemas.openxmlformats.org/officeDocument/2006/relationships/table" Target="../tables/table45.xml"/><Relationship Id="rId10" Type="http://schemas.openxmlformats.org/officeDocument/2006/relationships/table" Target="../tables/table44.xml"/><Relationship Id="rId13" Type="http://schemas.openxmlformats.org/officeDocument/2006/relationships/table" Target="../tables/table47.xml"/><Relationship Id="rId12" Type="http://schemas.openxmlformats.org/officeDocument/2006/relationships/table" Target="../tables/table46.xml"/><Relationship Id="rId15" Type="http://schemas.openxmlformats.org/officeDocument/2006/relationships/table" Target="../tables/table49.xml"/><Relationship Id="rId14" Type="http://schemas.openxmlformats.org/officeDocument/2006/relationships/table" Target="../tables/table48.xml"/><Relationship Id="rId17" Type="http://schemas.openxmlformats.org/officeDocument/2006/relationships/table" Target="../tables/table51.xml"/><Relationship Id="rId16" Type="http://schemas.openxmlformats.org/officeDocument/2006/relationships/table" Target="../tables/table5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11" Type="http://schemas.openxmlformats.org/officeDocument/2006/relationships/table" Target="../tables/table53.xml"/><Relationship Id="rId10" Type="http://schemas.openxmlformats.org/officeDocument/2006/relationships/table" Target="../tables/table52.xml"/><Relationship Id="rId13" Type="http://schemas.openxmlformats.org/officeDocument/2006/relationships/table" Target="../tables/table55.xml"/><Relationship Id="rId12" Type="http://schemas.openxmlformats.org/officeDocument/2006/relationships/table" Target="../tables/table54.xml"/><Relationship Id="rId15" Type="http://schemas.openxmlformats.org/officeDocument/2006/relationships/table" Target="../tables/table57.xml"/><Relationship Id="rId14" Type="http://schemas.openxmlformats.org/officeDocument/2006/relationships/table" Target="../tables/table56.xml"/><Relationship Id="rId17" Type="http://schemas.openxmlformats.org/officeDocument/2006/relationships/table" Target="../tables/table59.xml"/><Relationship Id="rId16" Type="http://schemas.openxmlformats.org/officeDocument/2006/relationships/table" Target="../tables/table58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19.88"/>
    <col customWidth="1" min="3" max="3" width="44.88"/>
    <col customWidth="1" min="4" max="4" width="17.75"/>
    <col customWidth="1" min="5" max="5" width="9.88"/>
    <col customWidth="1" min="6" max="6" width="15.5"/>
    <col customWidth="1" min="7" max="7" width="9.38"/>
    <col customWidth="1" min="8" max="9" width="16.63"/>
  </cols>
  <sheetData>
    <row r="1" ht="69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2.5" customHeight="1">
      <c r="A2" s="8">
        <v>1.0</v>
      </c>
      <c r="B2" s="9" t="s">
        <v>9</v>
      </c>
      <c r="C2" s="10" t="s">
        <v>10</v>
      </c>
      <c r="D2" s="11">
        <v>25.0</v>
      </c>
      <c r="E2" s="12" t="s">
        <v>11</v>
      </c>
      <c r="F2" s="13">
        <v>45.8</v>
      </c>
      <c r="G2" s="12" t="s">
        <v>11</v>
      </c>
      <c r="H2" s="14">
        <f t="shared" ref="H2:H40" si="1">F2/D2</f>
        <v>1.832</v>
      </c>
      <c r="I2" s="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2.5" customHeight="1">
      <c r="A3" s="16">
        <f t="shared" ref="A3:A165" si="2">A2+1</f>
        <v>2</v>
      </c>
      <c r="B3" s="17" t="s">
        <v>9</v>
      </c>
      <c r="C3" s="10" t="s">
        <v>12</v>
      </c>
      <c r="D3" s="18">
        <v>25.0</v>
      </c>
      <c r="E3" s="12" t="s">
        <v>11</v>
      </c>
      <c r="F3" s="19">
        <v>37.95</v>
      </c>
      <c r="G3" s="12" t="s">
        <v>11</v>
      </c>
      <c r="H3" s="14">
        <f t="shared" si="1"/>
        <v>1.518</v>
      </c>
      <c r="I3" s="1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2.5" customHeight="1">
      <c r="A4" s="16">
        <f t="shared" si="2"/>
        <v>3</v>
      </c>
      <c r="B4" s="20" t="s">
        <v>9</v>
      </c>
      <c r="C4" s="21" t="s">
        <v>13</v>
      </c>
      <c r="D4" s="22">
        <v>1.0</v>
      </c>
      <c r="E4" s="12" t="s">
        <v>14</v>
      </c>
      <c r="F4" s="23">
        <v>5.75</v>
      </c>
      <c r="G4" s="12" t="s">
        <v>14</v>
      </c>
      <c r="H4" s="14">
        <f t="shared" si="1"/>
        <v>5.75</v>
      </c>
      <c r="I4" s="1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2.5" customHeight="1">
      <c r="A5" s="16">
        <f t="shared" si="2"/>
        <v>4</v>
      </c>
      <c r="B5" s="24" t="s">
        <v>15</v>
      </c>
      <c r="C5" s="25" t="s">
        <v>16</v>
      </c>
      <c r="D5" s="26">
        <v>1.0</v>
      </c>
      <c r="E5" s="27" t="s">
        <v>14</v>
      </c>
      <c r="F5" s="28">
        <f>5.07-(5.07*5%)</f>
        <v>4.8165</v>
      </c>
      <c r="G5" s="12" t="s">
        <v>14</v>
      </c>
      <c r="H5" s="14">
        <f t="shared" si="1"/>
        <v>4.8165</v>
      </c>
      <c r="I5" s="29" t="s">
        <v>17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2.5" customHeight="1">
      <c r="A6" s="16">
        <f t="shared" si="2"/>
        <v>5</v>
      </c>
      <c r="B6" s="30" t="s">
        <v>18</v>
      </c>
      <c r="C6" s="31" t="s">
        <v>19</v>
      </c>
      <c r="D6" s="32">
        <v>250.0</v>
      </c>
      <c r="E6" s="12" t="s">
        <v>20</v>
      </c>
      <c r="F6" s="33">
        <v>25.0</v>
      </c>
      <c r="G6" s="12" t="s">
        <v>20</v>
      </c>
      <c r="H6" s="14">
        <f t="shared" si="1"/>
        <v>0.1</v>
      </c>
      <c r="I6" s="1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>
      <c r="A7" s="16">
        <f t="shared" si="2"/>
        <v>6</v>
      </c>
      <c r="B7" s="34" t="s">
        <v>21</v>
      </c>
      <c r="C7" s="35" t="s">
        <v>22</v>
      </c>
      <c r="D7" s="36">
        <v>1.0</v>
      </c>
      <c r="E7" s="12" t="s">
        <v>20</v>
      </c>
      <c r="F7" s="37">
        <v>0.243</v>
      </c>
      <c r="G7" s="12" t="s">
        <v>20</v>
      </c>
      <c r="H7" s="14">
        <f t="shared" si="1"/>
        <v>0.243</v>
      </c>
      <c r="I7" s="1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>
      <c r="A8" s="16">
        <f t="shared" si="2"/>
        <v>7</v>
      </c>
      <c r="B8" s="30" t="s">
        <v>18</v>
      </c>
      <c r="C8" s="31" t="s">
        <v>23</v>
      </c>
      <c r="D8" s="32">
        <v>250.0</v>
      </c>
      <c r="E8" s="12" t="s">
        <v>20</v>
      </c>
      <c r="F8" s="38">
        <v>31.15</v>
      </c>
      <c r="G8" s="12" t="s">
        <v>20</v>
      </c>
      <c r="H8" s="14">
        <f t="shared" si="1"/>
        <v>0.1246</v>
      </c>
      <c r="I8" s="1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>
      <c r="A9" s="16">
        <f t="shared" si="2"/>
        <v>8</v>
      </c>
      <c r="B9" s="34" t="s">
        <v>18</v>
      </c>
      <c r="C9" s="39" t="s">
        <v>24</v>
      </c>
      <c r="D9" s="40">
        <v>500.0</v>
      </c>
      <c r="E9" s="12" t="s">
        <v>20</v>
      </c>
      <c r="F9" s="41">
        <v>37.97</v>
      </c>
      <c r="G9" s="12" t="s">
        <v>20</v>
      </c>
      <c r="H9" s="14">
        <f t="shared" si="1"/>
        <v>0.07594</v>
      </c>
      <c r="I9" s="1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2.5" customHeight="1">
      <c r="A10" s="16">
        <f t="shared" si="2"/>
        <v>9</v>
      </c>
      <c r="B10" s="34" t="s">
        <v>18</v>
      </c>
      <c r="C10" s="39" t="s">
        <v>25</v>
      </c>
      <c r="D10" s="40">
        <v>500.0</v>
      </c>
      <c r="E10" s="27" t="s">
        <v>14</v>
      </c>
      <c r="F10" s="41">
        <v>89.49</v>
      </c>
      <c r="G10" s="27"/>
      <c r="H10" s="14">
        <f t="shared" si="1"/>
        <v>0.17898</v>
      </c>
      <c r="I10" s="42" t="s">
        <v>26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2.5" customHeight="1">
      <c r="A11" s="16">
        <f t="shared" si="2"/>
        <v>10</v>
      </c>
      <c r="B11" s="30" t="s">
        <v>18</v>
      </c>
      <c r="C11" s="31" t="s">
        <v>27</v>
      </c>
      <c r="D11" s="32">
        <v>500.0</v>
      </c>
      <c r="E11" s="27" t="s">
        <v>14</v>
      </c>
      <c r="F11" s="33">
        <v>40.14</v>
      </c>
      <c r="G11" s="27"/>
      <c r="H11" s="14">
        <f t="shared" si="1"/>
        <v>0.08028</v>
      </c>
      <c r="I11" s="1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2.5" customHeight="1">
      <c r="A12" s="16">
        <f t="shared" si="2"/>
        <v>11</v>
      </c>
      <c r="B12" s="30" t="s">
        <v>21</v>
      </c>
      <c r="C12" s="43" t="s">
        <v>28</v>
      </c>
      <c r="D12" s="44">
        <v>1.0</v>
      </c>
      <c r="E12" s="27" t="s">
        <v>14</v>
      </c>
      <c r="F12" s="45">
        <v>0.261</v>
      </c>
      <c r="G12" s="27"/>
      <c r="H12" s="14">
        <f t="shared" si="1"/>
        <v>0.261</v>
      </c>
      <c r="I12" s="1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2.5" customHeight="1">
      <c r="A13" s="16">
        <f t="shared" si="2"/>
        <v>12</v>
      </c>
      <c r="B13" s="24" t="s">
        <v>29</v>
      </c>
      <c r="C13" s="46" t="s">
        <v>30</v>
      </c>
      <c r="D13" s="47">
        <v>1.0</v>
      </c>
      <c r="E13" s="27" t="s">
        <v>14</v>
      </c>
      <c r="F13" s="48">
        <f>9/1.1</f>
        <v>8.181818182</v>
      </c>
      <c r="G13" s="27"/>
      <c r="H13" s="14">
        <f t="shared" si="1"/>
        <v>8.181818182</v>
      </c>
      <c r="I13" s="1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2.5" customHeight="1">
      <c r="A14" s="16">
        <f t="shared" si="2"/>
        <v>13</v>
      </c>
      <c r="B14" s="49" t="s">
        <v>31</v>
      </c>
      <c r="C14" s="50" t="s">
        <v>32</v>
      </c>
      <c r="D14" s="51">
        <v>0.9</v>
      </c>
      <c r="E14" s="27" t="s">
        <v>14</v>
      </c>
      <c r="F14" s="52">
        <v>5.62</v>
      </c>
      <c r="G14" s="27"/>
      <c r="H14" s="14">
        <f t="shared" si="1"/>
        <v>6.244444444</v>
      </c>
      <c r="I14" s="1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2.5" customHeight="1">
      <c r="A15" s="16">
        <f t="shared" si="2"/>
        <v>14</v>
      </c>
      <c r="B15" s="24" t="s">
        <v>33</v>
      </c>
      <c r="C15" s="53" t="s">
        <v>34</v>
      </c>
      <c r="D15" s="54">
        <v>0.5</v>
      </c>
      <c r="E15" s="55" t="s">
        <v>14</v>
      </c>
      <c r="F15" s="56">
        <v>3.47</v>
      </c>
      <c r="G15" s="55"/>
      <c r="H15" s="57">
        <f t="shared" si="1"/>
        <v>6.94</v>
      </c>
      <c r="I15" s="5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2.5" customHeight="1">
      <c r="A16" s="16">
        <f t="shared" si="2"/>
        <v>15</v>
      </c>
      <c r="B16" s="59" t="s">
        <v>35</v>
      </c>
      <c r="C16" s="60" t="s">
        <v>36</v>
      </c>
      <c r="D16" s="61"/>
      <c r="E16" s="55" t="s">
        <v>14</v>
      </c>
      <c r="F16" s="62"/>
      <c r="G16" s="55"/>
      <c r="H16" s="57" t="str">
        <f t="shared" si="1"/>
        <v>#DIV/0!</v>
      </c>
      <c r="I16" s="5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2.5" customHeight="1">
      <c r="A17" s="16">
        <f t="shared" si="2"/>
        <v>16</v>
      </c>
      <c r="B17" s="59" t="s">
        <v>37</v>
      </c>
      <c r="C17" s="60" t="s">
        <v>36</v>
      </c>
      <c r="D17" s="61"/>
      <c r="E17" s="55" t="s">
        <v>14</v>
      </c>
      <c r="F17" s="62"/>
      <c r="G17" s="55"/>
      <c r="H17" s="57" t="str">
        <f t="shared" si="1"/>
        <v>#DIV/0!</v>
      </c>
      <c r="I17" s="5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2.5" customHeight="1">
      <c r="A18" s="16">
        <f t="shared" si="2"/>
        <v>17</v>
      </c>
      <c r="B18" s="59" t="s">
        <v>35</v>
      </c>
      <c r="C18" s="60" t="s">
        <v>38</v>
      </c>
      <c r="D18" s="61"/>
      <c r="E18" s="55" t="s">
        <v>14</v>
      </c>
      <c r="F18" s="62"/>
      <c r="G18" s="55"/>
      <c r="H18" s="57" t="str">
        <f t="shared" si="1"/>
        <v>#DIV/0!</v>
      </c>
      <c r="I18" s="5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2.5" customHeight="1">
      <c r="A19" s="16">
        <f t="shared" si="2"/>
        <v>18</v>
      </c>
      <c r="B19" s="59" t="s">
        <v>37</v>
      </c>
      <c r="C19" s="60" t="s">
        <v>38</v>
      </c>
      <c r="D19" s="61"/>
      <c r="E19" s="55" t="s">
        <v>14</v>
      </c>
      <c r="F19" s="62"/>
      <c r="G19" s="55"/>
      <c r="H19" s="57" t="str">
        <f t="shared" si="1"/>
        <v>#DIV/0!</v>
      </c>
      <c r="I19" s="5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2.5" customHeight="1">
      <c r="A20" s="16">
        <f t="shared" si="2"/>
        <v>19</v>
      </c>
      <c r="B20" s="63" t="s">
        <v>15</v>
      </c>
      <c r="C20" s="64" t="s">
        <v>39</v>
      </c>
      <c r="D20" s="65">
        <v>8.0</v>
      </c>
      <c r="E20" s="27" t="s">
        <v>14</v>
      </c>
      <c r="F20" s="66">
        <v>80.0</v>
      </c>
      <c r="G20" s="27"/>
      <c r="H20" s="14">
        <f t="shared" si="1"/>
        <v>10</v>
      </c>
      <c r="I20" s="29" t="s">
        <v>40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2.5" customHeight="1">
      <c r="A21" s="16">
        <f t="shared" si="2"/>
        <v>20</v>
      </c>
      <c r="B21" s="63" t="s">
        <v>41</v>
      </c>
      <c r="C21" s="67" t="s">
        <v>42</v>
      </c>
      <c r="D21" s="68">
        <v>3.0</v>
      </c>
      <c r="E21" s="27" t="s">
        <v>14</v>
      </c>
      <c r="F21" s="69">
        <v>18.05</v>
      </c>
      <c r="G21" s="27"/>
      <c r="H21" s="14">
        <f t="shared" si="1"/>
        <v>6.016666667</v>
      </c>
      <c r="I21" s="1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2.5" customHeight="1">
      <c r="A22" s="16">
        <f t="shared" si="2"/>
        <v>21</v>
      </c>
      <c r="B22" s="49" t="s">
        <v>43</v>
      </c>
      <c r="C22" s="70" t="s">
        <v>44</v>
      </c>
      <c r="D22" s="71">
        <v>1.0</v>
      </c>
      <c r="E22" s="12" t="s">
        <v>14</v>
      </c>
      <c r="F22" s="72">
        <v>8.56</v>
      </c>
      <c r="G22" s="27"/>
      <c r="H22" s="14">
        <f t="shared" si="1"/>
        <v>8.56</v>
      </c>
      <c r="I22" s="1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2.5" customHeight="1">
      <c r="A23" s="16">
        <f t="shared" si="2"/>
        <v>22</v>
      </c>
      <c r="B23" s="20" t="s">
        <v>43</v>
      </c>
      <c r="C23" s="70" t="s">
        <v>45</v>
      </c>
      <c r="D23" s="71">
        <v>1.0</v>
      </c>
      <c r="E23" s="27"/>
      <c r="F23" s="72">
        <v>7.11</v>
      </c>
      <c r="G23" s="27"/>
      <c r="H23" s="14">
        <f t="shared" si="1"/>
        <v>7.11</v>
      </c>
      <c r="I23" s="1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2.5" customHeight="1">
      <c r="A24" s="16">
        <f t="shared" si="2"/>
        <v>23</v>
      </c>
      <c r="B24" s="49" t="s">
        <v>43</v>
      </c>
      <c r="C24" s="67" t="s">
        <v>46</v>
      </c>
      <c r="D24" s="68">
        <v>3.0</v>
      </c>
      <c r="E24" s="27" t="s">
        <v>14</v>
      </c>
      <c r="F24" s="72">
        <v>13.17</v>
      </c>
      <c r="G24" s="27"/>
      <c r="H24" s="14">
        <f t="shared" si="1"/>
        <v>4.39</v>
      </c>
      <c r="I24" s="1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2.5" customHeight="1">
      <c r="A25" s="16">
        <f t="shared" si="2"/>
        <v>24</v>
      </c>
      <c r="B25" s="24" t="s">
        <v>41</v>
      </c>
      <c r="C25" s="67" t="s">
        <v>47</v>
      </c>
      <c r="D25" s="68">
        <v>1.0</v>
      </c>
      <c r="E25" s="27" t="s">
        <v>14</v>
      </c>
      <c r="F25" s="69">
        <v>8.56</v>
      </c>
      <c r="G25" s="27"/>
      <c r="H25" s="14">
        <f t="shared" si="1"/>
        <v>8.56</v>
      </c>
      <c r="I25" s="1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2.5" customHeight="1">
      <c r="A26" s="16">
        <f t="shared" si="2"/>
        <v>25</v>
      </c>
      <c r="B26" s="49" t="s">
        <v>48</v>
      </c>
      <c r="C26" s="67" t="s">
        <v>49</v>
      </c>
      <c r="D26" s="73">
        <v>1.0</v>
      </c>
      <c r="E26" s="27"/>
      <c r="F26" s="74">
        <v>11.9</v>
      </c>
      <c r="G26" s="27"/>
      <c r="H26" s="14">
        <f t="shared" si="1"/>
        <v>11.9</v>
      </c>
      <c r="I26" s="1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2.5" customHeight="1">
      <c r="A27" s="16">
        <f t="shared" si="2"/>
        <v>26</v>
      </c>
      <c r="B27" s="49" t="s">
        <v>48</v>
      </c>
      <c r="C27" s="67" t="s">
        <v>50</v>
      </c>
      <c r="D27" s="11">
        <v>1.0</v>
      </c>
      <c r="E27" s="27"/>
      <c r="F27" s="13">
        <v>7.99</v>
      </c>
      <c r="G27" s="27"/>
      <c r="H27" s="14">
        <f t="shared" si="1"/>
        <v>7.99</v>
      </c>
      <c r="I27" s="1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2.5" customHeight="1">
      <c r="A28" s="16">
        <f t="shared" si="2"/>
        <v>27</v>
      </c>
      <c r="B28" s="49" t="s">
        <v>48</v>
      </c>
      <c r="C28" s="75" t="s">
        <v>51</v>
      </c>
      <c r="D28" s="51">
        <v>1.0</v>
      </c>
      <c r="E28" s="27"/>
      <c r="F28" s="52">
        <v>7.55</v>
      </c>
      <c r="G28" s="27"/>
      <c r="H28" s="14">
        <f t="shared" si="1"/>
        <v>7.55</v>
      </c>
      <c r="I28" s="1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2.5" customHeight="1">
      <c r="A29" s="16">
        <f t="shared" si="2"/>
        <v>28</v>
      </c>
      <c r="B29" s="30" t="s">
        <v>52</v>
      </c>
      <c r="C29" s="76" t="s">
        <v>53</v>
      </c>
      <c r="D29" s="77">
        <v>20000.0</v>
      </c>
      <c r="E29" s="12" t="s">
        <v>20</v>
      </c>
      <c r="F29" s="66">
        <f>1746*2</f>
        <v>3492</v>
      </c>
      <c r="G29" s="12" t="s">
        <v>20</v>
      </c>
      <c r="H29" s="14">
        <f t="shared" si="1"/>
        <v>0.1746</v>
      </c>
      <c r="I29" s="1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2.5" customHeight="1">
      <c r="A30" s="16">
        <f t="shared" si="2"/>
        <v>29</v>
      </c>
      <c r="B30" s="34" t="s">
        <v>18</v>
      </c>
      <c r="C30" s="78" t="s">
        <v>54</v>
      </c>
      <c r="D30" s="22">
        <v>50.0</v>
      </c>
      <c r="E30" s="12" t="s">
        <v>20</v>
      </c>
      <c r="F30" s="79">
        <v>9.73</v>
      </c>
      <c r="G30" s="12" t="s">
        <v>20</v>
      </c>
      <c r="H30" s="14">
        <f t="shared" si="1"/>
        <v>0.1946</v>
      </c>
      <c r="I30" s="1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2.5" customHeight="1">
      <c r="A31" s="16">
        <f t="shared" si="2"/>
        <v>30</v>
      </c>
      <c r="B31" s="80" t="s">
        <v>55</v>
      </c>
      <c r="C31" s="75" t="s">
        <v>56</v>
      </c>
      <c r="D31" s="81">
        <v>1.0</v>
      </c>
      <c r="E31" s="27" t="s">
        <v>14</v>
      </c>
      <c r="F31" s="82">
        <v>7.0</v>
      </c>
      <c r="G31" s="27"/>
      <c r="H31" s="14">
        <f t="shared" si="1"/>
        <v>7</v>
      </c>
      <c r="I31" s="15"/>
      <c r="J31" s="7"/>
      <c r="K31" s="8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2.5" customHeight="1">
      <c r="A32" s="16">
        <f t="shared" si="2"/>
        <v>31</v>
      </c>
      <c r="B32" s="84" t="s">
        <v>15</v>
      </c>
      <c r="C32" s="85" t="s">
        <v>57</v>
      </c>
      <c r="D32" s="86">
        <v>15.0</v>
      </c>
      <c r="E32" s="12" t="s">
        <v>20</v>
      </c>
      <c r="F32" s="13">
        <f>11.25-(11.25*5%)</f>
        <v>10.6875</v>
      </c>
      <c r="G32" s="27"/>
      <c r="H32" s="14">
        <f t="shared" si="1"/>
        <v>0.7125</v>
      </c>
      <c r="I32" s="87" t="s">
        <v>58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2.5" customHeight="1">
      <c r="A33" s="16">
        <f t="shared" si="2"/>
        <v>32</v>
      </c>
      <c r="B33" s="49" t="s">
        <v>59</v>
      </c>
      <c r="C33" s="64" t="s">
        <v>60</v>
      </c>
      <c r="D33" s="18">
        <v>1.0</v>
      </c>
      <c r="E33" s="27"/>
      <c r="F33" s="19">
        <v>2.5</v>
      </c>
      <c r="G33" s="27"/>
      <c r="H33" s="14">
        <f t="shared" si="1"/>
        <v>2.5</v>
      </c>
      <c r="I33" s="1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2.5" customHeight="1">
      <c r="A34" s="16">
        <f t="shared" si="2"/>
        <v>33</v>
      </c>
      <c r="B34" s="34" t="s">
        <v>18</v>
      </c>
      <c r="C34" s="88" t="s">
        <v>61</v>
      </c>
      <c r="D34" s="40">
        <v>500.0</v>
      </c>
      <c r="E34" s="27" t="s">
        <v>14</v>
      </c>
      <c r="F34" s="89">
        <v>70.0</v>
      </c>
      <c r="G34" s="27"/>
      <c r="H34" s="14">
        <f t="shared" si="1"/>
        <v>0.14</v>
      </c>
      <c r="I34" s="90" t="s">
        <v>62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2.5" customHeight="1">
      <c r="A35" s="16">
        <f t="shared" si="2"/>
        <v>34</v>
      </c>
      <c r="B35" s="91" t="s">
        <v>59</v>
      </c>
      <c r="C35" s="92" t="s">
        <v>63</v>
      </c>
      <c r="D35" s="18">
        <v>1.0</v>
      </c>
      <c r="E35" s="12" t="s">
        <v>11</v>
      </c>
      <c r="F35" s="93">
        <v>3.75</v>
      </c>
      <c r="G35" s="12" t="s">
        <v>11</v>
      </c>
      <c r="H35" s="14">
        <f t="shared" si="1"/>
        <v>3.75</v>
      </c>
      <c r="I35" s="1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2.5" customHeight="1">
      <c r="A36" s="16">
        <f t="shared" si="2"/>
        <v>35</v>
      </c>
      <c r="B36" s="94" t="s">
        <v>59</v>
      </c>
      <c r="C36" s="78" t="s">
        <v>64</v>
      </c>
      <c r="D36" s="22">
        <v>20.0</v>
      </c>
      <c r="E36" s="12" t="s">
        <v>20</v>
      </c>
      <c r="F36" s="23">
        <v>2.9</v>
      </c>
      <c r="G36" s="27"/>
      <c r="H36" s="14">
        <f t="shared" si="1"/>
        <v>0.145</v>
      </c>
      <c r="I36" s="1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2.5" customHeight="1">
      <c r="A37" s="16">
        <f t="shared" si="2"/>
        <v>36</v>
      </c>
      <c r="B37" s="63" t="s">
        <v>15</v>
      </c>
      <c r="C37" s="67" t="s">
        <v>65</v>
      </c>
      <c r="D37" s="68">
        <v>1.0</v>
      </c>
      <c r="E37" s="27" t="s">
        <v>14</v>
      </c>
      <c r="F37" s="69">
        <v>1.1</v>
      </c>
      <c r="G37" s="27"/>
      <c r="H37" s="14">
        <f t="shared" si="1"/>
        <v>1.1</v>
      </c>
      <c r="I37" s="1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2.5" customHeight="1">
      <c r="A38" s="16">
        <f t="shared" si="2"/>
        <v>37</v>
      </c>
      <c r="B38" s="24" t="s">
        <v>33</v>
      </c>
      <c r="C38" s="25" t="s">
        <v>66</v>
      </c>
      <c r="D38" s="95">
        <v>1.0</v>
      </c>
      <c r="E38" s="27" t="s">
        <v>14</v>
      </c>
      <c r="F38" s="96">
        <v>7.0</v>
      </c>
      <c r="G38" s="12" t="s">
        <v>14</v>
      </c>
      <c r="H38" s="14">
        <f t="shared" si="1"/>
        <v>7</v>
      </c>
      <c r="I38" s="1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22.5" customHeight="1">
      <c r="A39" s="16">
        <f t="shared" si="2"/>
        <v>38</v>
      </c>
      <c r="B39" s="84" t="s">
        <v>67</v>
      </c>
      <c r="C39" s="85" t="s">
        <v>68</v>
      </c>
      <c r="D39" s="86">
        <v>1.0</v>
      </c>
      <c r="E39" s="27" t="s">
        <v>14</v>
      </c>
      <c r="F39" s="13">
        <v>6.0</v>
      </c>
      <c r="G39" s="27"/>
      <c r="H39" s="14">
        <f t="shared" si="1"/>
        <v>6</v>
      </c>
      <c r="I39" s="1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22.5" customHeight="1">
      <c r="A40" s="16">
        <f t="shared" si="2"/>
        <v>39</v>
      </c>
      <c r="B40" s="59" t="s">
        <v>35</v>
      </c>
      <c r="C40" s="97" t="s">
        <v>69</v>
      </c>
      <c r="D40" s="98">
        <v>1.0</v>
      </c>
      <c r="E40" s="27" t="s">
        <v>14</v>
      </c>
      <c r="F40" s="99">
        <v>1.04</v>
      </c>
      <c r="G40" s="27"/>
      <c r="H40" s="14">
        <f t="shared" si="1"/>
        <v>1.04</v>
      </c>
      <c r="I40" s="1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22.5" customHeight="1">
      <c r="A41" s="16">
        <f t="shared" si="2"/>
        <v>40</v>
      </c>
      <c r="B41" s="100" t="s">
        <v>70</v>
      </c>
      <c r="C41" s="101" t="s">
        <v>71</v>
      </c>
      <c r="D41" s="102"/>
      <c r="E41" s="55"/>
      <c r="F41" s="103"/>
      <c r="G41" s="55"/>
      <c r="H41" s="57"/>
      <c r="I41" s="1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22.5" customHeight="1">
      <c r="A42" s="16">
        <f t="shared" si="2"/>
        <v>41</v>
      </c>
      <c r="B42" s="49" t="s">
        <v>31</v>
      </c>
      <c r="C42" s="50" t="s">
        <v>72</v>
      </c>
      <c r="D42" s="73">
        <v>0.8</v>
      </c>
      <c r="E42" s="27" t="s">
        <v>14</v>
      </c>
      <c r="F42" s="74">
        <v>6.02</v>
      </c>
      <c r="G42" s="12" t="s">
        <v>14</v>
      </c>
      <c r="H42" s="14">
        <f t="shared" ref="H42:H45" si="3">F42/D42</f>
        <v>7.525</v>
      </c>
      <c r="I42" s="1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16">
        <f t="shared" si="2"/>
        <v>42</v>
      </c>
      <c r="B43" s="63" t="s">
        <v>73</v>
      </c>
      <c r="C43" s="50" t="s">
        <v>74</v>
      </c>
      <c r="D43" s="73">
        <v>1.0</v>
      </c>
      <c r="E43" s="27" t="s">
        <v>14</v>
      </c>
      <c r="F43" s="74">
        <v>7.2</v>
      </c>
      <c r="G43" s="27"/>
      <c r="H43" s="14">
        <f t="shared" si="3"/>
        <v>7.2</v>
      </c>
      <c r="I43" s="1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16">
        <f t="shared" si="2"/>
        <v>43</v>
      </c>
      <c r="B44" s="24" t="s">
        <v>29</v>
      </c>
      <c r="C44" s="78" t="s">
        <v>75</v>
      </c>
      <c r="D44" s="104">
        <v>1.0</v>
      </c>
      <c r="E44" s="27" t="s">
        <v>14</v>
      </c>
      <c r="F44" s="79">
        <v>5.8</v>
      </c>
      <c r="G44" s="27"/>
      <c r="H44" s="14">
        <f t="shared" si="3"/>
        <v>5.8</v>
      </c>
      <c r="I44" s="1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16">
        <f t="shared" si="2"/>
        <v>44</v>
      </c>
      <c r="B45" s="63" t="s">
        <v>76</v>
      </c>
      <c r="C45" s="50" t="s">
        <v>77</v>
      </c>
      <c r="D45" s="81">
        <v>55.0</v>
      </c>
      <c r="E45" s="12" t="s">
        <v>20</v>
      </c>
      <c r="F45" s="52">
        <v>14.51</v>
      </c>
      <c r="G45" s="12" t="s">
        <v>20</v>
      </c>
      <c r="H45" s="14">
        <f t="shared" si="3"/>
        <v>0.2638181818</v>
      </c>
      <c r="I45" s="1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16">
        <f t="shared" si="2"/>
        <v>45</v>
      </c>
      <c r="B46" s="24"/>
      <c r="C46" s="105"/>
      <c r="D46" s="106"/>
      <c r="E46" s="27"/>
      <c r="F46" s="107"/>
      <c r="G46" s="27"/>
      <c r="H46" s="14"/>
      <c r="I46" s="1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16">
        <f t="shared" si="2"/>
        <v>46</v>
      </c>
      <c r="B47" s="63" t="s">
        <v>15</v>
      </c>
      <c r="C47" s="64" t="s">
        <v>78</v>
      </c>
      <c r="D47" s="45">
        <v>24.0</v>
      </c>
      <c r="E47" s="27" t="s">
        <v>14</v>
      </c>
      <c r="F47" s="66">
        <f>8.99-(8.99*5%)</f>
        <v>8.5405</v>
      </c>
      <c r="G47" s="27"/>
      <c r="H47" s="14">
        <f t="shared" ref="H47:H48" si="4">F47/D47</f>
        <v>0.3558541667</v>
      </c>
      <c r="I47" s="87" t="s">
        <v>58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16">
        <f t="shared" si="2"/>
        <v>47</v>
      </c>
      <c r="B48" s="84" t="s">
        <v>15</v>
      </c>
      <c r="C48" s="85" t="s">
        <v>79</v>
      </c>
      <c r="D48" s="108">
        <v>30.0</v>
      </c>
      <c r="E48" s="27" t="s">
        <v>14</v>
      </c>
      <c r="F48" s="109">
        <f>17.7-(17.7*5%)</f>
        <v>16.815</v>
      </c>
      <c r="G48" s="27"/>
      <c r="H48" s="14">
        <f t="shared" si="4"/>
        <v>0.5605</v>
      </c>
      <c r="I48" s="87" t="s">
        <v>58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16">
        <f t="shared" si="2"/>
        <v>48</v>
      </c>
      <c r="B49" s="17"/>
      <c r="C49" s="110"/>
      <c r="D49" s="111"/>
      <c r="E49" s="12"/>
      <c r="F49" s="112"/>
      <c r="G49" s="12"/>
      <c r="H49" s="14"/>
      <c r="I49" s="1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16">
        <f t="shared" si="2"/>
        <v>49</v>
      </c>
      <c r="B50" s="30"/>
      <c r="C50" s="76"/>
      <c r="D50" s="113"/>
      <c r="E50" s="27"/>
      <c r="F50" s="66"/>
      <c r="G50" s="27"/>
      <c r="H50" s="14"/>
      <c r="I50" s="1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16">
        <f t="shared" si="2"/>
        <v>50</v>
      </c>
      <c r="B51" s="34" t="s">
        <v>80</v>
      </c>
      <c r="C51" s="78" t="s">
        <v>81</v>
      </c>
      <c r="D51" s="114">
        <v>0.03</v>
      </c>
      <c r="E51" s="27" t="s">
        <v>14</v>
      </c>
      <c r="F51" s="115"/>
      <c r="G51" s="27"/>
      <c r="H51" s="14">
        <v>0.03</v>
      </c>
      <c r="I51" s="1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16">
        <f t="shared" si="2"/>
        <v>51</v>
      </c>
      <c r="B52" s="30" t="s">
        <v>73</v>
      </c>
      <c r="C52" s="64" t="s">
        <v>82</v>
      </c>
      <c r="D52" s="44">
        <v>1.0</v>
      </c>
      <c r="E52" s="27" t="s">
        <v>14</v>
      </c>
      <c r="F52" s="116">
        <v>2.35</v>
      </c>
      <c r="G52" s="27"/>
      <c r="H52" s="14">
        <f>F52/D52</f>
        <v>2.35</v>
      </c>
      <c r="I52" s="1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16">
        <f t="shared" si="2"/>
        <v>52</v>
      </c>
      <c r="B53" s="24"/>
      <c r="C53" s="117"/>
      <c r="D53" s="118"/>
      <c r="E53" s="27"/>
      <c r="F53" s="119"/>
      <c r="G53" s="27"/>
      <c r="H53" s="14"/>
      <c r="I53" s="1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16">
        <f t="shared" si="2"/>
        <v>53</v>
      </c>
      <c r="B54" s="63"/>
      <c r="C54" s="43"/>
      <c r="D54" s="45"/>
      <c r="E54" s="27"/>
      <c r="F54" s="66"/>
      <c r="G54" s="27"/>
      <c r="H54" s="14"/>
      <c r="I54" s="1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16">
        <f t="shared" si="2"/>
        <v>54</v>
      </c>
      <c r="B55" s="24"/>
      <c r="C55" s="117"/>
      <c r="D55" s="120"/>
      <c r="E55" s="27"/>
      <c r="F55" s="121"/>
      <c r="G55" s="27"/>
      <c r="H55" s="14"/>
      <c r="I55" s="1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16">
        <f t="shared" si="2"/>
        <v>55</v>
      </c>
      <c r="B56" s="30" t="s">
        <v>73</v>
      </c>
      <c r="C56" s="43" t="s">
        <v>83</v>
      </c>
      <c r="D56" s="45">
        <v>2.5</v>
      </c>
      <c r="E56" s="27" t="s">
        <v>14</v>
      </c>
      <c r="F56" s="66">
        <v>5.875</v>
      </c>
      <c r="G56" s="27"/>
      <c r="H56" s="14">
        <f>F56/D56</f>
        <v>2.35</v>
      </c>
      <c r="I56" s="1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16">
        <f t="shared" si="2"/>
        <v>56</v>
      </c>
      <c r="B57" s="34"/>
      <c r="C57" s="78"/>
      <c r="D57" s="122"/>
      <c r="E57" s="27"/>
      <c r="F57" s="115"/>
      <c r="G57" s="27"/>
      <c r="H57" s="14"/>
      <c r="I57" s="1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16">
        <f t="shared" si="2"/>
        <v>57</v>
      </c>
      <c r="B58" s="30"/>
      <c r="C58" s="43"/>
      <c r="D58" s="123"/>
      <c r="E58" s="27"/>
      <c r="F58" s="124"/>
      <c r="G58" s="27"/>
      <c r="H58" s="14"/>
      <c r="I58" s="1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16">
        <f t="shared" si="2"/>
        <v>58</v>
      </c>
      <c r="B59" s="34" t="s">
        <v>84</v>
      </c>
      <c r="C59" s="78" t="s">
        <v>85</v>
      </c>
      <c r="D59" s="22">
        <v>1.0</v>
      </c>
      <c r="E59" s="27" t="s">
        <v>14</v>
      </c>
      <c r="F59" s="125">
        <v>2.15</v>
      </c>
      <c r="G59" s="12" t="s">
        <v>14</v>
      </c>
      <c r="H59" s="14">
        <f>F59/D59</f>
        <v>2.15</v>
      </c>
      <c r="I59" s="1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16">
        <f t="shared" si="2"/>
        <v>59</v>
      </c>
      <c r="B60" s="63"/>
      <c r="C60" s="117"/>
      <c r="D60" s="118"/>
      <c r="E60" s="27"/>
      <c r="F60" s="119"/>
      <c r="G60" s="27"/>
      <c r="H60" s="14"/>
      <c r="I60" s="1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16">
        <f t="shared" si="2"/>
        <v>60</v>
      </c>
      <c r="B61" s="24"/>
      <c r="C61" s="67"/>
      <c r="D61" s="68"/>
      <c r="E61" s="27"/>
      <c r="F61" s="69"/>
      <c r="G61" s="27"/>
      <c r="H61" s="14"/>
      <c r="I61" s="1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16">
        <f t="shared" si="2"/>
        <v>61</v>
      </c>
      <c r="B62" s="63"/>
      <c r="C62" s="67"/>
      <c r="D62" s="68"/>
      <c r="E62" s="27"/>
      <c r="F62" s="69"/>
      <c r="G62" s="27"/>
      <c r="H62" s="14"/>
      <c r="I62" s="1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16">
        <f t="shared" si="2"/>
        <v>62</v>
      </c>
      <c r="B63" s="30" t="s">
        <v>86</v>
      </c>
      <c r="C63" s="43" t="s">
        <v>87</v>
      </c>
      <c r="D63" s="73">
        <v>1.0</v>
      </c>
      <c r="E63" s="27" t="s">
        <v>14</v>
      </c>
      <c r="F63" s="116">
        <v>5.6</v>
      </c>
      <c r="G63" s="27"/>
      <c r="H63" s="14">
        <f t="shared" ref="H63:H64" si="5">F63/D63</f>
        <v>5.6</v>
      </c>
      <c r="I63" s="1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16">
        <f t="shared" si="2"/>
        <v>63</v>
      </c>
      <c r="B64" s="84" t="s">
        <v>88</v>
      </c>
      <c r="C64" s="85" t="s">
        <v>89</v>
      </c>
      <c r="D64" s="11">
        <v>1.0</v>
      </c>
      <c r="E64" s="27" t="s">
        <v>14</v>
      </c>
      <c r="F64" s="126">
        <v>6.15</v>
      </c>
      <c r="G64" s="27"/>
      <c r="H64" s="14">
        <f t="shared" si="5"/>
        <v>6.15</v>
      </c>
      <c r="I64" s="1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16">
        <f t="shared" si="2"/>
        <v>64</v>
      </c>
      <c r="B65" s="17"/>
      <c r="C65" s="110"/>
      <c r="D65" s="127"/>
      <c r="E65" s="27"/>
      <c r="F65" s="128"/>
      <c r="G65" s="27"/>
      <c r="H65" s="14"/>
      <c r="I65" s="1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16">
        <f t="shared" si="2"/>
        <v>65</v>
      </c>
      <c r="B66" s="129"/>
      <c r="C66" s="85"/>
      <c r="D66" s="130"/>
      <c r="E66" s="27"/>
      <c r="F66" s="131"/>
      <c r="G66" s="27"/>
      <c r="H66" s="14"/>
      <c r="I66" s="1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16">
        <f t="shared" si="2"/>
        <v>66</v>
      </c>
      <c r="B67" s="63"/>
      <c r="C67" s="43"/>
      <c r="D67" s="123"/>
      <c r="E67" s="27"/>
      <c r="F67" s="124"/>
      <c r="G67" s="27"/>
      <c r="H67" s="14"/>
      <c r="I67" s="1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16">
        <f t="shared" si="2"/>
        <v>67</v>
      </c>
      <c r="B68" s="20" t="s">
        <v>31</v>
      </c>
      <c r="C68" s="21" t="s">
        <v>90</v>
      </c>
      <c r="D68" s="132">
        <v>1.9</v>
      </c>
      <c r="E68" s="27" t="s">
        <v>14</v>
      </c>
      <c r="F68" s="133">
        <v>11.49</v>
      </c>
      <c r="G68" s="27"/>
      <c r="H68" s="14">
        <f>F68/D68</f>
        <v>6.047368421</v>
      </c>
      <c r="I68" s="1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16">
        <f t="shared" si="2"/>
        <v>68</v>
      </c>
      <c r="B69" s="134"/>
      <c r="C69" s="110"/>
      <c r="D69" s="127"/>
      <c r="E69" s="27"/>
      <c r="F69" s="128"/>
      <c r="G69" s="27"/>
      <c r="H69" s="14"/>
      <c r="I69" s="1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16">
        <f t="shared" si="2"/>
        <v>69</v>
      </c>
      <c r="B70" s="34" t="s">
        <v>18</v>
      </c>
      <c r="C70" s="78" t="s">
        <v>91</v>
      </c>
      <c r="D70" s="22">
        <v>1200.0</v>
      </c>
      <c r="E70" s="12" t="s">
        <v>20</v>
      </c>
      <c r="F70" s="79">
        <v>84.65</v>
      </c>
      <c r="G70" s="12" t="s">
        <v>20</v>
      </c>
      <c r="H70" s="14">
        <f>F70/D70</f>
        <v>0.07054166667</v>
      </c>
      <c r="I70" s="1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16">
        <f t="shared" si="2"/>
        <v>70</v>
      </c>
      <c r="B71" s="63"/>
      <c r="C71" s="43"/>
      <c r="D71" s="123"/>
      <c r="E71" s="27"/>
      <c r="F71" s="124"/>
      <c r="G71" s="27"/>
      <c r="H71" s="14"/>
      <c r="I71" s="1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16">
        <f t="shared" si="2"/>
        <v>71</v>
      </c>
      <c r="B72" s="24"/>
      <c r="C72" s="78"/>
      <c r="D72" s="122"/>
      <c r="E72" s="27"/>
      <c r="F72" s="115"/>
      <c r="G72" s="27"/>
      <c r="H72" s="14"/>
      <c r="I72" s="1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16">
        <f t="shared" si="2"/>
        <v>72</v>
      </c>
      <c r="B73" s="63" t="s">
        <v>92</v>
      </c>
      <c r="C73" s="50" t="s">
        <v>93</v>
      </c>
      <c r="D73" s="81">
        <v>1.0</v>
      </c>
      <c r="E73" s="27" t="s">
        <v>14</v>
      </c>
      <c r="F73" s="82">
        <v>2.0</v>
      </c>
      <c r="G73" s="27"/>
      <c r="H73" s="14">
        <f>F73/D73</f>
        <v>2</v>
      </c>
      <c r="I73" s="1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16">
        <f t="shared" si="2"/>
        <v>73</v>
      </c>
      <c r="B74" s="135"/>
      <c r="C74" s="78"/>
      <c r="D74" s="104"/>
      <c r="E74" s="27"/>
      <c r="F74" s="79"/>
      <c r="G74" s="27"/>
      <c r="H74" s="14"/>
      <c r="I74" s="1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16">
        <f t="shared" si="2"/>
        <v>74</v>
      </c>
      <c r="B75" s="63" t="s">
        <v>94</v>
      </c>
      <c r="C75" s="50" t="s">
        <v>95</v>
      </c>
      <c r="D75" s="51">
        <v>1.3</v>
      </c>
      <c r="E75" s="27" t="s">
        <v>14</v>
      </c>
      <c r="F75" s="82">
        <v>8.0</v>
      </c>
      <c r="G75" s="27"/>
      <c r="H75" s="14">
        <f t="shared" ref="H75:H79" si="6">F75/D75</f>
        <v>6.153846154</v>
      </c>
      <c r="I75" s="1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16">
        <f t="shared" si="2"/>
        <v>75</v>
      </c>
      <c r="B76" s="24" t="s">
        <v>67</v>
      </c>
      <c r="C76" s="105" t="s">
        <v>96</v>
      </c>
      <c r="D76" s="106">
        <v>1.3</v>
      </c>
      <c r="E76" s="27" t="s">
        <v>14</v>
      </c>
      <c r="F76" s="107">
        <v>2.9</v>
      </c>
      <c r="G76" s="27"/>
      <c r="H76" s="14">
        <f t="shared" si="6"/>
        <v>2.230769231</v>
      </c>
      <c r="I76" s="1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16">
        <f t="shared" si="2"/>
        <v>76</v>
      </c>
      <c r="B77" s="63" t="s">
        <v>88</v>
      </c>
      <c r="C77" s="50" t="s">
        <v>97</v>
      </c>
      <c r="D77" s="81">
        <v>1.3</v>
      </c>
      <c r="E77" s="27" t="s">
        <v>14</v>
      </c>
      <c r="F77" s="82">
        <v>2.9</v>
      </c>
      <c r="G77" s="27"/>
      <c r="H77" s="14">
        <f t="shared" si="6"/>
        <v>2.230769231</v>
      </c>
      <c r="I77" s="1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16">
        <f t="shared" si="2"/>
        <v>77</v>
      </c>
      <c r="B78" s="34" t="s">
        <v>73</v>
      </c>
      <c r="C78" s="46" t="s">
        <v>98</v>
      </c>
      <c r="D78" s="47">
        <v>1.0</v>
      </c>
      <c r="E78" s="27" t="s">
        <v>14</v>
      </c>
      <c r="F78" s="48">
        <v>6.0</v>
      </c>
      <c r="G78" s="27"/>
      <c r="H78" s="14">
        <f t="shared" si="6"/>
        <v>6</v>
      </c>
      <c r="I78" s="1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16">
        <f t="shared" si="2"/>
        <v>78</v>
      </c>
      <c r="B79" s="136" t="s">
        <v>15</v>
      </c>
      <c r="C79" s="137" t="s">
        <v>99</v>
      </c>
      <c r="D79" s="73">
        <v>6.0</v>
      </c>
      <c r="E79" s="27" t="s">
        <v>14</v>
      </c>
      <c r="F79" s="74">
        <f>52.61-(53.61*5%)</f>
        <v>49.9295</v>
      </c>
      <c r="G79" s="12" t="s">
        <v>14</v>
      </c>
      <c r="H79" s="14">
        <f t="shared" si="6"/>
        <v>8.321583333</v>
      </c>
      <c r="I79" s="87" t="s">
        <v>58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16">
        <f t="shared" si="2"/>
        <v>79</v>
      </c>
      <c r="B80" s="129"/>
      <c r="C80" s="85"/>
      <c r="D80" s="130"/>
      <c r="E80" s="27"/>
      <c r="F80" s="131"/>
      <c r="G80" s="27"/>
      <c r="H80" s="14"/>
      <c r="I80" s="1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16">
        <f t="shared" si="2"/>
        <v>80</v>
      </c>
      <c r="B81" s="63" t="s">
        <v>41</v>
      </c>
      <c r="C81" s="43" t="s">
        <v>100</v>
      </c>
      <c r="D81" s="113">
        <v>6.66</v>
      </c>
      <c r="E81" s="27" t="s">
        <v>14</v>
      </c>
      <c r="F81" s="124"/>
      <c r="G81" s="27"/>
      <c r="H81" s="14">
        <f t="shared" ref="H81:H82" si="7">F81/D81</f>
        <v>0</v>
      </c>
      <c r="I81" s="1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16">
        <f t="shared" si="2"/>
        <v>81</v>
      </c>
      <c r="B82" s="30" t="s">
        <v>101</v>
      </c>
      <c r="C82" s="76" t="s">
        <v>102</v>
      </c>
      <c r="D82" s="123"/>
      <c r="E82" s="27" t="s">
        <v>14</v>
      </c>
      <c r="F82" s="124"/>
      <c r="G82" s="27"/>
      <c r="H82" s="14" t="str">
        <f t="shared" si="7"/>
        <v>#DIV/0!</v>
      </c>
      <c r="I82" s="1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16">
        <f t="shared" si="2"/>
        <v>82</v>
      </c>
      <c r="B83" s="34"/>
      <c r="C83" s="138"/>
      <c r="D83" s="122"/>
      <c r="E83" s="27"/>
      <c r="F83" s="115"/>
      <c r="G83" s="27"/>
      <c r="H83" s="14"/>
      <c r="I83" s="1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16">
        <f t="shared" si="2"/>
        <v>83</v>
      </c>
      <c r="B84" s="63" t="s">
        <v>33</v>
      </c>
      <c r="C84" s="50" t="s">
        <v>103</v>
      </c>
      <c r="D84" s="81">
        <v>1.85</v>
      </c>
      <c r="E84" s="27" t="s">
        <v>14</v>
      </c>
      <c r="F84" s="82">
        <v>3.03</v>
      </c>
      <c r="G84" s="27"/>
      <c r="H84" s="14">
        <f t="shared" ref="H84:H120" si="8">F84/D84</f>
        <v>1.637837838</v>
      </c>
      <c r="I84" s="1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16">
        <f t="shared" si="2"/>
        <v>84</v>
      </c>
      <c r="B85" s="24" t="s">
        <v>15</v>
      </c>
      <c r="C85" s="105" t="s">
        <v>104</v>
      </c>
      <c r="D85" s="106">
        <v>2.0</v>
      </c>
      <c r="E85" s="27" t="s">
        <v>14</v>
      </c>
      <c r="F85" s="107">
        <v>10.9</v>
      </c>
      <c r="G85" s="27"/>
      <c r="H85" s="14">
        <f t="shared" si="8"/>
        <v>5.45</v>
      </c>
      <c r="I85" s="139" t="s">
        <v>105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16">
        <f t="shared" si="2"/>
        <v>85</v>
      </c>
      <c r="B86" s="30" t="s">
        <v>101</v>
      </c>
      <c r="C86" s="76" t="s">
        <v>106</v>
      </c>
      <c r="D86" s="113"/>
      <c r="E86" s="27" t="s">
        <v>14</v>
      </c>
      <c r="F86" s="124"/>
      <c r="G86" s="27"/>
      <c r="H86" s="14" t="str">
        <f t="shared" si="8"/>
        <v>#DIV/0!</v>
      </c>
      <c r="I86" s="1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16">
        <f t="shared" si="2"/>
        <v>86</v>
      </c>
      <c r="B87" s="34" t="s">
        <v>101</v>
      </c>
      <c r="C87" s="138" t="s">
        <v>107</v>
      </c>
      <c r="D87" s="114">
        <v>5.0</v>
      </c>
      <c r="E87" s="27" t="s">
        <v>14</v>
      </c>
      <c r="F87" s="115"/>
      <c r="G87" s="27"/>
      <c r="H87" s="14">
        <f t="shared" si="8"/>
        <v>0</v>
      </c>
      <c r="I87" s="1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16">
        <f t="shared" si="2"/>
        <v>87</v>
      </c>
      <c r="B88" s="30" t="s">
        <v>101</v>
      </c>
      <c r="C88" s="76" t="s">
        <v>108</v>
      </c>
      <c r="D88" s="45">
        <v>1.7</v>
      </c>
      <c r="E88" s="27" t="s">
        <v>14</v>
      </c>
      <c r="F88" s="124"/>
      <c r="G88" s="27"/>
      <c r="H88" s="14">
        <f t="shared" si="8"/>
        <v>0</v>
      </c>
      <c r="I88" s="1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16">
        <f t="shared" si="2"/>
        <v>88</v>
      </c>
      <c r="B89" s="20" t="s">
        <v>31</v>
      </c>
      <c r="C89" s="105" t="s">
        <v>109</v>
      </c>
      <c r="D89" s="132">
        <v>1.71</v>
      </c>
      <c r="E89" s="27" t="s">
        <v>14</v>
      </c>
      <c r="F89" s="133">
        <v>7.95</v>
      </c>
      <c r="G89" s="27"/>
      <c r="H89" s="14">
        <f t="shared" si="8"/>
        <v>4.649122807</v>
      </c>
      <c r="I89" s="1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16">
        <f t="shared" si="2"/>
        <v>89</v>
      </c>
      <c r="B90" s="30" t="s">
        <v>101</v>
      </c>
      <c r="C90" s="76" t="s">
        <v>110</v>
      </c>
      <c r="D90" s="113"/>
      <c r="E90" s="27" t="s">
        <v>14</v>
      </c>
      <c r="F90" s="124"/>
      <c r="G90" s="27"/>
      <c r="H90" s="14" t="str">
        <f t="shared" si="8"/>
        <v>#DIV/0!</v>
      </c>
      <c r="I90" s="1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16">
        <f t="shared" si="2"/>
        <v>90</v>
      </c>
      <c r="B91" s="34" t="s">
        <v>101</v>
      </c>
      <c r="C91" s="138" t="s">
        <v>111</v>
      </c>
      <c r="D91" s="122"/>
      <c r="E91" s="27" t="s">
        <v>14</v>
      </c>
      <c r="F91" s="115"/>
      <c r="G91" s="27"/>
      <c r="H91" s="14" t="str">
        <f t="shared" si="8"/>
        <v>#DIV/0!</v>
      </c>
      <c r="I91" s="1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16">
        <f t="shared" si="2"/>
        <v>91</v>
      </c>
      <c r="B92" s="30" t="s">
        <v>101</v>
      </c>
      <c r="C92" s="43" t="s">
        <v>112</v>
      </c>
      <c r="D92" s="123"/>
      <c r="E92" s="27" t="s">
        <v>14</v>
      </c>
      <c r="F92" s="124"/>
      <c r="G92" s="27"/>
      <c r="H92" s="14" t="str">
        <f t="shared" si="8"/>
        <v>#DIV/0!</v>
      </c>
      <c r="I92" s="1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16">
        <f t="shared" si="2"/>
        <v>92</v>
      </c>
      <c r="B93" s="20" t="s">
        <v>101</v>
      </c>
      <c r="C93" s="140" t="s">
        <v>113</v>
      </c>
      <c r="D93" s="22">
        <v>1.0</v>
      </c>
      <c r="E93" s="27"/>
      <c r="F93" s="23">
        <v>1.43</v>
      </c>
      <c r="G93" s="27"/>
      <c r="H93" s="14">
        <f t="shared" si="8"/>
        <v>1.43</v>
      </c>
      <c r="I93" s="1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16">
        <f t="shared" si="2"/>
        <v>93</v>
      </c>
      <c r="B94" s="63" t="s">
        <v>33</v>
      </c>
      <c r="C94" s="50" t="s">
        <v>114</v>
      </c>
      <c r="D94" s="81">
        <v>100.0</v>
      </c>
      <c r="E94" s="12" t="s">
        <v>20</v>
      </c>
      <c r="F94" s="82">
        <v>2.77</v>
      </c>
      <c r="G94" s="12" t="s">
        <v>20</v>
      </c>
      <c r="H94" s="14">
        <f t="shared" si="8"/>
        <v>0.0277</v>
      </c>
      <c r="I94" s="1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16">
        <f t="shared" si="2"/>
        <v>94</v>
      </c>
      <c r="B95" s="59" t="s">
        <v>35</v>
      </c>
      <c r="C95" s="141" t="s">
        <v>115</v>
      </c>
      <c r="D95" s="142"/>
      <c r="E95" s="27" t="s">
        <v>14</v>
      </c>
      <c r="F95" s="143"/>
      <c r="G95" s="27"/>
      <c r="H95" s="14" t="str">
        <f t="shared" si="8"/>
        <v>#DIV/0!</v>
      </c>
      <c r="I95" s="1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16">
        <f t="shared" si="2"/>
        <v>95</v>
      </c>
      <c r="B96" s="91" t="s">
        <v>116</v>
      </c>
      <c r="C96" s="64" t="s">
        <v>117</v>
      </c>
      <c r="D96" s="73">
        <v>1.0</v>
      </c>
      <c r="E96" s="12" t="s">
        <v>20</v>
      </c>
      <c r="F96" s="73">
        <v>4.3</v>
      </c>
      <c r="G96" s="12" t="s">
        <v>20</v>
      </c>
      <c r="H96" s="14">
        <f t="shared" si="8"/>
        <v>4.3</v>
      </c>
      <c r="I96" s="1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16">
        <f t="shared" si="2"/>
        <v>96</v>
      </c>
      <c r="B97" s="59" t="s">
        <v>35</v>
      </c>
      <c r="C97" s="141" t="s">
        <v>118</v>
      </c>
      <c r="D97" s="98">
        <v>1.0</v>
      </c>
      <c r="E97" s="27" t="s">
        <v>14</v>
      </c>
      <c r="F97" s="144">
        <v>1.8</v>
      </c>
      <c r="G97" s="12" t="s">
        <v>14</v>
      </c>
      <c r="H97" s="14">
        <f t="shared" si="8"/>
        <v>1.8</v>
      </c>
      <c r="I97" s="1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16">
        <f t="shared" si="2"/>
        <v>97</v>
      </c>
      <c r="B98" s="145" t="s">
        <v>116</v>
      </c>
      <c r="C98" s="64" t="s">
        <v>119</v>
      </c>
      <c r="D98" s="98">
        <v>1.0</v>
      </c>
      <c r="E98" s="12" t="s">
        <v>20</v>
      </c>
      <c r="F98" s="73">
        <v>4.3</v>
      </c>
      <c r="G98" s="12" t="s">
        <v>20</v>
      </c>
      <c r="H98" s="14">
        <f t="shared" si="8"/>
        <v>4.3</v>
      </c>
      <c r="I98" s="1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16">
        <f t="shared" si="2"/>
        <v>98</v>
      </c>
      <c r="B99" s="34" t="s">
        <v>120</v>
      </c>
      <c r="C99" s="78" t="s">
        <v>121</v>
      </c>
      <c r="D99" s="22">
        <v>0.08</v>
      </c>
      <c r="E99" s="27" t="s">
        <v>14</v>
      </c>
      <c r="F99" s="23">
        <v>4.0</v>
      </c>
      <c r="G99" s="27"/>
      <c r="H99" s="14">
        <f t="shared" si="8"/>
        <v>50</v>
      </c>
      <c r="I99" s="1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16">
        <f t="shared" si="2"/>
        <v>99</v>
      </c>
      <c r="B100" s="49" t="s">
        <v>31</v>
      </c>
      <c r="C100" s="75" t="s">
        <v>122</v>
      </c>
      <c r="D100" s="73">
        <v>0.5</v>
      </c>
      <c r="E100" s="27" t="s">
        <v>14</v>
      </c>
      <c r="F100" s="74">
        <v>5.39</v>
      </c>
      <c r="G100" s="27"/>
      <c r="H100" s="14">
        <f t="shared" si="8"/>
        <v>10.78</v>
      </c>
      <c r="I100" s="1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16">
        <f t="shared" si="2"/>
        <v>100</v>
      </c>
      <c r="B101" s="20" t="s">
        <v>31</v>
      </c>
      <c r="C101" s="105" t="s">
        <v>123</v>
      </c>
      <c r="D101" s="22">
        <v>1.0</v>
      </c>
      <c r="E101" s="12" t="s">
        <v>11</v>
      </c>
      <c r="F101" s="23">
        <v>0.83</v>
      </c>
      <c r="G101" s="12" t="s">
        <v>11</v>
      </c>
      <c r="H101" s="14">
        <f t="shared" si="8"/>
        <v>0.83</v>
      </c>
      <c r="I101" s="1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16">
        <f t="shared" si="2"/>
        <v>101</v>
      </c>
      <c r="B102" s="20" t="s">
        <v>31</v>
      </c>
      <c r="C102" s="78" t="s">
        <v>124</v>
      </c>
      <c r="D102" s="146">
        <v>24.0</v>
      </c>
      <c r="E102" s="12" t="s">
        <v>20</v>
      </c>
      <c r="F102" s="107">
        <v>17.47</v>
      </c>
      <c r="G102" s="12" t="s">
        <v>20</v>
      </c>
      <c r="H102" s="14">
        <f t="shared" si="8"/>
        <v>0.7279166667</v>
      </c>
      <c r="I102" s="1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16">
        <f t="shared" si="2"/>
        <v>102</v>
      </c>
      <c r="B103" s="20" t="s">
        <v>31</v>
      </c>
      <c r="C103" s="50" t="s">
        <v>125</v>
      </c>
      <c r="D103" s="146">
        <v>24.0</v>
      </c>
      <c r="E103" s="12" t="s">
        <v>20</v>
      </c>
      <c r="F103" s="82">
        <v>17.47</v>
      </c>
      <c r="G103" s="12" t="s">
        <v>20</v>
      </c>
      <c r="H103" s="14">
        <f t="shared" si="8"/>
        <v>0.7279166667</v>
      </c>
      <c r="I103" s="1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16">
        <f t="shared" si="2"/>
        <v>103</v>
      </c>
      <c r="B104" s="20" t="s">
        <v>31</v>
      </c>
      <c r="C104" s="78" t="s">
        <v>126</v>
      </c>
      <c r="D104" s="146">
        <v>24.0</v>
      </c>
      <c r="E104" s="12" t="s">
        <v>20</v>
      </c>
      <c r="F104" s="107">
        <v>14.73</v>
      </c>
      <c r="G104" s="12" t="s">
        <v>20</v>
      </c>
      <c r="H104" s="14">
        <f t="shared" si="8"/>
        <v>0.61375</v>
      </c>
      <c r="I104" s="1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16">
        <f t="shared" si="2"/>
        <v>104</v>
      </c>
      <c r="B105" s="20" t="s">
        <v>31</v>
      </c>
      <c r="C105" s="43" t="s">
        <v>127</v>
      </c>
      <c r="D105" s="146">
        <v>24.0</v>
      </c>
      <c r="E105" s="12" t="s">
        <v>20</v>
      </c>
      <c r="F105" s="82">
        <v>14.73</v>
      </c>
      <c r="G105" s="12" t="s">
        <v>20</v>
      </c>
      <c r="H105" s="14">
        <f t="shared" si="8"/>
        <v>0.61375</v>
      </c>
      <c r="I105" s="1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16">
        <f t="shared" si="2"/>
        <v>105</v>
      </c>
      <c r="B106" s="20" t="s">
        <v>31</v>
      </c>
      <c r="C106" s="78" t="s">
        <v>128</v>
      </c>
      <c r="D106" s="146">
        <v>24.0</v>
      </c>
      <c r="E106" s="12" t="s">
        <v>20</v>
      </c>
      <c r="F106" s="107">
        <v>14.73</v>
      </c>
      <c r="G106" s="12" t="s">
        <v>20</v>
      </c>
      <c r="H106" s="14">
        <f t="shared" si="8"/>
        <v>0.61375</v>
      </c>
      <c r="I106" s="1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16">
        <f t="shared" si="2"/>
        <v>106</v>
      </c>
      <c r="B107" s="20" t="s">
        <v>31</v>
      </c>
      <c r="C107" s="43" t="s">
        <v>129</v>
      </c>
      <c r="D107" s="146">
        <v>24.0</v>
      </c>
      <c r="E107" s="12" t="s">
        <v>20</v>
      </c>
      <c r="F107" s="82">
        <v>12.64</v>
      </c>
      <c r="G107" s="12" t="s">
        <v>20</v>
      </c>
      <c r="H107" s="14">
        <f t="shared" si="8"/>
        <v>0.5266666667</v>
      </c>
      <c r="I107" s="1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16">
        <f t="shared" si="2"/>
        <v>107</v>
      </c>
      <c r="B108" s="20" t="s">
        <v>31</v>
      </c>
      <c r="C108" s="105" t="s">
        <v>130</v>
      </c>
      <c r="D108" s="146">
        <v>24.0</v>
      </c>
      <c r="E108" s="12" t="s">
        <v>20</v>
      </c>
      <c r="F108" s="107">
        <v>12.64</v>
      </c>
      <c r="G108" s="12" t="s">
        <v>20</v>
      </c>
      <c r="H108" s="14">
        <f t="shared" si="8"/>
        <v>0.5266666667</v>
      </c>
      <c r="I108" s="1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16">
        <f t="shared" si="2"/>
        <v>108</v>
      </c>
      <c r="B109" s="20" t="s">
        <v>31</v>
      </c>
      <c r="C109" s="147" t="s">
        <v>131</v>
      </c>
      <c r="D109" s="146">
        <v>24.0</v>
      </c>
      <c r="E109" s="12" t="s">
        <v>20</v>
      </c>
      <c r="F109" s="148">
        <v>15.24</v>
      </c>
      <c r="G109" s="12" t="s">
        <v>20</v>
      </c>
      <c r="H109" s="14">
        <f t="shared" si="8"/>
        <v>0.635</v>
      </c>
      <c r="I109" s="1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16">
        <f t="shared" si="2"/>
        <v>109</v>
      </c>
      <c r="B110" s="20" t="s">
        <v>31</v>
      </c>
      <c r="C110" s="105" t="s">
        <v>132</v>
      </c>
      <c r="D110" s="146">
        <v>24.0</v>
      </c>
      <c r="E110" s="12" t="s">
        <v>20</v>
      </c>
      <c r="F110" s="107">
        <v>15.24</v>
      </c>
      <c r="G110" s="12" t="s">
        <v>20</v>
      </c>
      <c r="H110" s="14">
        <f t="shared" si="8"/>
        <v>0.635</v>
      </c>
      <c r="I110" s="1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16">
        <f t="shared" si="2"/>
        <v>110</v>
      </c>
      <c r="B111" s="20" t="s">
        <v>133</v>
      </c>
      <c r="C111" s="149" t="s">
        <v>134</v>
      </c>
      <c r="D111" s="146">
        <v>55.0</v>
      </c>
      <c r="E111" s="12" t="s">
        <v>20</v>
      </c>
      <c r="F111" s="150">
        <v>15.5</v>
      </c>
      <c r="G111" s="12" t="s">
        <v>20</v>
      </c>
      <c r="H111" s="14">
        <f t="shared" si="8"/>
        <v>0.2818181818</v>
      </c>
      <c r="I111" s="1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16">
        <f t="shared" si="2"/>
        <v>111</v>
      </c>
      <c r="B112" s="20" t="s">
        <v>135</v>
      </c>
      <c r="C112" s="151" t="s">
        <v>136</v>
      </c>
      <c r="D112" s="146">
        <v>1.0</v>
      </c>
      <c r="E112" s="83" t="s">
        <v>14</v>
      </c>
      <c r="F112" s="150">
        <v>5.9</v>
      </c>
      <c r="G112" s="83" t="s">
        <v>14</v>
      </c>
      <c r="H112" s="14">
        <f t="shared" si="8"/>
        <v>5.9</v>
      </c>
      <c r="I112" s="1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16">
        <f t="shared" si="2"/>
        <v>112</v>
      </c>
      <c r="B113" s="20" t="s">
        <v>135</v>
      </c>
      <c r="C113" s="151" t="s">
        <v>137</v>
      </c>
      <c r="D113" s="146">
        <v>1.0</v>
      </c>
      <c r="E113" s="83" t="s">
        <v>14</v>
      </c>
      <c r="F113" s="150">
        <v>5.9</v>
      </c>
      <c r="G113" s="83" t="s">
        <v>14</v>
      </c>
      <c r="H113" s="14">
        <f t="shared" si="8"/>
        <v>5.9</v>
      </c>
      <c r="I113" s="1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16">
        <f t="shared" si="2"/>
        <v>113</v>
      </c>
      <c r="B114" s="20" t="s">
        <v>135</v>
      </c>
      <c r="C114" s="151" t="s">
        <v>138</v>
      </c>
      <c r="D114" s="146">
        <v>0.5</v>
      </c>
      <c r="E114" s="83" t="s">
        <v>14</v>
      </c>
      <c r="F114" s="150">
        <v>3.2</v>
      </c>
      <c r="G114" s="83" t="s">
        <v>14</v>
      </c>
      <c r="H114" s="14">
        <f t="shared" si="8"/>
        <v>6.4</v>
      </c>
      <c r="I114" s="1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16">
        <f t="shared" si="2"/>
        <v>114</v>
      </c>
      <c r="B115" s="20" t="s">
        <v>135</v>
      </c>
      <c r="C115" s="152" t="s">
        <v>139</v>
      </c>
      <c r="D115" s="146">
        <v>0.5</v>
      </c>
      <c r="E115" s="83" t="s">
        <v>14</v>
      </c>
      <c r="F115" s="150">
        <v>2.6</v>
      </c>
      <c r="G115" s="83" t="s">
        <v>14</v>
      </c>
      <c r="H115" s="14">
        <f t="shared" si="8"/>
        <v>5.2</v>
      </c>
      <c r="I115" s="1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16">
        <f t="shared" si="2"/>
        <v>115</v>
      </c>
      <c r="B116" s="20" t="s">
        <v>31</v>
      </c>
      <c r="C116" s="152" t="s">
        <v>140</v>
      </c>
      <c r="D116" s="146">
        <v>0.73</v>
      </c>
      <c r="E116" s="12" t="s">
        <v>20</v>
      </c>
      <c r="F116" s="150">
        <v>7.83</v>
      </c>
      <c r="G116" s="83" t="s">
        <v>14</v>
      </c>
      <c r="H116" s="14">
        <f t="shared" si="8"/>
        <v>10.7260274</v>
      </c>
      <c r="I116" s="1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16">
        <f t="shared" si="2"/>
        <v>116</v>
      </c>
      <c r="B117" s="20" t="s">
        <v>73</v>
      </c>
      <c r="C117" s="152" t="s">
        <v>141</v>
      </c>
      <c r="D117" s="146">
        <v>1.0</v>
      </c>
      <c r="E117" s="83" t="s">
        <v>14</v>
      </c>
      <c r="F117" s="150">
        <v>5.49</v>
      </c>
      <c r="G117" s="83" t="s">
        <v>14</v>
      </c>
      <c r="H117" s="14">
        <f t="shared" si="8"/>
        <v>5.49</v>
      </c>
      <c r="I117" s="1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16">
        <f t="shared" si="2"/>
        <v>117</v>
      </c>
      <c r="B118" s="20" t="s">
        <v>41</v>
      </c>
      <c r="C118" s="152" t="s">
        <v>142</v>
      </c>
      <c r="D118" s="146">
        <v>0.5</v>
      </c>
      <c r="E118" s="83" t="s">
        <v>14</v>
      </c>
      <c r="F118" s="150">
        <v>3.1</v>
      </c>
      <c r="G118" s="83" t="s">
        <v>14</v>
      </c>
      <c r="H118" s="14">
        <f t="shared" si="8"/>
        <v>6.2</v>
      </c>
      <c r="I118" s="1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16">
        <f t="shared" si="2"/>
        <v>118</v>
      </c>
      <c r="B119" s="20" t="s">
        <v>143</v>
      </c>
      <c r="C119" s="152" t="s">
        <v>144</v>
      </c>
      <c r="D119" s="146">
        <v>1.0</v>
      </c>
      <c r="E119" s="83" t="s">
        <v>14</v>
      </c>
      <c r="F119" s="150">
        <v>5.0</v>
      </c>
      <c r="G119" s="83" t="s">
        <v>14</v>
      </c>
      <c r="H119" s="14">
        <f t="shared" si="8"/>
        <v>5</v>
      </c>
      <c r="I119" s="1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16">
        <f t="shared" si="2"/>
        <v>119</v>
      </c>
      <c r="B120" s="20" t="s">
        <v>31</v>
      </c>
      <c r="C120" s="152" t="s">
        <v>145</v>
      </c>
      <c r="D120" s="146">
        <v>1.0</v>
      </c>
      <c r="E120" s="83" t="s">
        <v>14</v>
      </c>
      <c r="F120" s="150">
        <v>0.43</v>
      </c>
      <c r="G120" s="83" t="s">
        <v>14</v>
      </c>
      <c r="H120" s="14">
        <f t="shared" si="8"/>
        <v>0.43</v>
      </c>
      <c r="I120" s="1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16">
        <f t="shared" si="2"/>
        <v>120</v>
      </c>
      <c r="B121" s="20"/>
      <c r="C121" s="152"/>
      <c r="D121" s="153"/>
      <c r="E121" s="7"/>
      <c r="F121" s="15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16">
        <f t="shared" si="2"/>
        <v>121</v>
      </c>
      <c r="B122" s="20" t="s">
        <v>146</v>
      </c>
      <c r="C122" s="152" t="s">
        <v>147</v>
      </c>
      <c r="D122" s="154">
        <v>0.4</v>
      </c>
      <c r="E122" s="83" t="s">
        <v>14</v>
      </c>
      <c r="F122" s="139">
        <v>7.55</v>
      </c>
      <c r="G122" s="83" t="s">
        <v>14</v>
      </c>
      <c r="H122" s="14">
        <f t="shared" ref="H122:H157" si="9">F122/D122</f>
        <v>18.875</v>
      </c>
      <c r="I122" s="1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16">
        <f t="shared" si="2"/>
        <v>122</v>
      </c>
      <c r="B123" s="20" t="s">
        <v>146</v>
      </c>
      <c r="C123" s="152" t="s">
        <v>148</v>
      </c>
      <c r="D123" s="154">
        <v>0.8</v>
      </c>
      <c r="E123" s="83" t="s">
        <v>14</v>
      </c>
      <c r="F123" s="139">
        <v>6.37</v>
      </c>
      <c r="G123" s="83" t="s">
        <v>14</v>
      </c>
      <c r="H123" s="14">
        <f t="shared" si="9"/>
        <v>7.9625</v>
      </c>
      <c r="I123" s="1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16">
        <f t="shared" si="2"/>
        <v>123</v>
      </c>
      <c r="B124" s="20" t="s">
        <v>146</v>
      </c>
      <c r="C124" s="152" t="s">
        <v>149</v>
      </c>
      <c r="D124" s="154">
        <v>0.3</v>
      </c>
      <c r="E124" s="83" t="s">
        <v>14</v>
      </c>
      <c r="F124" s="139">
        <v>11.43</v>
      </c>
      <c r="G124" s="83" t="s">
        <v>14</v>
      </c>
      <c r="H124" s="14">
        <f t="shared" si="9"/>
        <v>38.1</v>
      </c>
      <c r="I124" s="1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16">
        <f t="shared" si="2"/>
        <v>124</v>
      </c>
      <c r="B125" s="20" t="s">
        <v>143</v>
      </c>
      <c r="C125" s="152" t="s">
        <v>150</v>
      </c>
      <c r="D125" s="154">
        <v>1.0</v>
      </c>
      <c r="E125" s="83" t="s">
        <v>14</v>
      </c>
      <c r="F125" s="139">
        <v>1.79</v>
      </c>
      <c r="G125" s="83" t="s">
        <v>14</v>
      </c>
      <c r="H125" s="14">
        <f t="shared" si="9"/>
        <v>1.79</v>
      </c>
      <c r="I125" s="1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16">
        <f t="shared" si="2"/>
        <v>125</v>
      </c>
      <c r="B126" s="20" t="s">
        <v>146</v>
      </c>
      <c r="C126" s="152" t="s">
        <v>151</v>
      </c>
      <c r="D126" s="154">
        <v>2.65</v>
      </c>
      <c r="E126" s="83" t="s">
        <v>14</v>
      </c>
      <c r="F126" s="139">
        <v>5.37</v>
      </c>
      <c r="G126" s="83" t="s">
        <v>14</v>
      </c>
      <c r="H126" s="14">
        <f t="shared" si="9"/>
        <v>2.026415094</v>
      </c>
      <c r="I126" s="1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16">
        <f t="shared" si="2"/>
        <v>126</v>
      </c>
      <c r="B127" s="20" t="s">
        <v>146</v>
      </c>
      <c r="C127" s="152" t="s">
        <v>152</v>
      </c>
      <c r="D127" s="154">
        <v>0.8</v>
      </c>
      <c r="E127" s="83" t="s">
        <v>14</v>
      </c>
      <c r="F127" s="139">
        <v>6.66</v>
      </c>
      <c r="G127" s="83" t="s">
        <v>14</v>
      </c>
      <c r="H127" s="14">
        <f t="shared" si="9"/>
        <v>8.325</v>
      </c>
      <c r="I127" s="1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16">
        <f t="shared" si="2"/>
        <v>127</v>
      </c>
      <c r="B128" s="20" t="s">
        <v>31</v>
      </c>
      <c r="C128" s="152" t="s">
        <v>153</v>
      </c>
      <c r="D128" s="154">
        <v>0.55</v>
      </c>
      <c r="E128" s="83" t="s">
        <v>14</v>
      </c>
      <c r="F128" s="139">
        <v>9.38</v>
      </c>
      <c r="G128" s="83" t="s">
        <v>14</v>
      </c>
      <c r="H128" s="14">
        <f t="shared" si="9"/>
        <v>17.05454545</v>
      </c>
      <c r="I128" s="1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16">
        <f t="shared" si="2"/>
        <v>128</v>
      </c>
      <c r="B129" s="20" t="s">
        <v>116</v>
      </c>
      <c r="C129" s="152" t="s">
        <v>154</v>
      </c>
      <c r="D129" s="154">
        <v>1.0</v>
      </c>
      <c r="E129" s="83" t="s">
        <v>14</v>
      </c>
      <c r="F129" s="139">
        <v>5.0</v>
      </c>
      <c r="G129" s="83" t="s">
        <v>14</v>
      </c>
      <c r="H129" s="14">
        <f t="shared" si="9"/>
        <v>5</v>
      </c>
      <c r="I129" s="1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16">
        <f t="shared" si="2"/>
        <v>129</v>
      </c>
      <c r="B130" s="20" t="s">
        <v>31</v>
      </c>
      <c r="C130" s="152" t="s">
        <v>155</v>
      </c>
      <c r="D130" s="154">
        <v>1.0</v>
      </c>
      <c r="E130" s="83" t="s">
        <v>14</v>
      </c>
      <c r="F130" s="139">
        <v>11.7</v>
      </c>
      <c r="G130" s="83" t="s">
        <v>14</v>
      </c>
      <c r="H130" s="14">
        <f t="shared" si="9"/>
        <v>11.7</v>
      </c>
      <c r="I130" s="1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16">
        <f t="shared" si="2"/>
        <v>130</v>
      </c>
      <c r="B131" s="20" t="s">
        <v>31</v>
      </c>
      <c r="C131" s="152" t="s">
        <v>156</v>
      </c>
      <c r="D131" s="154">
        <v>0.8</v>
      </c>
      <c r="E131" s="83" t="s">
        <v>14</v>
      </c>
      <c r="F131" s="139">
        <v>7.0</v>
      </c>
      <c r="G131" s="83" t="s">
        <v>14</v>
      </c>
      <c r="H131" s="14">
        <f t="shared" si="9"/>
        <v>8.75</v>
      </c>
      <c r="I131" s="1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16">
        <f t="shared" si="2"/>
        <v>131</v>
      </c>
      <c r="B132" s="20" t="s">
        <v>157</v>
      </c>
      <c r="C132" s="152" t="s">
        <v>158</v>
      </c>
      <c r="D132" s="154">
        <v>1.0</v>
      </c>
      <c r="E132" s="83" t="s">
        <v>14</v>
      </c>
      <c r="F132" s="139">
        <v>1.92</v>
      </c>
      <c r="G132" s="83" t="s">
        <v>14</v>
      </c>
      <c r="H132" s="14">
        <f t="shared" si="9"/>
        <v>1.92</v>
      </c>
      <c r="I132" s="1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16">
        <f t="shared" si="2"/>
        <v>132</v>
      </c>
      <c r="B133" s="20" t="s">
        <v>157</v>
      </c>
      <c r="C133" s="152" t="s">
        <v>159</v>
      </c>
      <c r="D133" s="154">
        <v>7.6</v>
      </c>
      <c r="E133" s="83" t="s">
        <v>14</v>
      </c>
      <c r="F133" s="15">
        <v>22.91046</v>
      </c>
      <c r="G133" s="83" t="s">
        <v>14</v>
      </c>
      <c r="H133" s="14">
        <f t="shared" si="9"/>
        <v>3.014534211</v>
      </c>
      <c r="I133" s="1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16">
        <f t="shared" si="2"/>
        <v>133</v>
      </c>
      <c r="B134" s="20" t="s">
        <v>157</v>
      </c>
      <c r="C134" s="152" t="s">
        <v>160</v>
      </c>
      <c r="D134" s="154">
        <v>3.7569999999999997</v>
      </c>
      <c r="E134" s="83" t="s">
        <v>14</v>
      </c>
      <c r="F134" s="15">
        <v>4.753</v>
      </c>
      <c r="G134" s="83" t="s">
        <v>14</v>
      </c>
      <c r="H134" s="14">
        <f t="shared" si="9"/>
        <v>1.265105137</v>
      </c>
      <c r="I134" s="1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16">
        <f t="shared" si="2"/>
        <v>134</v>
      </c>
      <c r="B135" s="20" t="s">
        <v>157</v>
      </c>
      <c r="C135" s="152" t="s">
        <v>161</v>
      </c>
      <c r="D135" s="154">
        <v>2.45</v>
      </c>
      <c r="E135" s="83" t="s">
        <v>14</v>
      </c>
      <c r="F135" s="15">
        <v>6.886991702401372</v>
      </c>
      <c r="G135" s="83" t="s">
        <v>14</v>
      </c>
      <c r="H135" s="14">
        <f t="shared" si="9"/>
        <v>2.811017021</v>
      </c>
      <c r="I135" s="1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16">
        <f t="shared" si="2"/>
        <v>135</v>
      </c>
      <c r="B136" s="20" t="s">
        <v>157</v>
      </c>
      <c r="C136" s="152" t="s">
        <v>162</v>
      </c>
      <c r="D136" s="153">
        <v>2.2169999999999996</v>
      </c>
      <c r="E136" s="83" t="s">
        <v>14</v>
      </c>
      <c r="F136" s="15">
        <v>3.790124539976218</v>
      </c>
      <c r="G136" s="83" t="s">
        <v>14</v>
      </c>
      <c r="H136" s="14">
        <f t="shared" si="9"/>
        <v>1.709573541</v>
      </c>
      <c r="I136" s="1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16">
        <f t="shared" si="2"/>
        <v>136</v>
      </c>
      <c r="B137" s="20" t="s">
        <v>157</v>
      </c>
      <c r="C137" s="152" t="s">
        <v>163</v>
      </c>
      <c r="D137" s="153">
        <v>10.944999999999999</v>
      </c>
      <c r="E137" s="83" t="s">
        <v>14</v>
      </c>
      <c r="F137" s="153">
        <v>52.1345909090909</v>
      </c>
      <c r="G137" s="83" t="s">
        <v>14</v>
      </c>
      <c r="H137" s="14">
        <f t="shared" si="9"/>
        <v>4.763324889</v>
      </c>
      <c r="I137" s="1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16">
        <f t="shared" si="2"/>
        <v>137</v>
      </c>
      <c r="B138" s="20" t="s">
        <v>31</v>
      </c>
      <c r="C138" s="152" t="s">
        <v>164</v>
      </c>
      <c r="D138" s="154">
        <v>0.72</v>
      </c>
      <c r="E138" s="83" t="s">
        <v>14</v>
      </c>
      <c r="F138" s="139">
        <v>6.68</v>
      </c>
      <c r="G138" s="83" t="s">
        <v>14</v>
      </c>
      <c r="H138" s="14">
        <f t="shared" si="9"/>
        <v>9.277777778</v>
      </c>
      <c r="I138" s="1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16">
        <f t="shared" si="2"/>
        <v>138</v>
      </c>
      <c r="B139" s="20" t="s">
        <v>116</v>
      </c>
      <c r="C139" s="152" t="s">
        <v>165</v>
      </c>
      <c r="D139" s="154">
        <v>1.0</v>
      </c>
      <c r="E139" s="83" t="s">
        <v>14</v>
      </c>
      <c r="F139" s="15">
        <f>16.02/1.1</f>
        <v>14.56363636</v>
      </c>
      <c r="G139" s="83" t="s">
        <v>14</v>
      </c>
      <c r="H139" s="14">
        <f t="shared" si="9"/>
        <v>14.56363636</v>
      </c>
      <c r="I139" s="1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16">
        <f t="shared" si="2"/>
        <v>139</v>
      </c>
      <c r="B140" s="20" t="s">
        <v>157</v>
      </c>
      <c r="C140" s="152" t="s">
        <v>166</v>
      </c>
      <c r="D140" s="153">
        <v>2.287</v>
      </c>
      <c r="E140" s="83" t="s">
        <v>14</v>
      </c>
      <c r="F140" s="15">
        <v>5.487279194630872</v>
      </c>
      <c r="G140" s="83" t="s">
        <v>14</v>
      </c>
      <c r="H140" s="14">
        <f t="shared" si="9"/>
        <v>2.399335022</v>
      </c>
      <c r="I140" s="1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16">
        <f t="shared" si="2"/>
        <v>140</v>
      </c>
      <c r="B141" s="83" t="s">
        <v>167</v>
      </c>
      <c r="C141" s="152" t="s">
        <v>168</v>
      </c>
      <c r="D141" s="154">
        <v>1.0</v>
      </c>
      <c r="E141" s="83" t="s">
        <v>14</v>
      </c>
      <c r="F141" s="139">
        <v>7.25</v>
      </c>
      <c r="G141" s="83" t="s">
        <v>14</v>
      </c>
      <c r="H141" s="14">
        <f t="shared" si="9"/>
        <v>7.25</v>
      </c>
      <c r="I141" s="1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16">
        <f t="shared" si="2"/>
        <v>141</v>
      </c>
      <c r="B142" s="83" t="s">
        <v>33</v>
      </c>
      <c r="C142" s="152" t="s">
        <v>169</v>
      </c>
      <c r="D142" s="154">
        <v>1.0</v>
      </c>
      <c r="E142" s="83" t="s">
        <v>11</v>
      </c>
      <c r="F142" s="139">
        <v>0.76</v>
      </c>
      <c r="G142" s="83" t="s">
        <v>11</v>
      </c>
      <c r="H142" s="14">
        <f t="shared" si="9"/>
        <v>0.76</v>
      </c>
      <c r="I142" s="1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16">
        <f t="shared" si="2"/>
        <v>142</v>
      </c>
      <c r="B143" s="83" t="s">
        <v>31</v>
      </c>
      <c r="C143" s="152" t="s">
        <v>170</v>
      </c>
      <c r="D143" s="154">
        <v>1.85</v>
      </c>
      <c r="E143" s="83" t="s">
        <v>14</v>
      </c>
      <c r="F143" s="139">
        <v>5.32</v>
      </c>
      <c r="G143" s="83" t="s">
        <v>14</v>
      </c>
      <c r="H143" s="14">
        <f t="shared" si="9"/>
        <v>2.875675676</v>
      </c>
      <c r="I143" s="1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16">
        <f t="shared" si="2"/>
        <v>143</v>
      </c>
      <c r="B144" s="83" t="s">
        <v>86</v>
      </c>
      <c r="C144" s="152" t="s">
        <v>171</v>
      </c>
      <c r="D144" s="154">
        <v>1.0</v>
      </c>
      <c r="E144" s="83" t="s">
        <v>14</v>
      </c>
      <c r="F144" s="139">
        <v>6.55</v>
      </c>
      <c r="G144" s="83" t="s">
        <v>14</v>
      </c>
      <c r="H144" s="14">
        <f t="shared" si="9"/>
        <v>6.55</v>
      </c>
      <c r="I144" s="1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16">
        <f t="shared" si="2"/>
        <v>144</v>
      </c>
      <c r="B145" s="83" t="s">
        <v>67</v>
      </c>
      <c r="C145" s="152" t="s">
        <v>172</v>
      </c>
      <c r="D145" s="154">
        <v>1.0</v>
      </c>
      <c r="E145" s="83" t="s">
        <v>14</v>
      </c>
      <c r="F145" s="139">
        <v>5.89</v>
      </c>
      <c r="G145" s="83" t="s">
        <v>14</v>
      </c>
      <c r="H145" s="14">
        <f t="shared" si="9"/>
        <v>5.89</v>
      </c>
      <c r="I145" s="1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16">
        <f t="shared" si="2"/>
        <v>145</v>
      </c>
      <c r="B146" s="83" t="s">
        <v>173</v>
      </c>
      <c r="C146" s="152" t="s">
        <v>174</v>
      </c>
      <c r="D146" s="154">
        <v>60.0</v>
      </c>
      <c r="E146" s="83" t="s">
        <v>20</v>
      </c>
      <c r="F146" s="139">
        <f>24.55-(24.55*5%)</f>
        <v>23.3225</v>
      </c>
      <c r="G146" s="83" t="s">
        <v>20</v>
      </c>
      <c r="H146" s="14">
        <f t="shared" si="9"/>
        <v>0.3887083333</v>
      </c>
      <c r="I146" s="1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16">
        <f t="shared" si="2"/>
        <v>146</v>
      </c>
      <c r="B147" s="83" t="s">
        <v>70</v>
      </c>
      <c r="C147" s="152" t="s">
        <v>175</v>
      </c>
      <c r="D147" s="154">
        <v>1000.0</v>
      </c>
      <c r="E147" s="83" t="s">
        <v>20</v>
      </c>
      <c r="F147" s="139">
        <v>41.15</v>
      </c>
      <c r="G147" s="83" t="s">
        <v>20</v>
      </c>
      <c r="H147" s="14">
        <f t="shared" si="9"/>
        <v>0.04115</v>
      </c>
      <c r="I147" s="1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16">
        <f t="shared" si="2"/>
        <v>147</v>
      </c>
      <c r="B148" s="83" t="s">
        <v>15</v>
      </c>
      <c r="C148" s="152" t="s">
        <v>176</v>
      </c>
      <c r="D148" s="154">
        <v>6.0</v>
      </c>
      <c r="E148" s="83" t="s">
        <v>20</v>
      </c>
      <c r="F148" s="139">
        <f>26.58-(26.58*5%)</f>
        <v>25.251</v>
      </c>
      <c r="G148" s="83" t="s">
        <v>20</v>
      </c>
      <c r="H148" s="14">
        <f t="shared" si="9"/>
        <v>4.2085</v>
      </c>
      <c r="I148" s="87" t="s">
        <v>58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16">
        <f t="shared" si="2"/>
        <v>148</v>
      </c>
      <c r="B149" s="83" t="s">
        <v>31</v>
      </c>
      <c r="C149" s="152" t="s">
        <v>177</v>
      </c>
      <c r="D149" s="154">
        <v>1.85</v>
      </c>
      <c r="E149" s="83" t="s">
        <v>20</v>
      </c>
      <c r="F149" s="139">
        <v>4.03</v>
      </c>
      <c r="G149" s="83" t="s">
        <v>20</v>
      </c>
      <c r="H149" s="14">
        <f t="shared" si="9"/>
        <v>2.178378378</v>
      </c>
      <c r="I149" s="1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16">
        <f t="shared" si="2"/>
        <v>149</v>
      </c>
      <c r="B150" s="83" t="s">
        <v>31</v>
      </c>
      <c r="C150" s="152" t="s">
        <v>178</v>
      </c>
      <c r="D150" s="154">
        <v>1.0</v>
      </c>
      <c r="E150" s="83" t="s">
        <v>20</v>
      </c>
      <c r="F150" s="139">
        <v>6.16</v>
      </c>
      <c r="G150" s="83" t="s">
        <v>20</v>
      </c>
      <c r="H150" s="14">
        <f t="shared" si="9"/>
        <v>6.16</v>
      </c>
      <c r="I150" s="1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16">
        <f t="shared" si="2"/>
        <v>150</v>
      </c>
      <c r="B151" s="83" t="s">
        <v>15</v>
      </c>
      <c r="C151" s="152" t="s">
        <v>179</v>
      </c>
      <c r="D151" s="154">
        <v>2.2</v>
      </c>
      <c r="E151" s="83" t="s">
        <v>20</v>
      </c>
      <c r="F151" s="139">
        <f>10.98-(10.98*5%)</f>
        <v>10.431</v>
      </c>
      <c r="G151" s="83" t="s">
        <v>20</v>
      </c>
      <c r="H151" s="14">
        <f t="shared" si="9"/>
        <v>4.741363636</v>
      </c>
      <c r="I151" s="29" t="s">
        <v>180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16">
        <f t="shared" si="2"/>
        <v>151</v>
      </c>
      <c r="B152" s="83" t="s">
        <v>146</v>
      </c>
      <c r="C152" s="152" t="s">
        <v>181</v>
      </c>
      <c r="D152" s="154">
        <v>0.82</v>
      </c>
      <c r="E152" s="83" t="s">
        <v>11</v>
      </c>
      <c r="F152" s="139">
        <v>4.92</v>
      </c>
      <c r="G152" s="83" t="s">
        <v>11</v>
      </c>
      <c r="H152" s="14">
        <f t="shared" si="9"/>
        <v>6</v>
      </c>
      <c r="I152" s="1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16">
        <f t="shared" si="2"/>
        <v>152</v>
      </c>
      <c r="B153" s="83" t="s">
        <v>146</v>
      </c>
      <c r="C153" s="152" t="s">
        <v>182</v>
      </c>
      <c r="D153" s="154">
        <v>1.85</v>
      </c>
      <c r="E153" s="83" t="s">
        <v>11</v>
      </c>
      <c r="F153" s="139">
        <v>8.01</v>
      </c>
      <c r="G153" s="83" t="s">
        <v>11</v>
      </c>
      <c r="H153" s="14">
        <f t="shared" si="9"/>
        <v>4.32972973</v>
      </c>
      <c r="I153" s="1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16">
        <f t="shared" si="2"/>
        <v>153</v>
      </c>
      <c r="B154" s="83" t="s">
        <v>31</v>
      </c>
      <c r="C154" s="152" t="s">
        <v>183</v>
      </c>
      <c r="D154" s="154">
        <v>1.0</v>
      </c>
      <c r="E154" s="83" t="s">
        <v>11</v>
      </c>
      <c r="F154" s="139">
        <v>5.22</v>
      </c>
      <c r="G154" s="83" t="s">
        <v>11</v>
      </c>
      <c r="H154" s="14">
        <f t="shared" si="9"/>
        <v>5.22</v>
      </c>
      <c r="I154" s="1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16">
        <f t="shared" si="2"/>
        <v>154</v>
      </c>
      <c r="B155" s="83" t="s">
        <v>31</v>
      </c>
      <c r="C155" s="152" t="s">
        <v>184</v>
      </c>
      <c r="D155" s="154">
        <v>0.2</v>
      </c>
      <c r="E155" s="83" t="s">
        <v>14</v>
      </c>
      <c r="F155" s="139">
        <v>4.39</v>
      </c>
      <c r="G155" s="83" t="s">
        <v>14</v>
      </c>
      <c r="H155" s="14">
        <f t="shared" si="9"/>
        <v>21.95</v>
      </c>
      <c r="I155" s="1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16">
        <f t="shared" si="2"/>
        <v>155</v>
      </c>
      <c r="B156" s="83" t="s">
        <v>31</v>
      </c>
      <c r="C156" s="152" t="s">
        <v>185</v>
      </c>
      <c r="D156" s="154">
        <v>0.98</v>
      </c>
      <c r="E156" s="83" t="s">
        <v>11</v>
      </c>
      <c r="F156" s="139">
        <v>11.19</v>
      </c>
      <c r="G156" s="83" t="s">
        <v>11</v>
      </c>
      <c r="H156" s="14">
        <f t="shared" si="9"/>
        <v>11.41836735</v>
      </c>
      <c r="I156" s="1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16">
        <f t="shared" si="2"/>
        <v>156</v>
      </c>
      <c r="B157" s="83" t="s">
        <v>31</v>
      </c>
      <c r="C157" s="152" t="s">
        <v>186</v>
      </c>
      <c r="D157" s="154">
        <v>5.0</v>
      </c>
      <c r="E157" s="7"/>
      <c r="F157" s="139">
        <v>7.67</v>
      </c>
      <c r="G157" s="7"/>
      <c r="H157" s="14">
        <f t="shared" si="9"/>
        <v>1.534</v>
      </c>
      <c r="I157" s="1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16">
        <f t="shared" si="2"/>
        <v>157</v>
      </c>
      <c r="B158" s="83" t="s">
        <v>187</v>
      </c>
      <c r="C158" s="152" t="s">
        <v>188</v>
      </c>
      <c r="E158" s="7"/>
      <c r="F158" s="15"/>
      <c r="G158" s="7"/>
      <c r="H158" s="14">
        <v>7.41</v>
      </c>
      <c r="I158" s="83" t="s">
        <v>189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16">
        <f t="shared" si="2"/>
        <v>158</v>
      </c>
      <c r="B159" s="83" t="s">
        <v>86</v>
      </c>
      <c r="C159" s="152" t="s">
        <v>190</v>
      </c>
      <c r="D159" s="154">
        <v>1.0</v>
      </c>
      <c r="E159" s="7"/>
      <c r="F159" s="139">
        <v>4.0</v>
      </c>
      <c r="G159" s="7"/>
      <c r="H159" s="14">
        <f t="shared" ref="H159:H177" si="10">F159/D159</f>
        <v>4</v>
      </c>
      <c r="I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16">
        <f t="shared" si="2"/>
        <v>159</v>
      </c>
      <c r="B160" s="83" t="s">
        <v>191</v>
      </c>
      <c r="C160" s="152" t="s">
        <v>192</v>
      </c>
      <c r="D160" s="154">
        <v>1.0</v>
      </c>
      <c r="E160" s="7"/>
      <c r="F160" s="139">
        <v>10.0</v>
      </c>
      <c r="G160" s="7"/>
      <c r="H160" s="14">
        <f t="shared" si="10"/>
        <v>10</v>
      </c>
      <c r="I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16">
        <f t="shared" si="2"/>
        <v>160</v>
      </c>
      <c r="B161" s="83" t="s">
        <v>31</v>
      </c>
      <c r="C161" s="152" t="s">
        <v>123</v>
      </c>
      <c r="D161" s="154">
        <v>1.0</v>
      </c>
      <c r="E161" s="7"/>
      <c r="F161" s="139">
        <v>0.83</v>
      </c>
      <c r="G161" s="7"/>
      <c r="H161" s="14">
        <f t="shared" si="10"/>
        <v>0.83</v>
      </c>
      <c r="I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16">
        <f t="shared" si="2"/>
        <v>161</v>
      </c>
      <c r="B162" s="83" t="s">
        <v>193</v>
      </c>
      <c r="C162" s="152" t="s">
        <v>194</v>
      </c>
      <c r="D162" s="154">
        <v>1.0</v>
      </c>
      <c r="E162" s="7"/>
      <c r="F162" s="15">
        <f>ELABORACIONES!K81</f>
        <v>3.885121586</v>
      </c>
      <c r="G162" s="7"/>
      <c r="H162" s="14">
        <f t="shared" si="10"/>
        <v>3.885121586</v>
      </c>
      <c r="I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16">
        <f t="shared" si="2"/>
        <v>162</v>
      </c>
      <c r="B163" s="83" t="s">
        <v>31</v>
      </c>
      <c r="C163" s="152" t="s">
        <v>195</v>
      </c>
      <c r="D163" s="154">
        <v>0.98</v>
      </c>
      <c r="E163" s="7"/>
      <c r="F163" s="139">
        <v>8.14</v>
      </c>
      <c r="G163" s="7"/>
      <c r="H163" s="14">
        <f t="shared" si="10"/>
        <v>8.306122449</v>
      </c>
      <c r="I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16">
        <f t="shared" si="2"/>
        <v>163</v>
      </c>
      <c r="B164" s="83" t="s">
        <v>196</v>
      </c>
      <c r="C164" s="152" t="s">
        <v>197</v>
      </c>
      <c r="D164" s="154">
        <v>40.0</v>
      </c>
      <c r="E164" s="7"/>
      <c r="F164" s="139">
        <v>11.56</v>
      </c>
      <c r="G164" s="7"/>
      <c r="H164" s="14">
        <f t="shared" si="10"/>
        <v>0.289</v>
      </c>
      <c r="I164" s="42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16">
        <f t="shared" si="2"/>
        <v>164</v>
      </c>
      <c r="B165" s="83" t="s">
        <v>198</v>
      </c>
      <c r="C165" s="152" t="s">
        <v>199</v>
      </c>
      <c r="D165" s="154">
        <v>42.0</v>
      </c>
      <c r="E165" s="7"/>
      <c r="F165" s="139">
        <v>21.6</v>
      </c>
      <c r="G165" s="7"/>
      <c r="H165" s="14">
        <f t="shared" si="10"/>
        <v>0.5142857143</v>
      </c>
      <c r="I165" s="83">
        <v>0.48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155">
        <v>165.0</v>
      </c>
      <c r="B166" s="156" t="s">
        <v>73</v>
      </c>
      <c r="C166" s="157" t="s">
        <v>200</v>
      </c>
      <c r="D166" s="158">
        <v>1.0</v>
      </c>
      <c r="E166" s="156"/>
      <c r="F166" s="159">
        <v>12.0</v>
      </c>
      <c r="G166" s="160"/>
      <c r="H166" s="161">
        <f t="shared" si="10"/>
        <v>12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16">
        <f t="shared" ref="A167:A177" si="11">A166+1</f>
        <v>166</v>
      </c>
      <c r="B167" s="83" t="s">
        <v>193</v>
      </c>
      <c r="C167" s="162" t="s">
        <v>201</v>
      </c>
      <c r="D167" s="154">
        <v>1.0</v>
      </c>
      <c r="E167" s="83" t="s">
        <v>20</v>
      </c>
      <c r="F167" s="139">
        <v>0.1918767105263158</v>
      </c>
      <c r="G167" s="83" t="s">
        <v>20</v>
      </c>
      <c r="H167" s="161">
        <f t="shared" si="10"/>
        <v>0.1918767105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16">
        <f t="shared" si="11"/>
        <v>167</v>
      </c>
      <c r="B168" s="83" t="s">
        <v>193</v>
      </c>
      <c r="C168" s="162" t="s">
        <v>202</v>
      </c>
      <c r="D168" s="154">
        <v>1.0</v>
      </c>
      <c r="E168" s="83" t="s">
        <v>20</v>
      </c>
      <c r="F168" s="139">
        <v>0.13715</v>
      </c>
      <c r="G168" s="83" t="s">
        <v>20</v>
      </c>
      <c r="H168" s="161">
        <f t="shared" si="10"/>
        <v>0.13715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16">
        <f t="shared" si="11"/>
        <v>168</v>
      </c>
      <c r="B169" s="83" t="s">
        <v>193</v>
      </c>
      <c r="C169" s="162" t="s">
        <v>203</v>
      </c>
      <c r="D169" s="154">
        <v>1.0</v>
      </c>
      <c r="E169" s="83" t="s">
        <v>20</v>
      </c>
      <c r="F169" s="139">
        <v>0.10440525685387278</v>
      </c>
      <c r="G169" s="83" t="s">
        <v>20</v>
      </c>
      <c r="H169" s="161">
        <f t="shared" si="10"/>
        <v>0.1044052569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16">
        <f t="shared" si="11"/>
        <v>169</v>
      </c>
      <c r="B170" s="83" t="s">
        <v>193</v>
      </c>
      <c r="C170" s="162" t="s">
        <v>204</v>
      </c>
      <c r="D170" s="154">
        <v>1.0</v>
      </c>
      <c r="E170" s="83" t="s">
        <v>20</v>
      </c>
      <c r="F170" s="139">
        <v>0.18170085106941575</v>
      </c>
      <c r="G170" s="83" t="s">
        <v>20</v>
      </c>
      <c r="H170" s="161">
        <f t="shared" si="10"/>
        <v>0.1817008511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16">
        <f t="shared" si="11"/>
        <v>170</v>
      </c>
      <c r="B171" s="83" t="s">
        <v>193</v>
      </c>
      <c r="C171" s="162" t="s">
        <v>205</v>
      </c>
      <c r="D171" s="154">
        <v>1.0</v>
      </c>
      <c r="E171" s="83" t="s">
        <v>20</v>
      </c>
      <c r="F171" s="139">
        <v>0.251575</v>
      </c>
      <c r="G171" s="83" t="s">
        <v>20</v>
      </c>
      <c r="H171" s="161">
        <f t="shared" si="10"/>
        <v>0.251575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16">
        <f t="shared" si="11"/>
        <v>171</v>
      </c>
      <c r="B172" s="83" t="s">
        <v>193</v>
      </c>
      <c r="C172" s="162" t="s">
        <v>206</v>
      </c>
      <c r="D172" s="154">
        <v>1.0</v>
      </c>
      <c r="E172" s="83" t="s">
        <v>20</v>
      </c>
      <c r="F172" s="139">
        <v>0.16111675108506499</v>
      </c>
      <c r="G172" s="83" t="s">
        <v>20</v>
      </c>
      <c r="H172" s="161">
        <f t="shared" si="10"/>
        <v>0.1611167511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16">
        <f t="shared" si="11"/>
        <v>172</v>
      </c>
      <c r="B173" s="83" t="s">
        <v>193</v>
      </c>
      <c r="C173" s="162" t="s">
        <v>207</v>
      </c>
      <c r="D173" s="154">
        <v>1.0</v>
      </c>
      <c r="E173" s="83" t="s">
        <v>20</v>
      </c>
      <c r="F173" s="139">
        <v>0.18493378378378378</v>
      </c>
      <c r="G173" s="83" t="s">
        <v>20</v>
      </c>
      <c r="H173" s="161">
        <f t="shared" si="10"/>
        <v>0.1849337838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16">
        <f t="shared" si="11"/>
        <v>173</v>
      </c>
      <c r="B174" s="83" t="s">
        <v>193</v>
      </c>
      <c r="C174" s="162" t="s">
        <v>208</v>
      </c>
      <c r="D174" s="154">
        <v>1.0</v>
      </c>
      <c r="E174" s="83" t="s">
        <v>20</v>
      </c>
      <c r="F174" s="139">
        <v>0.5774513698630138</v>
      </c>
      <c r="G174" s="83" t="s">
        <v>20</v>
      </c>
      <c r="H174" s="161">
        <f t="shared" si="10"/>
        <v>0.5774513699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16">
        <f t="shared" si="11"/>
        <v>174</v>
      </c>
      <c r="B175" s="83" t="s">
        <v>193</v>
      </c>
      <c r="C175" s="162" t="s">
        <v>209</v>
      </c>
      <c r="D175" s="154">
        <v>1.0</v>
      </c>
      <c r="E175" s="83" t="s">
        <v>20</v>
      </c>
      <c r="F175" s="139">
        <v>0.12662867704051012</v>
      </c>
      <c r="G175" s="83" t="s">
        <v>20</v>
      </c>
      <c r="H175" s="161">
        <f t="shared" si="10"/>
        <v>0.126628677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16">
        <f t="shared" si="11"/>
        <v>175</v>
      </c>
      <c r="B176" s="83" t="s">
        <v>193</v>
      </c>
      <c r="C176" s="162" t="s">
        <v>210</v>
      </c>
      <c r="D176" s="154">
        <v>1.0</v>
      </c>
      <c r="E176" s="83" t="s">
        <v>20</v>
      </c>
      <c r="F176" s="139">
        <v>0.1500689189189189</v>
      </c>
      <c r="G176" s="83" t="s">
        <v>20</v>
      </c>
      <c r="H176" s="161">
        <f t="shared" si="10"/>
        <v>0.1500689189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16">
        <f t="shared" si="11"/>
        <v>176</v>
      </c>
      <c r="B177" s="83" t="s">
        <v>193</v>
      </c>
      <c r="C177" s="162" t="s">
        <v>211</v>
      </c>
      <c r="D177" s="154">
        <v>1.0</v>
      </c>
      <c r="E177" s="83" t="s">
        <v>20</v>
      </c>
      <c r="F177" s="139">
        <v>0.2782181818181818</v>
      </c>
      <c r="G177" s="83" t="s">
        <v>20</v>
      </c>
      <c r="H177" s="161">
        <f t="shared" si="10"/>
        <v>0.2782181818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163"/>
      <c r="B178" s="7"/>
      <c r="C178" s="164"/>
      <c r="D178" s="153"/>
      <c r="E178" s="7"/>
      <c r="F178" s="15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163"/>
      <c r="B179" s="7"/>
      <c r="C179" s="164"/>
      <c r="D179" s="153"/>
      <c r="E179" s="7"/>
      <c r="F179" s="15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163"/>
      <c r="B180" s="7"/>
      <c r="C180" s="164"/>
      <c r="D180" s="153"/>
      <c r="E180" s="7"/>
      <c r="F180" s="15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163"/>
      <c r="B181" s="7"/>
      <c r="C181" s="164"/>
      <c r="D181" s="153"/>
      <c r="E181" s="7"/>
      <c r="F181" s="15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163"/>
      <c r="B182" s="7"/>
      <c r="C182" s="164"/>
      <c r="D182" s="153"/>
      <c r="E182" s="7"/>
      <c r="F182" s="15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163"/>
      <c r="B183" s="7"/>
      <c r="C183" s="164"/>
      <c r="D183" s="153"/>
      <c r="E183" s="7"/>
      <c r="F183" s="15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163"/>
      <c r="B184" s="7"/>
      <c r="C184" s="164"/>
      <c r="D184" s="153"/>
      <c r="E184" s="7"/>
      <c r="F184" s="15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163"/>
      <c r="B185" s="7"/>
      <c r="C185" s="164"/>
      <c r="D185" s="153"/>
      <c r="E185" s="7"/>
      <c r="F185" s="15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163"/>
      <c r="B186" s="7"/>
      <c r="C186" s="164"/>
      <c r="D186" s="153"/>
      <c r="E186" s="7"/>
      <c r="F186" s="15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163"/>
      <c r="B187" s="7"/>
      <c r="C187" s="164"/>
      <c r="D187" s="153"/>
      <c r="E187" s="7"/>
      <c r="F187" s="15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163"/>
      <c r="B188" s="7"/>
      <c r="C188" s="164"/>
      <c r="D188" s="153"/>
      <c r="E188" s="7"/>
      <c r="F188" s="15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163"/>
      <c r="B189" s="7"/>
      <c r="C189" s="164"/>
      <c r="D189" s="153"/>
      <c r="E189" s="7"/>
      <c r="F189" s="15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163"/>
      <c r="B190" s="7"/>
      <c r="C190" s="164"/>
      <c r="D190" s="153"/>
      <c r="E190" s="7"/>
      <c r="F190" s="15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163"/>
      <c r="B191" s="7"/>
      <c r="C191" s="164"/>
      <c r="D191" s="153"/>
      <c r="E191" s="7"/>
      <c r="F191" s="15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163"/>
      <c r="B192" s="7"/>
      <c r="C192" s="164"/>
      <c r="D192" s="153"/>
      <c r="E192" s="7"/>
      <c r="F192" s="15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163"/>
      <c r="B193" s="7"/>
      <c r="C193" s="164"/>
      <c r="D193" s="153"/>
      <c r="E193" s="7"/>
      <c r="F193" s="15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163"/>
      <c r="B194" s="7"/>
      <c r="C194" s="164"/>
      <c r="D194" s="153"/>
      <c r="E194" s="7"/>
      <c r="F194" s="15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163"/>
      <c r="B195" s="7"/>
      <c r="C195" s="164"/>
      <c r="D195" s="153"/>
      <c r="E195" s="7"/>
      <c r="F195" s="15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163"/>
      <c r="B196" s="7"/>
      <c r="C196" s="164"/>
      <c r="D196" s="153"/>
      <c r="E196" s="7"/>
      <c r="F196" s="15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163"/>
      <c r="B197" s="7"/>
      <c r="C197" s="164"/>
      <c r="D197" s="153"/>
      <c r="E197" s="7"/>
      <c r="F197" s="15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163"/>
      <c r="B198" s="7"/>
      <c r="C198" s="164"/>
      <c r="D198" s="153"/>
      <c r="E198" s="7"/>
      <c r="F198" s="15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163"/>
      <c r="B199" s="7"/>
      <c r="C199" s="164"/>
      <c r="D199" s="153"/>
      <c r="E199" s="7"/>
      <c r="F199" s="15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163"/>
      <c r="B200" s="7"/>
      <c r="C200" s="164"/>
      <c r="D200" s="153"/>
      <c r="E200" s="7"/>
      <c r="F200" s="15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163"/>
      <c r="B201" s="7"/>
      <c r="C201" s="164"/>
      <c r="D201" s="153"/>
      <c r="E201" s="7"/>
      <c r="F201" s="15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163"/>
      <c r="B202" s="7"/>
      <c r="C202" s="164"/>
      <c r="D202" s="153"/>
      <c r="E202" s="7"/>
      <c r="F202" s="15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163"/>
      <c r="B203" s="7"/>
      <c r="C203" s="164"/>
      <c r="D203" s="153"/>
      <c r="E203" s="7"/>
      <c r="F203" s="15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163"/>
      <c r="B204" s="7"/>
      <c r="C204" s="164"/>
      <c r="D204" s="153"/>
      <c r="E204" s="7"/>
      <c r="F204" s="15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163"/>
      <c r="B205" s="7"/>
      <c r="C205" s="164"/>
      <c r="D205" s="153"/>
      <c r="E205" s="7"/>
      <c r="F205" s="15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163"/>
      <c r="B206" s="7"/>
      <c r="C206" s="164"/>
      <c r="D206" s="153"/>
      <c r="E206" s="7"/>
      <c r="F206" s="15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163"/>
      <c r="B207" s="7"/>
      <c r="C207" s="164"/>
      <c r="D207" s="153"/>
      <c r="E207" s="7"/>
      <c r="F207" s="15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163"/>
      <c r="B208" s="7"/>
      <c r="C208" s="164"/>
      <c r="D208" s="153"/>
      <c r="E208" s="7"/>
      <c r="F208" s="15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163"/>
      <c r="B209" s="7"/>
      <c r="C209" s="164"/>
      <c r="D209" s="153"/>
      <c r="E209" s="7"/>
      <c r="F209" s="15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163"/>
      <c r="B210" s="7"/>
      <c r="C210" s="164"/>
      <c r="D210" s="153"/>
      <c r="E210" s="7"/>
      <c r="F210" s="15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163"/>
      <c r="B211" s="7"/>
      <c r="C211" s="164"/>
      <c r="D211" s="153"/>
      <c r="E211" s="7"/>
      <c r="F211" s="15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163"/>
      <c r="B212" s="7"/>
      <c r="C212" s="164"/>
      <c r="D212" s="153"/>
      <c r="E212" s="7"/>
      <c r="F212" s="15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163"/>
      <c r="B213" s="7"/>
      <c r="C213" s="164"/>
      <c r="D213" s="153"/>
      <c r="E213" s="7"/>
      <c r="F213" s="15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163"/>
      <c r="B214" s="7"/>
      <c r="C214" s="164"/>
      <c r="D214" s="153"/>
      <c r="E214" s="7"/>
      <c r="F214" s="15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163"/>
      <c r="B215" s="7"/>
      <c r="C215" s="164"/>
      <c r="D215" s="153"/>
      <c r="E215" s="7"/>
      <c r="F215" s="15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163"/>
      <c r="B216" s="7"/>
      <c r="C216" s="164"/>
      <c r="D216" s="153"/>
      <c r="E216" s="7"/>
      <c r="F216" s="15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163"/>
      <c r="B217" s="7"/>
      <c r="C217" s="164"/>
      <c r="D217" s="153"/>
      <c r="E217" s="7"/>
      <c r="F217" s="15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163"/>
      <c r="B218" s="7"/>
      <c r="C218" s="164"/>
      <c r="D218" s="153"/>
      <c r="E218" s="7"/>
      <c r="F218" s="15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163"/>
      <c r="B219" s="7"/>
      <c r="C219" s="164"/>
      <c r="D219" s="153"/>
      <c r="E219" s="7"/>
      <c r="F219" s="15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163"/>
      <c r="B220" s="7"/>
      <c r="C220" s="164"/>
      <c r="D220" s="153"/>
      <c r="E220" s="7"/>
      <c r="F220" s="15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163"/>
      <c r="B221" s="7"/>
      <c r="C221" s="164"/>
      <c r="D221" s="153"/>
      <c r="E221" s="7"/>
      <c r="F221" s="15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163"/>
      <c r="B222" s="7"/>
      <c r="C222" s="164"/>
      <c r="D222" s="153"/>
      <c r="E222" s="7"/>
      <c r="F222" s="15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163"/>
      <c r="B223" s="7"/>
      <c r="C223" s="164"/>
      <c r="D223" s="153"/>
      <c r="E223" s="7"/>
      <c r="F223" s="15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163"/>
      <c r="B224" s="7"/>
      <c r="C224" s="164"/>
      <c r="D224" s="153"/>
      <c r="E224" s="7"/>
      <c r="F224" s="15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163"/>
      <c r="B225" s="7"/>
      <c r="C225" s="164"/>
      <c r="D225" s="153"/>
      <c r="E225" s="7"/>
      <c r="F225" s="15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163"/>
      <c r="B226" s="7"/>
      <c r="C226" s="164"/>
      <c r="D226" s="153"/>
      <c r="E226" s="7"/>
      <c r="F226" s="15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163"/>
      <c r="B227" s="7"/>
      <c r="C227" s="164"/>
      <c r="D227" s="153"/>
      <c r="E227" s="7"/>
      <c r="F227" s="15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163"/>
      <c r="B228" s="7"/>
      <c r="C228" s="164"/>
      <c r="D228" s="153"/>
      <c r="E228" s="7"/>
      <c r="F228" s="15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163"/>
      <c r="B229" s="7"/>
      <c r="C229" s="164"/>
      <c r="D229" s="153"/>
      <c r="E229" s="7"/>
      <c r="F229" s="15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163"/>
      <c r="B230" s="7"/>
      <c r="C230" s="164"/>
      <c r="D230" s="153"/>
      <c r="E230" s="7"/>
      <c r="F230" s="15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163"/>
      <c r="B231" s="7"/>
      <c r="C231" s="164"/>
      <c r="D231" s="153"/>
      <c r="E231" s="7"/>
      <c r="F231" s="15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163"/>
      <c r="B232" s="7"/>
      <c r="C232" s="164"/>
      <c r="D232" s="153"/>
      <c r="E232" s="7"/>
      <c r="F232" s="15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163"/>
      <c r="B233" s="7"/>
      <c r="C233" s="16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163"/>
      <c r="B234" s="7"/>
      <c r="C234" s="16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163"/>
      <c r="B235" s="7"/>
      <c r="C235" s="16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163"/>
      <c r="B236" s="7"/>
      <c r="C236" s="16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163"/>
      <c r="B237" s="7"/>
      <c r="C237" s="16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163"/>
      <c r="B238" s="7"/>
      <c r="C238" s="16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163"/>
      <c r="B239" s="7"/>
      <c r="C239" s="16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163"/>
      <c r="B240" s="7"/>
      <c r="C240" s="16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163"/>
      <c r="B241" s="7"/>
      <c r="C241" s="16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163"/>
      <c r="B242" s="7"/>
      <c r="C242" s="16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163"/>
      <c r="B243" s="7"/>
      <c r="C243" s="16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163"/>
      <c r="B244" s="7"/>
      <c r="C244" s="16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163"/>
      <c r="B245" s="7"/>
      <c r="C245" s="16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163"/>
      <c r="B246" s="7"/>
      <c r="C246" s="16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163"/>
      <c r="B247" s="7"/>
      <c r="C247" s="16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163"/>
      <c r="B248" s="7"/>
      <c r="C248" s="16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163"/>
      <c r="B249" s="7"/>
      <c r="C249" s="16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163"/>
      <c r="B250" s="7"/>
      <c r="C250" s="16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163"/>
      <c r="B251" s="7"/>
      <c r="C251" s="16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163"/>
      <c r="B252" s="7"/>
      <c r="C252" s="16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163"/>
      <c r="B253" s="7"/>
      <c r="C253" s="16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163"/>
      <c r="B254" s="7"/>
      <c r="C254" s="16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163"/>
      <c r="B255" s="7"/>
      <c r="C255" s="16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163"/>
      <c r="B256" s="7"/>
      <c r="C256" s="16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163"/>
      <c r="B257" s="7"/>
      <c r="C257" s="16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163"/>
      <c r="B258" s="7"/>
      <c r="C258" s="16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163"/>
      <c r="B259" s="7"/>
      <c r="C259" s="16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163"/>
      <c r="B260" s="7"/>
      <c r="C260" s="16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163"/>
      <c r="B261" s="7"/>
      <c r="C261" s="16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163"/>
      <c r="B262" s="7"/>
      <c r="C262" s="16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163"/>
      <c r="B263" s="7"/>
      <c r="C263" s="16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163"/>
      <c r="B264" s="7"/>
      <c r="C264" s="16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163"/>
      <c r="B265" s="7"/>
      <c r="C265" s="16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163"/>
      <c r="B266" s="7"/>
      <c r="C266" s="16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163"/>
      <c r="B267" s="7"/>
      <c r="C267" s="16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163"/>
      <c r="B268" s="7"/>
      <c r="C268" s="16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163"/>
      <c r="B269" s="7"/>
      <c r="C269" s="16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163"/>
      <c r="B270" s="7"/>
      <c r="C270" s="16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163"/>
      <c r="B271" s="7"/>
      <c r="C271" s="16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163"/>
      <c r="B272" s="7"/>
      <c r="C272" s="16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163"/>
      <c r="B273" s="7"/>
      <c r="C273" s="16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163"/>
      <c r="B274" s="7"/>
      <c r="C274" s="16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163"/>
      <c r="B275" s="7"/>
      <c r="C275" s="16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163"/>
      <c r="B276" s="7"/>
      <c r="C276" s="16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163"/>
      <c r="B277" s="7"/>
      <c r="C277" s="16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163"/>
      <c r="B278" s="7"/>
      <c r="C278" s="16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163"/>
      <c r="B279" s="7"/>
      <c r="C279" s="16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163"/>
      <c r="B280" s="7"/>
      <c r="C280" s="16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163"/>
      <c r="B281" s="7"/>
      <c r="C281" s="16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163"/>
      <c r="B282" s="7"/>
      <c r="C282" s="16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163"/>
      <c r="B283" s="7"/>
      <c r="C283" s="16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163"/>
      <c r="B284" s="7"/>
      <c r="C284" s="16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163"/>
      <c r="B285" s="7"/>
      <c r="C285" s="16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163"/>
      <c r="B286" s="7"/>
      <c r="C286" s="16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163"/>
      <c r="B287" s="7"/>
      <c r="C287" s="16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163"/>
      <c r="B288" s="7"/>
      <c r="C288" s="16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163"/>
      <c r="B289" s="7"/>
      <c r="C289" s="16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163"/>
      <c r="B290" s="7"/>
      <c r="C290" s="16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163"/>
      <c r="B291" s="7"/>
      <c r="C291" s="16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163"/>
      <c r="B292" s="7"/>
      <c r="C292" s="16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163"/>
      <c r="B293" s="7"/>
      <c r="C293" s="16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163"/>
      <c r="B294" s="7"/>
      <c r="C294" s="16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163"/>
      <c r="B295" s="7"/>
      <c r="C295" s="16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163"/>
      <c r="B296" s="7"/>
      <c r="C296" s="16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163"/>
      <c r="B297" s="7"/>
      <c r="C297" s="16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163"/>
      <c r="B298" s="7"/>
      <c r="C298" s="16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163"/>
      <c r="B299" s="7"/>
      <c r="C299" s="16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163"/>
      <c r="B300" s="7"/>
      <c r="C300" s="16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163"/>
      <c r="B301" s="7"/>
      <c r="C301" s="16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163"/>
      <c r="B302" s="7"/>
      <c r="C302" s="16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163"/>
      <c r="B303" s="7"/>
      <c r="C303" s="16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163"/>
      <c r="B304" s="7"/>
      <c r="C304" s="16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163"/>
      <c r="B305" s="7"/>
      <c r="C305" s="16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163"/>
      <c r="B306" s="7"/>
      <c r="C306" s="16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163"/>
      <c r="B307" s="7"/>
      <c r="C307" s="16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163"/>
      <c r="B308" s="7"/>
      <c r="C308" s="16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163"/>
      <c r="B309" s="7"/>
      <c r="C309" s="16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163"/>
      <c r="B310" s="7"/>
      <c r="C310" s="16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163"/>
      <c r="B311" s="7"/>
      <c r="C311" s="16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163"/>
      <c r="B312" s="7"/>
      <c r="C312" s="16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163"/>
      <c r="B313" s="7"/>
      <c r="C313" s="16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163"/>
      <c r="B314" s="7"/>
      <c r="C314" s="16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163"/>
      <c r="B315" s="7"/>
      <c r="C315" s="16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163"/>
      <c r="B316" s="7"/>
      <c r="C316" s="16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163"/>
      <c r="B317" s="7"/>
      <c r="C317" s="16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163"/>
      <c r="B318" s="7"/>
      <c r="C318" s="16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163"/>
      <c r="B319" s="7"/>
      <c r="C319" s="16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163"/>
      <c r="B320" s="7"/>
      <c r="C320" s="16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163"/>
      <c r="B321" s="7"/>
      <c r="C321" s="16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163"/>
      <c r="B322" s="7"/>
      <c r="C322" s="16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163"/>
      <c r="B323" s="7"/>
      <c r="C323" s="16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163"/>
      <c r="B324" s="7"/>
      <c r="C324" s="16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163"/>
      <c r="B325" s="7"/>
      <c r="C325" s="16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163"/>
      <c r="B326" s="7"/>
      <c r="C326" s="16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163"/>
      <c r="B327" s="7"/>
      <c r="C327" s="16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163"/>
      <c r="B328" s="7"/>
      <c r="C328" s="16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163"/>
      <c r="B329" s="7"/>
      <c r="C329" s="16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163"/>
      <c r="B330" s="7"/>
      <c r="C330" s="16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163"/>
      <c r="B331" s="7"/>
      <c r="C331" s="16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163"/>
      <c r="B332" s="7"/>
      <c r="C332" s="16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163"/>
      <c r="B333" s="7"/>
      <c r="C333" s="16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163"/>
      <c r="B334" s="7"/>
      <c r="C334" s="16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163"/>
      <c r="B335" s="7"/>
      <c r="C335" s="16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163"/>
      <c r="B336" s="7"/>
      <c r="C336" s="16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163"/>
      <c r="B337" s="7"/>
      <c r="C337" s="16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163"/>
      <c r="B338" s="7"/>
      <c r="C338" s="16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163"/>
      <c r="B339" s="7"/>
      <c r="C339" s="16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163"/>
      <c r="B340" s="7"/>
      <c r="C340" s="16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163"/>
      <c r="B341" s="7"/>
      <c r="C341" s="16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163"/>
      <c r="B342" s="7"/>
      <c r="C342" s="16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163"/>
      <c r="B343" s="7"/>
      <c r="C343" s="16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163"/>
      <c r="B344" s="7"/>
      <c r="C344" s="16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163"/>
      <c r="B345" s="7"/>
      <c r="C345" s="16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163"/>
      <c r="B346" s="7"/>
      <c r="C346" s="16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163"/>
      <c r="B347" s="7"/>
      <c r="C347" s="16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163"/>
      <c r="B348" s="7"/>
      <c r="C348" s="16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163"/>
      <c r="B349" s="7"/>
      <c r="C349" s="16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163"/>
      <c r="B350" s="7"/>
      <c r="C350" s="16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163"/>
      <c r="B351" s="7"/>
      <c r="C351" s="16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163"/>
      <c r="B352" s="7"/>
      <c r="C352" s="16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163"/>
      <c r="B353" s="7"/>
      <c r="C353" s="16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163"/>
      <c r="B354" s="7"/>
      <c r="C354" s="16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163"/>
      <c r="B355" s="7"/>
      <c r="C355" s="16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163"/>
      <c r="B356" s="7"/>
      <c r="C356" s="16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163"/>
      <c r="B357" s="7"/>
      <c r="C357" s="16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163"/>
      <c r="B358" s="7"/>
      <c r="C358" s="16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163"/>
      <c r="B359" s="7"/>
      <c r="C359" s="16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163"/>
      <c r="B360" s="7"/>
      <c r="C360" s="16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163"/>
      <c r="B361" s="7"/>
      <c r="C361" s="16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163"/>
      <c r="B362" s="7"/>
      <c r="C362" s="16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163"/>
      <c r="B363" s="7"/>
      <c r="C363" s="16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163"/>
      <c r="B364" s="7"/>
      <c r="C364" s="16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163"/>
      <c r="B365" s="7"/>
      <c r="C365" s="16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163"/>
      <c r="B366" s="7"/>
      <c r="C366" s="16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163"/>
      <c r="B367" s="7"/>
      <c r="C367" s="16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163"/>
      <c r="B368" s="7"/>
      <c r="C368" s="16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163"/>
      <c r="B369" s="7"/>
      <c r="C369" s="16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163"/>
      <c r="B370" s="7"/>
      <c r="C370" s="16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163"/>
      <c r="B371" s="7"/>
      <c r="C371" s="16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163"/>
      <c r="B372" s="7"/>
      <c r="C372" s="16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163"/>
      <c r="B373" s="7"/>
      <c r="C373" s="16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163"/>
      <c r="B374" s="7"/>
      <c r="C374" s="16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163"/>
      <c r="B375" s="7"/>
      <c r="C375" s="16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163"/>
      <c r="B376" s="7"/>
      <c r="C376" s="16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163"/>
      <c r="B377" s="7"/>
      <c r="C377" s="16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163"/>
      <c r="B378" s="7"/>
      <c r="C378" s="16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163"/>
      <c r="B379" s="7"/>
      <c r="C379" s="16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163"/>
      <c r="B380" s="7"/>
      <c r="C380" s="16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163"/>
      <c r="B381" s="7"/>
      <c r="C381" s="16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163"/>
      <c r="B382" s="7"/>
      <c r="C382" s="16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163"/>
      <c r="B383" s="7"/>
      <c r="C383" s="16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163"/>
      <c r="B384" s="7"/>
      <c r="C384" s="16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163"/>
      <c r="B385" s="7"/>
      <c r="C385" s="16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163"/>
      <c r="B386" s="7"/>
      <c r="C386" s="16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163"/>
      <c r="B387" s="7"/>
      <c r="C387" s="16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163"/>
      <c r="B388" s="7"/>
      <c r="C388" s="16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163"/>
      <c r="B389" s="7"/>
      <c r="C389" s="16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163"/>
      <c r="B390" s="7"/>
      <c r="C390" s="16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163"/>
      <c r="B391" s="7"/>
      <c r="C391" s="16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163"/>
      <c r="B392" s="7"/>
      <c r="C392" s="16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163"/>
      <c r="B393" s="7"/>
      <c r="C393" s="16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163"/>
      <c r="B394" s="7"/>
      <c r="C394" s="16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163"/>
      <c r="B395" s="7"/>
      <c r="C395" s="16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163"/>
      <c r="B396" s="7"/>
      <c r="C396" s="16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163"/>
      <c r="B397" s="7"/>
      <c r="C397" s="16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163"/>
      <c r="B398" s="7"/>
      <c r="C398" s="16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163"/>
      <c r="B399" s="7"/>
      <c r="C399" s="16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163"/>
      <c r="B400" s="7"/>
      <c r="C400" s="16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163"/>
      <c r="B401" s="7"/>
      <c r="C401" s="16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163"/>
      <c r="B402" s="7"/>
      <c r="C402" s="16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163"/>
      <c r="B403" s="7"/>
      <c r="C403" s="16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163"/>
      <c r="B404" s="7"/>
      <c r="C404" s="16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163"/>
      <c r="B405" s="7"/>
      <c r="C405" s="16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163"/>
      <c r="B406" s="7"/>
      <c r="C406" s="16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163"/>
      <c r="B407" s="7"/>
      <c r="C407" s="16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163"/>
      <c r="B408" s="7"/>
      <c r="C408" s="16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163"/>
      <c r="B409" s="7"/>
      <c r="C409" s="16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163"/>
      <c r="B410" s="7"/>
      <c r="C410" s="16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163"/>
      <c r="B411" s="7"/>
      <c r="C411" s="16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163"/>
      <c r="B412" s="7"/>
      <c r="C412" s="16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163"/>
      <c r="B413" s="7"/>
      <c r="C413" s="16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163"/>
      <c r="B414" s="7"/>
      <c r="C414" s="16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163"/>
      <c r="B415" s="7"/>
      <c r="C415" s="16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163"/>
      <c r="B416" s="7"/>
      <c r="C416" s="16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163"/>
      <c r="B417" s="7"/>
      <c r="C417" s="16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163"/>
      <c r="B418" s="7"/>
      <c r="C418" s="16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163"/>
      <c r="B419" s="7"/>
      <c r="C419" s="16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163"/>
      <c r="B420" s="7"/>
      <c r="C420" s="16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163"/>
      <c r="B421" s="7"/>
      <c r="C421" s="16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163"/>
      <c r="B422" s="7"/>
      <c r="C422" s="16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163"/>
      <c r="B423" s="7"/>
      <c r="C423" s="16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163"/>
      <c r="B424" s="7"/>
      <c r="C424" s="16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163"/>
      <c r="B425" s="7"/>
      <c r="C425" s="16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163"/>
      <c r="B426" s="7"/>
      <c r="C426" s="16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163"/>
      <c r="B427" s="7"/>
      <c r="C427" s="16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163"/>
      <c r="B428" s="7"/>
      <c r="C428" s="16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163"/>
      <c r="B429" s="7"/>
      <c r="C429" s="16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163"/>
      <c r="B430" s="7"/>
      <c r="C430" s="16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163"/>
      <c r="B431" s="7"/>
      <c r="C431" s="16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163"/>
      <c r="B432" s="7"/>
      <c r="C432" s="16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163"/>
      <c r="B433" s="7"/>
      <c r="C433" s="16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163"/>
      <c r="B434" s="7"/>
      <c r="C434" s="16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163"/>
      <c r="B435" s="7"/>
      <c r="C435" s="16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163"/>
      <c r="B436" s="7"/>
      <c r="C436" s="16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163"/>
      <c r="B437" s="7"/>
      <c r="C437" s="16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163"/>
      <c r="B438" s="7"/>
      <c r="C438" s="16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163"/>
      <c r="B439" s="7"/>
      <c r="C439" s="16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163"/>
      <c r="B440" s="7"/>
      <c r="C440" s="16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163"/>
      <c r="B441" s="7"/>
      <c r="C441" s="16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163"/>
      <c r="B442" s="7"/>
      <c r="C442" s="16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163"/>
      <c r="B443" s="7"/>
      <c r="C443" s="16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163"/>
      <c r="B444" s="7"/>
      <c r="C444" s="16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163"/>
      <c r="B445" s="7"/>
      <c r="C445" s="16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163"/>
      <c r="B446" s="7"/>
      <c r="C446" s="16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163"/>
      <c r="B447" s="7"/>
      <c r="C447" s="16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163"/>
      <c r="B448" s="7"/>
      <c r="C448" s="16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163"/>
      <c r="B449" s="7"/>
      <c r="C449" s="16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163"/>
      <c r="B450" s="7"/>
      <c r="C450" s="16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163"/>
      <c r="B451" s="7"/>
      <c r="C451" s="16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163"/>
      <c r="B452" s="7"/>
      <c r="C452" s="16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163"/>
      <c r="B453" s="7"/>
      <c r="C453" s="16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163"/>
      <c r="B454" s="7"/>
      <c r="C454" s="16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163"/>
      <c r="B455" s="7"/>
      <c r="C455" s="16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163"/>
      <c r="B456" s="7"/>
      <c r="C456" s="16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163"/>
      <c r="B457" s="7"/>
      <c r="C457" s="16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163"/>
      <c r="B458" s="7"/>
      <c r="C458" s="16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163"/>
      <c r="B459" s="7"/>
      <c r="C459" s="16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163"/>
      <c r="B460" s="7"/>
      <c r="C460" s="16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163"/>
      <c r="B461" s="7"/>
      <c r="C461" s="16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163"/>
      <c r="B462" s="7"/>
      <c r="C462" s="16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163"/>
      <c r="B463" s="7"/>
      <c r="C463" s="16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163"/>
      <c r="B464" s="7"/>
      <c r="C464" s="16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163"/>
      <c r="B465" s="7"/>
      <c r="C465" s="16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163"/>
      <c r="B466" s="7"/>
      <c r="C466" s="16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163"/>
      <c r="B467" s="7"/>
      <c r="C467" s="16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163"/>
      <c r="B468" s="7"/>
      <c r="C468" s="16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163"/>
      <c r="B469" s="7"/>
      <c r="C469" s="16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163"/>
      <c r="B470" s="7"/>
      <c r="C470" s="16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163"/>
      <c r="B471" s="7"/>
      <c r="C471" s="16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163"/>
      <c r="B472" s="7"/>
      <c r="C472" s="16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163"/>
      <c r="B473" s="7"/>
      <c r="C473" s="16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163"/>
      <c r="B474" s="7"/>
      <c r="C474" s="16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163"/>
      <c r="B475" s="7"/>
      <c r="C475" s="16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163"/>
      <c r="B476" s="7"/>
      <c r="C476" s="16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163"/>
      <c r="B477" s="7"/>
      <c r="C477" s="16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163"/>
      <c r="B478" s="7"/>
      <c r="C478" s="16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163"/>
      <c r="B479" s="7"/>
      <c r="C479" s="16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163"/>
      <c r="B480" s="7"/>
      <c r="C480" s="16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163"/>
      <c r="B481" s="7"/>
      <c r="C481" s="16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163"/>
      <c r="B482" s="7"/>
      <c r="C482" s="16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163"/>
      <c r="B483" s="7"/>
      <c r="C483" s="16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163"/>
      <c r="B484" s="7"/>
      <c r="C484" s="16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163"/>
      <c r="B485" s="7"/>
      <c r="C485" s="16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163"/>
      <c r="B486" s="7"/>
      <c r="C486" s="16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163"/>
      <c r="B487" s="7"/>
      <c r="C487" s="16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163"/>
      <c r="B488" s="7"/>
      <c r="C488" s="16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163"/>
      <c r="B489" s="7"/>
      <c r="C489" s="16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163"/>
      <c r="B490" s="7"/>
      <c r="C490" s="16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163"/>
      <c r="B491" s="7"/>
      <c r="C491" s="16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163"/>
      <c r="B492" s="7"/>
      <c r="C492" s="16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163"/>
      <c r="B493" s="7"/>
      <c r="C493" s="16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163"/>
      <c r="B494" s="7"/>
      <c r="C494" s="16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163"/>
      <c r="B495" s="7"/>
      <c r="C495" s="16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163"/>
      <c r="B496" s="7"/>
      <c r="C496" s="16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163"/>
      <c r="B497" s="7"/>
      <c r="C497" s="16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163"/>
      <c r="B498" s="7"/>
      <c r="C498" s="16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163"/>
      <c r="B499" s="7"/>
      <c r="C499" s="16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163"/>
      <c r="B500" s="7"/>
      <c r="C500" s="16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163"/>
      <c r="B501" s="7"/>
      <c r="C501" s="16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163"/>
      <c r="B502" s="7"/>
      <c r="C502" s="16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163"/>
      <c r="B503" s="7"/>
      <c r="C503" s="16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163"/>
      <c r="B504" s="7"/>
      <c r="C504" s="16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163"/>
      <c r="B505" s="7"/>
      <c r="C505" s="16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163"/>
      <c r="B506" s="7"/>
      <c r="C506" s="16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163"/>
      <c r="B507" s="7"/>
      <c r="C507" s="16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163"/>
      <c r="B508" s="7"/>
      <c r="C508" s="16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163"/>
      <c r="B509" s="7"/>
      <c r="C509" s="16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163"/>
      <c r="B510" s="7"/>
      <c r="C510" s="16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163"/>
      <c r="B511" s="7"/>
      <c r="C511" s="16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163"/>
      <c r="B512" s="7"/>
      <c r="C512" s="16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163"/>
      <c r="B513" s="7"/>
      <c r="C513" s="16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163"/>
      <c r="B514" s="7"/>
      <c r="C514" s="16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163"/>
      <c r="B515" s="7"/>
      <c r="C515" s="16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163"/>
      <c r="B516" s="7"/>
      <c r="C516" s="16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163"/>
      <c r="B517" s="7"/>
      <c r="C517" s="16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163"/>
      <c r="B518" s="7"/>
      <c r="C518" s="16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163"/>
      <c r="B519" s="7"/>
      <c r="C519" s="16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163"/>
      <c r="B520" s="7"/>
      <c r="C520" s="16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163"/>
      <c r="B521" s="7"/>
      <c r="C521" s="16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163"/>
      <c r="B522" s="7"/>
      <c r="C522" s="16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163"/>
      <c r="B523" s="7"/>
      <c r="C523" s="16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163"/>
      <c r="B524" s="7"/>
      <c r="C524" s="16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163"/>
      <c r="B525" s="7"/>
      <c r="C525" s="16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163"/>
      <c r="B526" s="7"/>
      <c r="C526" s="16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163"/>
      <c r="B527" s="7"/>
      <c r="C527" s="16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163"/>
      <c r="B528" s="7"/>
      <c r="C528" s="16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163"/>
      <c r="B529" s="7"/>
      <c r="C529" s="16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163"/>
      <c r="B530" s="7"/>
      <c r="C530" s="16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163"/>
      <c r="B531" s="7"/>
      <c r="C531" s="16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163"/>
      <c r="B532" s="7"/>
      <c r="C532" s="16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163"/>
      <c r="B533" s="7"/>
      <c r="C533" s="16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163"/>
      <c r="B534" s="7"/>
      <c r="C534" s="16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163"/>
      <c r="B535" s="7"/>
      <c r="C535" s="16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163"/>
      <c r="B536" s="7"/>
      <c r="C536" s="16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163"/>
      <c r="B537" s="7"/>
      <c r="C537" s="16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163"/>
      <c r="B538" s="7"/>
      <c r="C538" s="16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163"/>
      <c r="B539" s="7"/>
      <c r="C539" s="16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163"/>
      <c r="B540" s="7"/>
      <c r="C540" s="16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163"/>
      <c r="B541" s="7"/>
      <c r="C541" s="16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163"/>
      <c r="B542" s="7"/>
      <c r="C542" s="16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163"/>
      <c r="B543" s="7"/>
      <c r="C543" s="16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163"/>
      <c r="B544" s="7"/>
      <c r="C544" s="16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163"/>
      <c r="B545" s="7"/>
      <c r="C545" s="16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163"/>
      <c r="B546" s="7"/>
      <c r="C546" s="16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163"/>
      <c r="B547" s="7"/>
      <c r="C547" s="16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163"/>
      <c r="B548" s="7"/>
      <c r="C548" s="16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163"/>
      <c r="B549" s="7"/>
      <c r="C549" s="16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163"/>
      <c r="B550" s="7"/>
      <c r="C550" s="16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163"/>
      <c r="B551" s="7"/>
      <c r="C551" s="16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163"/>
      <c r="B552" s="7"/>
      <c r="C552" s="16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163"/>
      <c r="B553" s="7"/>
      <c r="C553" s="16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163"/>
      <c r="B554" s="7"/>
      <c r="C554" s="16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163"/>
      <c r="B555" s="7"/>
      <c r="C555" s="16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163"/>
      <c r="B556" s="7"/>
      <c r="C556" s="16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163"/>
      <c r="B557" s="7"/>
      <c r="C557" s="16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163"/>
      <c r="B558" s="7"/>
      <c r="C558" s="16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163"/>
      <c r="B559" s="7"/>
      <c r="C559" s="16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163"/>
      <c r="B560" s="7"/>
      <c r="C560" s="16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163"/>
      <c r="B561" s="7"/>
      <c r="C561" s="16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163"/>
      <c r="B562" s="7"/>
      <c r="C562" s="16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163"/>
      <c r="B563" s="7"/>
      <c r="C563" s="16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163"/>
      <c r="B564" s="7"/>
      <c r="C564" s="16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163"/>
      <c r="B565" s="7"/>
      <c r="C565" s="16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163"/>
      <c r="B566" s="7"/>
      <c r="C566" s="16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163"/>
      <c r="B567" s="7"/>
      <c r="C567" s="16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163"/>
      <c r="B568" s="7"/>
      <c r="C568" s="16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163"/>
      <c r="B569" s="7"/>
      <c r="C569" s="16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163"/>
      <c r="B570" s="7"/>
      <c r="C570" s="16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163"/>
      <c r="B571" s="7"/>
      <c r="C571" s="16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163"/>
      <c r="B572" s="7"/>
      <c r="C572" s="16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163"/>
      <c r="B573" s="7"/>
      <c r="C573" s="16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163"/>
      <c r="B574" s="7"/>
      <c r="C574" s="16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163"/>
      <c r="B575" s="7"/>
      <c r="C575" s="16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163"/>
      <c r="B576" s="7"/>
      <c r="C576" s="16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163"/>
      <c r="B577" s="7"/>
      <c r="C577" s="16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163"/>
      <c r="B578" s="7"/>
      <c r="C578" s="16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163"/>
      <c r="B579" s="7"/>
      <c r="C579" s="16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163"/>
      <c r="B580" s="7"/>
      <c r="C580" s="16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163"/>
      <c r="B581" s="7"/>
      <c r="C581" s="16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163"/>
      <c r="B582" s="7"/>
      <c r="C582" s="16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163"/>
      <c r="B583" s="7"/>
      <c r="C583" s="16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163"/>
      <c r="B584" s="7"/>
      <c r="C584" s="16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163"/>
      <c r="B585" s="7"/>
      <c r="C585" s="16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163"/>
      <c r="B586" s="7"/>
      <c r="C586" s="16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163"/>
      <c r="B587" s="7"/>
      <c r="C587" s="16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163"/>
      <c r="B588" s="7"/>
      <c r="C588" s="16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163"/>
      <c r="B589" s="7"/>
      <c r="C589" s="16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163"/>
      <c r="B590" s="7"/>
      <c r="C590" s="16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163"/>
      <c r="B591" s="7"/>
      <c r="C591" s="16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163"/>
      <c r="B592" s="7"/>
      <c r="C592" s="16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163"/>
      <c r="B593" s="7"/>
      <c r="C593" s="16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163"/>
      <c r="B594" s="7"/>
      <c r="C594" s="16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163"/>
      <c r="B595" s="7"/>
      <c r="C595" s="16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163"/>
      <c r="B596" s="7"/>
      <c r="C596" s="16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163"/>
      <c r="B597" s="7"/>
      <c r="C597" s="16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163"/>
      <c r="B598" s="7"/>
      <c r="C598" s="16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163"/>
      <c r="B599" s="7"/>
      <c r="C599" s="16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163"/>
      <c r="B600" s="7"/>
      <c r="C600" s="16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163"/>
      <c r="B601" s="7"/>
      <c r="C601" s="16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163"/>
      <c r="B602" s="7"/>
      <c r="C602" s="16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163"/>
      <c r="B603" s="7"/>
      <c r="C603" s="16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163"/>
      <c r="B604" s="7"/>
      <c r="C604" s="16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163"/>
      <c r="B605" s="7"/>
      <c r="C605" s="16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163"/>
      <c r="B606" s="7"/>
      <c r="C606" s="16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163"/>
      <c r="B607" s="7"/>
      <c r="C607" s="16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163"/>
      <c r="B608" s="7"/>
      <c r="C608" s="16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163"/>
      <c r="B609" s="7"/>
      <c r="C609" s="16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163"/>
      <c r="B610" s="7"/>
      <c r="C610" s="16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163"/>
      <c r="B611" s="7"/>
      <c r="C611" s="16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163"/>
      <c r="B612" s="7"/>
      <c r="C612" s="16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163"/>
      <c r="B613" s="7"/>
      <c r="C613" s="16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163"/>
      <c r="B614" s="7"/>
      <c r="C614" s="16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163"/>
      <c r="B615" s="7"/>
      <c r="C615" s="16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163"/>
      <c r="B616" s="7"/>
      <c r="C616" s="16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163"/>
      <c r="B617" s="7"/>
      <c r="C617" s="16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163"/>
      <c r="B618" s="7"/>
      <c r="C618" s="16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163"/>
      <c r="B619" s="7"/>
      <c r="C619" s="16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163"/>
      <c r="B620" s="7"/>
      <c r="C620" s="16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163"/>
      <c r="B621" s="7"/>
      <c r="C621" s="16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163"/>
      <c r="B622" s="7"/>
      <c r="C622" s="16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163"/>
      <c r="B623" s="7"/>
      <c r="C623" s="16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163"/>
      <c r="B624" s="7"/>
      <c r="C624" s="16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163"/>
      <c r="B625" s="7"/>
      <c r="C625" s="16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163"/>
      <c r="B626" s="7"/>
      <c r="C626" s="16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163"/>
      <c r="B627" s="7"/>
      <c r="C627" s="16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163"/>
      <c r="B628" s="7"/>
      <c r="C628" s="16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163"/>
      <c r="B629" s="7"/>
      <c r="C629" s="16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163"/>
      <c r="B630" s="7"/>
      <c r="C630" s="16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163"/>
      <c r="B631" s="7"/>
      <c r="C631" s="16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163"/>
      <c r="B632" s="7"/>
      <c r="C632" s="16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163"/>
      <c r="B633" s="7"/>
      <c r="C633" s="16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163"/>
      <c r="B634" s="7"/>
      <c r="C634" s="16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163"/>
      <c r="B635" s="7"/>
      <c r="C635" s="16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163"/>
      <c r="B636" s="7"/>
      <c r="C636" s="16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163"/>
      <c r="B637" s="7"/>
      <c r="C637" s="16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163"/>
      <c r="B638" s="7"/>
      <c r="C638" s="16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163"/>
      <c r="B639" s="7"/>
      <c r="C639" s="16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163"/>
      <c r="B640" s="7"/>
      <c r="C640" s="16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163"/>
      <c r="B641" s="7"/>
      <c r="C641" s="16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163"/>
      <c r="B642" s="7"/>
      <c r="C642" s="16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163"/>
      <c r="B643" s="7"/>
      <c r="C643" s="16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163"/>
      <c r="B644" s="7"/>
      <c r="C644" s="16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163"/>
      <c r="B645" s="7"/>
      <c r="C645" s="16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163"/>
      <c r="B646" s="7"/>
      <c r="C646" s="16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163"/>
      <c r="B647" s="7"/>
      <c r="C647" s="16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163"/>
      <c r="B648" s="7"/>
      <c r="C648" s="16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163"/>
      <c r="B649" s="7"/>
      <c r="C649" s="16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163"/>
      <c r="B650" s="7"/>
      <c r="C650" s="16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163"/>
      <c r="B651" s="7"/>
      <c r="C651" s="16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163"/>
      <c r="B652" s="7"/>
      <c r="C652" s="16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163"/>
      <c r="B653" s="7"/>
      <c r="C653" s="16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163"/>
      <c r="B654" s="7"/>
      <c r="C654" s="16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163"/>
      <c r="B655" s="7"/>
      <c r="C655" s="16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163"/>
      <c r="B656" s="7"/>
      <c r="C656" s="16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163"/>
      <c r="B657" s="7"/>
      <c r="C657" s="16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163"/>
      <c r="B658" s="7"/>
      <c r="C658" s="16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163"/>
      <c r="B659" s="7"/>
      <c r="C659" s="16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163"/>
      <c r="B660" s="7"/>
      <c r="C660" s="16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163"/>
      <c r="B661" s="7"/>
      <c r="C661" s="16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163"/>
      <c r="B662" s="7"/>
      <c r="C662" s="16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163"/>
      <c r="B663" s="7"/>
      <c r="C663" s="16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163"/>
      <c r="B664" s="7"/>
      <c r="C664" s="16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163"/>
      <c r="B665" s="7"/>
      <c r="C665" s="16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163"/>
      <c r="B666" s="7"/>
      <c r="C666" s="16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163"/>
      <c r="B667" s="7"/>
      <c r="C667" s="16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163"/>
      <c r="B668" s="7"/>
      <c r="C668" s="16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163"/>
      <c r="B669" s="7"/>
      <c r="C669" s="16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163"/>
      <c r="B670" s="7"/>
      <c r="C670" s="16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163"/>
      <c r="B671" s="7"/>
      <c r="C671" s="16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163"/>
      <c r="B672" s="7"/>
      <c r="C672" s="16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163"/>
      <c r="B673" s="7"/>
      <c r="C673" s="16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163"/>
      <c r="B674" s="7"/>
      <c r="C674" s="16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163"/>
      <c r="B675" s="7"/>
      <c r="C675" s="16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163"/>
      <c r="B676" s="7"/>
      <c r="C676" s="16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163"/>
      <c r="B677" s="7"/>
      <c r="C677" s="16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163"/>
      <c r="B678" s="7"/>
      <c r="C678" s="16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163"/>
      <c r="B679" s="7"/>
      <c r="C679" s="16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163"/>
      <c r="B680" s="7"/>
      <c r="C680" s="16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163"/>
      <c r="B681" s="7"/>
      <c r="C681" s="16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163"/>
      <c r="B682" s="7"/>
      <c r="C682" s="16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163"/>
      <c r="B683" s="7"/>
      <c r="C683" s="16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163"/>
      <c r="B684" s="7"/>
      <c r="C684" s="16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163"/>
      <c r="B685" s="7"/>
      <c r="C685" s="16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163"/>
      <c r="B686" s="7"/>
      <c r="C686" s="16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163"/>
      <c r="B687" s="7"/>
      <c r="C687" s="16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163"/>
      <c r="B688" s="7"/>
      <c r="C688" s="16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163"/>
      <c r="B689" s="7"/>
      <c r="C689" s="16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163"/>
      <c r="B690" s="7"/>
      <c r="C690" s="16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163"/>
      <c r="B691" s="7"/>
      <c r="C691" s="16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163"/>
      <c r="B692" s="7"/>
      <c r="C692" s="16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163"/>
      <c r="B693" s="7"/>
      <c r="C693" s="16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163"/>
      <c r="B694" s="7"/>
      <c r="C694" s="16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163"/>
      <c r="B695" s="7"/>
      <c r="C695" s="16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163"/>
      <c r="B696" s="7"/>
      <c r="C696" s="16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163"/>
      <c r="B697" s="7"/>
      <c r="C697" s="16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163"/>
      <c r="B698" s="7"/>
      <c r="C698" s="16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163"/>
      <c r="B699" s="7"/>
      <c r="C699" s="16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163"/>
      <c r="B700" s="7"/>
      <c r="C700" s="16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163"/>
      <c r="B701" s="7"/>
      <c r="C701" s="16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163"/>
      <c r="B702" s="7"/>
      <c r="C702" s="16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163"/>
      <c r="B703" s="7"/>
      <c r="C703" s="16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163"/>
      <c r="B704" s="7"/>
      <c r="C704" s="16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163"/>
      <c r="B705" s="7"/>
      <c r="C705" s="16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163"/>
      <c r="B706" s="7"/>
      <c r="C706" s="16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163"/>
      <c r="B707" s="7"/>
      <c r="C707" s="16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163"/>
      <c r="B708" s="7"/>
      <c r="C708" s="16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163"/>
      <c r="B709" s="7"/>
      <c r="C709" s="16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163"/>
      <c r="B710" s="7"/>
      <c r="C710" s="16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163"/>
      <c r="B711" s="7"/>
      <c r="C711" s="16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163"/>
      <c r="B712" s="7"/>
      <c r="C712" s="16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163"/>
      <c r="B713" s="7"/>
      <c r="C713" s="16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163"/>
      <c r="B714" s="7"/>
      <c r="C714" s="16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163"/>
      <c r="B715" s="7"/>
      <c r="C715" s="16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163"/>
      <c r="B716" s="7"/>
      <c r="C716" s="16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163"/>
      <c r="B717" s="7"/>
      <c r="C717" s="16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163"/>
      <c r="B718" s="7"/>
      <c r="C718" s="16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163"/>
      <c r="B719" s="7"/>
      <c r="C719" s="16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163"/>
      <c r="B720" s="7"/>
      <c r="C720" s="16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163"/>
      <c r="B721" s="7"/>
      <c r="C721" s="16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163"/>
      <c r="B722" s="7"/>
      <c r="C722" s="16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163"/>
      <c r="B723" s="7"/>
      <c r="C723" s="16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163"/>
      <c r="B724" s="7"/>
      <c r="C724" s="16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163"/>
      <c r="B725" s="7"/>
      <c r="C725" s="16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163"/>
      <c r="B726" s="7"/>
      <c r="C726" s="16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163"/>
      <c r="B727" s="7"/>
      <c r="C727" s="16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163"/>
      <c r="B728" s="7"/>
      <c r="C728" s="16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163"/>
      <c r="B729" s="7"/>
      <c r="C729" s="16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163"/>
      <c r="B730" s="7"/>
      <c r="C730" s="16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163"/>
      <c r="B731" s="7"/>
      <c r="C731" s="16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163"/>
      <c r="B732" s="7"/>
      <c r="C732" s="16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163"/>
      <c r="B733" s="7"/>
      <c r="C733" s="16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163"/>
      <c r="B734" s="7"/>
      <c r="C734" s="16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163"/>
      <c r="B735" s="7"/>
      <c r="C735" s="16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163"/>
      <c r="B736" s="7"/>
      <c r="C736" s="16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163"/>
      <c r="B737" s="7"/>
      <c r="C737" s="16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163"/>
      <c r="B738" s="7"/>
      <c r="C738" s="16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163"/>
      <c r="B739" s="7"/>
      <c r="C739" s="16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163"/>
      <c r="B740" s="7"/>
      <c r="C740" s="16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163"/>
      <c r="B741" s="7"/>
      <c r="C741" s="16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163"/>
      <c r="B742" s="7"/>
      <c r="C742" s="16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163"/>
      <c r="B743" s="7"/>
      <c r="C743" s="16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163"/>
      <c r="B744" s="7"/>
      <c r="C744" s="16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163"/>
      <c r="B745" s="7"/>
      <c r="C745" s="16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163"/>
      <c r="B746" s="7"/>
      <c r="C746" s="16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163"/>
      <c r="B747" s="7"/>
      <c r="C747" s="16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163"/>
      <c r="B748" s="7"/>
      <c r="C748" s="16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163"/>
      <c r="B749" s="7"/>
      <c r="C749" s="16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163"/>
      <c r="B750" s="7"/>
      <c r="C750" s="16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163"/>
      <c r="B751" s="7"/>
      <c r="C751" s="16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163"/>
      <c r="B752" s="7"/>
      <c r="C752" s="16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163"/>
      <c r="B753" s="7"/>
      <c r="C753" s="16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163"/>
      <c r="B754" s="7"/>
      <c r="C754" s="16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163"/>
      <c r="B755" s="7"/>
      <c r="C755" s="16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163"/>
      <c r="B756" s="7"/>
      <c r="C756" s="16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163"/>
      <c r="B757" s="7"/>
      <c r="C757" s="16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163"/>
      <c r="B758" s="7"/>
      <c r="C758" s="16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163"/>
      <c r="B759" s="7"/>
      <c r="C759" s="16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163"/>
      <c r="B760" s="7"/>
      <c r="C760" s="16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163"/>
      <c r="B761" s="7"/>
      <c r="C761" s="16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163"/>
      <c r="B762" s="7"/>
      <c r="C762" s="16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163"/>
      <c r="B763" s="7"/>
      <c r="C763" s="16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163"/>
      <c r="B764" s="7"/>
      <c r="C764" s="16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163"/>
      <c r="B765" s="7"/>
      <c r="C765" s="16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163"/>
      <c r="B766" s="7"/>
      <c r="C766" s="16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163"/>
      <c r="B767" s="7"/>
      <c r="C767" s="16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163"/>
      <c r="B768" s="7"/>
      <c r="C768" s="16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163"/>
      <c r="B769" s="7"/>
      <c r="C769" s="16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163"/>
      <c r="B770" s="7"/>
      <c r="C770" s="16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163"/>
      <c r="B771" s="7"/>
      <c r="C771" s="16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163"/>
      <c r="B772" s="7"/>
      <c r="C772" s="16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163"/>
      <c r="B773" s="7"/>
      <c r="C773" s="16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163"/>
      <c r="B774" s="7"/>
      <c r="C774" s="16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163"/>
      <c r="B775" s="7"/>
      <c r="C775" s="16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163"/>
      <c r="B776" s="7"/>
      <c r="C776" s="16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163"/>
      <c r="B777" s="7"/>
      <c r="C777" s="16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163"/>
      <c r="B778" s="7"/>
      <c r="C778" s="16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163"/>
      <c r="B779" s="7"/>
      <c r="C779" s="16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163"/>
      <c r="B780" s="7"/>
      <c r="C780" s="16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163"/>
      <c r="B781" s="7"/>
      <c r="C781" s="16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163"/>
      <c r="B782" s="7"/>
      <c r="C782" s="16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163"/>
      <c r="B783" s="7"/>
      <c r="C783" s="16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163"/>
      <c r="B784" s="7"/>
      <c r="C784" s="16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163"/>
      <c r="B785" s="7"/>
      <c r="C785" s="16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163"/>
      <c r="B786" s="7"/>
      <c r="C786" s="16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163"/>
      <c r="B787" s="7"/>
      <c r="C787" s="16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163"/>
      <c r="B788" s="7"/>
      <c r="C788" s="16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163"/>
      <c r="B789" s="7"/>
      <c r="C789" s="16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163"/>
      <c r="B790" s="7"/>
      <c r="C790" s="16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163"/>
      <c r="B791" s="7"/>
      <c r="C791" s="16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163"/>
      <c r="B792" s="7"/>
      <c r="C792" s="16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163"/>
      <c r="B793" s="7"/>
      <c r="C793" s="16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163"/>
      <c r="B794" s="7"/>
      <c r="C794" s="16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163"/>
      <c r="B795" s="7"/>
      <c r="C795" s="16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163"/>
      <c r="B796" s="7"/>
      <c r="C796" s="16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163"/>
      <c r="B797" s="7"/>
      <c r="C797" s="16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163"/>
      <c r="B798" s="7"/>
      <c r="C798" s="16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163"/>
      <c r="B799" s="7"/>
      <c r="C799" s="16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163"/>
      <c r="B800" s="7"/>
      <c r="C800" s="16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163"/>
      <c r="B801" s="7"/>
      <c r="C801" s="16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163"/>
      <c r="B802" s="7"/>
      <c r="C802" s="16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163"/>
      <c r="B803" s="7"/>
      <c r="C803" s="16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163"/>
      <c r="B804" s="7"/>
      <c r="C804" s="16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163"/>
      <c r="B805" s="7"/>
      <c r="C805" s="16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163"/>
      <c r="B806" s="7"/>
      <c r="C806" s="16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163"/>
      <c r="B807" s="7"/>
      <c r="C807" s="16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163"/>
      <c r="B808" s="7"/>
      <c r="C808" s="16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163"/>
      <c r="B809" s="7"/>
      <c r="C809" s="16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163"/>
      <c r="B810" s="7"/>
      <c r="C810" s="16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163"/>
      <c r="B811" s="7"/>
      <c r="C811" s="16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163"/>
      <c r="B812" s="7"/>
      <c r="C812" s="16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163"/>
      <c r="B813" s="7"/>
      <c r="C813" s="16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163"/>
      <c r="B814" s="7"/>
      <c r="C814" s="16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163"/>
      <c r="B815" s="7"/>
      <c r="C815" s="16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163"/>
      <c r="B816" s="7"/>
      <c r="C816" s="16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163"/>
      <c r="B817" s="7"/>
      <c r="C817" s="16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163"/>
      <c r="B818" s="7"/>
      <c r="C818" s="16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163"/>
      <c r="B819" s="7"/>
      <c r="C819" s="16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163"/>
      <c r="B820" s="7"/>
      <c r="C820" s="16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163"/>
      <c r="B821" s="7"/>
      <c r="C821" s="16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163"/>
      <c r="B822" s="7"/>
      <c r="C822" s="16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163"/>
      <c r="B823" s="7"/>
      <c r="C823" s="16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163"/>
      <c r="B824" s="7"/>
      <c r="C824" s="16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163"/>
      <c r="B825" s="7"/>
      <c r="C825" s="16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163"/>
      <c r="B826" s="7"/>
      <c r="C826" s="16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163"/>
      <c r="B827" s="7"/>
      <c r="C827" s="16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163"/>
      <c r="B828" s="7"/>
      <c r="C828" s="16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163"/>
      <c r="B829" s="7"/>
      <c r="C829" s="16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163"/>
      <c r="B830" s="7"/>
      <c r="C830" s="16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163"/>
      <c r="B831" s="7"/>
      <c r="C831" s="16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163"/>
      <c r="B832" s="7"/>
      <c r="C832" s="16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163"/>
      <c r="B833" s="7"/>
      <c r="C833" s="16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163"/>
      <c r="B834" s="7"/>
      <c r="C834" s="16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163"/>
      <c r="B835" s="7"/>
      <c r="C835" s="16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163"/>
      <c r="B836" s="7"/>
      <c r="C836" s="16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163"/>
      <c r="B837" s="7"/>
      <c r="C837" s="16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163"/>
      <c r="B838" s="7"/>
      <c r="C838" s="16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163"/>
      <c r="B839" s="7"/>
      <c r="C839" s="16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163"/>
      <c r="B840" s="7"/>
      <c r="C840" s="16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163"/>
      <c r="B841" s="7"/>
      <c r="C841" s="16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163"/>
      <c r="B842" s="7"/>
      <c r="C842" s="16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163"/>
      <c r="B843" s="7"/>
      <c r="C843" s="16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163"/>
      <c r="B844" s="7"/>
      <c r="C844" s="16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163"/>
      <c r="B845" s="7"/>
      <c r="C845" s="16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163"/>
      <c r="B846" s="7"/>
      <c r="C846" s="16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163"/>
      <c r="B847" s="7"/>
      <c r="C847" s="16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163"/>
      <c r="B848" s="7"/>
      <c r="C848" s="16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163"/>
      <c r="B849" s="7"/>
      <c r="C849" s="16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163"/>
      <c r="B850" s="7"/>
      <c r="C850" s="16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163"/>
      <c r="B851" s="7"/>
      <c r="C851" s="16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163"/>
      <c r="B852" s="7"/>
      <c r="C852" s="16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163"/>
      <c r="B853" s="7"/>
      <c r="C853" s="16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163"/>
      <c r="B854" s="7"/>
      <c r="C854" s="16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163"/>
      <c r="B855" s="7"/>
      <c r="C855" s="16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163"/>
      <c r="B856" s="7"/>
      <c r="C856" s="16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163"/>
      <c r="B857" s="7"/>
      <c r="C857" s="16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163"/>
      <c r="B858" s="7"/>
      <c r="C858" s="16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163"/>
      <c r="B859" s="7"/>
      <c r="C859" s="16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163"/>
      <c r="B860" s="7"/>
      <c r="C860" s="16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163"/>
      <c r="B861" s="7"/>
      <c r="C861" s="16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163"/>
      <c r="B862" s="7"/>
      <c r="C862" s="16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163"/>
      <c r="B863" s="7"/>
      <c r="C863" s="16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163"/>
      <c r="B864" s="7"/>
      <c r="C864" s="16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163"/>
      <c r="B865" s="7"/>
      <c r="C865" s="16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163"/>
      <c r="B866" s="7"/>
      <c r="C866" s="16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163"/>
      <c r="B867" s="7"/>
      <c r="C867" s="16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163"/>
      <c r="B868" s="7"/>
      <c r="C868" s="16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163"/>
      <c r="B869" s="7"/>
      <c r="C869" s="16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163"/>
      <c r="B870" s="7"/>
      <c r="C870" s="16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163"/>
      <c r="B871" s="7"/>
      <c r="C871" s="16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163"/>
      <c r="B872" s="7"/>
      <c r="C872" s="16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163"/>
      <c r="B873" s="7"/>
      <c r="C873" s="16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163"/>
      <c r="B874" s="7"/>
      <c r="C874" s="16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163"/>
      <c r="B875" s="7"/>
      <c r="C875" s="16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163"/>
      <c r="B876" s="7"/>
      <c r="C876" s="16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163"/>
      <c r="B877" s="7"/>
      <c r="C877" s="16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163"/>
      <c r="B878" s="7"/>
      <c r="C878" s="16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163"/>
      <c r="B879" s="7"/>
      <c r="C879" s="16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163"/>
      <c r="B880" s="7"/>
      <c r="C880" s="16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163"/>
      <c r="B881" s="7"/>
      <c r="C881" s="16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163"/>
      <c r="B882" s="7"/>
      <c r="C882" s="16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163"/>
      <c r="B883" s="7"/>
      <c r="C883" s="16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163"/>
      <c r="B884" s="7"/>
      <c r="C884" s="16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163"/>
      <c r="B885" s="7"/>
      <c r="C885" s="16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163"/>
      <c r="B886" s="7"/>
      <c r="C886" s="16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163"/>
      <c r="B887" s="7"/>
      <c r="C887" s="16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163"/>
      <c r="B888" s="7"/>
      <c r="C888" s="16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163"/>
      <c r="B889" s="7"/>
      <c r="C889" s="16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163"/>
      <c r="B890" s="7"/>
      <c r="C890" s="16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163"/>
      <c r="B891" s="7"/>
      <c r="C891" s="16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163"/>
      <c r="B892" s="7"/>
      <c r="C892" s="16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163"/>
      <c r="B893" s="7"/>
      <c r="C893" s="16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163"/>
      <c r="B894" s="7"/>
      <c r="C894" s="16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163"/>
      <c r="B895" s="7"/>
      <c r="C895" s="16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163"/>
      <c r="B896" s="7"/>
      <c r="C896" s="16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163"/>
      <c r="B897" s="7"/>
      <c r="C897" s="16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163"/>
      <c r="B898" s="7"/>
      <c r="C898" s="16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163"/>
      <c r="B899" s="7"/>
      <c r="C899" s="16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163"/>
      <c r="B900" s="7"/>
      <c r="C900" s="16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163"/>
      <c r="B901" s="7"/>
      <c r="C901" s="16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163"/>
      <c r="B902" s="7"/>
      <c r="C902" s="16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163"/>
      <c r="B903" s="7"/>
      <c r="C903" s="16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163"/>
      <c r="B904" s="7"/>
      <c r="C904" s="16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163"/>
      <c r="B905" s="7"/>
      <c r="C905" s="16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163"/>
      <c r="B906" s="7"/>
      <c r="C906" s="16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163"/>
      <c r="B907" s="7"/>
      <c r="C907" s="16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163"/>
      <c r="B908" s="7"/>
      <c r="C908" s="16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163"/>
      <c r="B909" s="7"/>
      <c r="C909" s="16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163"/>
      <c r="B910" s="7"/>
      <c r="C910" s="16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163"/>
      <c r="B911" s="7"/>
      <c r="C911" s="16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163"/>
      <c r="B912" s="7"/>
      <c r="C912" s="16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163"/>
      <c r="B913" s="7"/>
      <c r="C913" s="16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163"/>
      <c r="B914" s="7"/>
      <c r="C914" s="16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163"/>
      <c r="B915" s="7"/>
      <c r="C915" s="16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163"/>
      <c r="B916" s="7"/>
      <c r="C916" s="16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163"/>
      <c r="B917" s="7"/>
      <c r="C917" s="16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163"/>
      <c r="B918" s="7"/>
      <c r="C918" s="16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163"/>
      <c r="B919" s="7"/>
      <c r="C919" s="16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163"/>
      <c r="B920" s="7"/>
      <c r="C920" s="16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163"/>
      <c r="B921" s="7"/>
      <c r="C921" s="16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163"/>
      <c r="B922" s="7"/>
      <c r="C922" s="16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163"/>
      <c r="B923" s="7"/>
      <c r="C923" s="16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163"/>
      <c r="B924" s="7"/>
      <c r="C924" s="16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163"/>
      <c r="B925" s="7"/>
      <c r="C925" s="16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163"/>
      <c r="B926" s="7"/>
      <c r="C926" s="16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163"/>
      <c r="B927" s="7"/>
      <c r="C927" s="16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163"/>
      <c r="B928" s="7"/>
      <c r="C928" s="16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163"/>
      <c r="B929" s="7"/>
      <c r="C929" s="16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163"/>
      <c r="B930" s="7"/>
      <c r="C930" s="16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163"/>
      <c r="B931" s="7"/>
      <c r="C931" s="16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163"/>
      <c r="B932" s="7"/>
      <c r="C932" s="16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</sheetData>
  <dataValidations>
    <dataValidation type="list" allowBlank="1" showErrorMessage="1" sqref="E2:E120 G2:G120 E122:E156 G122:G156 E167:E177 G167:G177">
      <formula1>'Hoja 2'!$A$2:$A$4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37.75"/>
  </cols>
  <sheetData>
    <row r="1">
      <c r="A1" s="165"/>
      <c r="B1" s="165"/>
      <c r="C1" s="166"/>
      <c r="D1" s="167"/>
      <c r="E1" s="167"/>
      <c r="F1" s="168"/>
      <c r="G1" s="168"/>
      <c r="H1" s="169"/>
      <c r="I1" s="170">
        <f>SUM(I3:I59)</f>
        <v>7524</v>
      </c>
      <c r="J1" s="170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</row>
    <row r="2">
      <c r="A2" s="165" t="s">
        <v>212</v>
      </c>
      <c r="B2" s="172" t="s">
        <v>213</v>
      </c>
      <c r="C2" s="173" t="s">
        <v>214</v>
      </c>
      <c r="D2" s="167" t="s">
        <v>215</v>
      </c>
      <c r="E2" s="167" t="s">
        <v>216</v>
      </c>
      <c r="F2" s="168" t="s">
        <v>217</v>
      </c>
      <c r="G2" s="168" t="s">
        <v>218</v>
      </c>
      <c r="H2" s="174" t="s">
        <v>219</v>
      </c>
      <c r="I2" s="170" t="s">
        <v>220</v>
      </c>
      <c r="J2" s="170" t="s">
        <v>221</v>
      </c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</row>
    <row r="3">
      <c r="A3" s="171" t="s">
        <v>222</v>
      </c>
      <c r="B3" s="175" t="str">
        <f>BOCATAS!D2</f>
        <v>SIMPLE DE POLLO </v>
      </c>
      <c r="C3" s="159">
        <f>BOCATAS!L6</f>
        <v>1.401818182</v>
      </c>
      <c r="D3" s="159">
        <f>BOCATAS!L8</f>
        <v>3.636363636</v>
      </c>
      <c r="E3" s="176">
        <f t="shared" ref="E3:E14" si="1">D3*1.1</f>
        <v>4</v>
      </c>
      <c r="F3" s="158">
        <f t="shared" ref="F3:F14" si="2">D3-C3</f>
        <v>2.234545455</v>
      </c>
      <c r="G3" s="158">
        <f>BOCATAS!L11</f>
        <v>61.45</v>
      </c>
      <c r="H3" s="158">
        <f>BOCATAS!L10</f>
        <v>38.55</v>
      </c>
      <c r="I3" s="177">
        <v>163.0</v>
      </c>
      <c r="J3" s="178">
        <f t="shared" ref="J3:J14" si="3">I3/SUM($I$3:I201)*100</f>
        <v>2.166400851</v>
      </c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</row>
    <row r="4">
      <c r="A4" s="171" t="s">
        <v>222</v>
      </c>
      <c r="B4" s="171" t="s">
        <v>223</v>
      </c>
      <c r="C4" s="179">
        <f>BOCATAS!L34</f>
        <v>1.340702797</v>
      </c>
      <c r="D4" s="179">
        <f>BOCATAS!L36</f>
        <v>5</v>
      </c>
      <c r="E4" s="176">
        <f t="shared" si="1"/>
        <v>5.5</v>
      </c>
      <c r="F4" s="158">
        <f t="shared" si="2"/>
        <v>3.659297203</v>
      </c>
      <c r="G4" s="175">
        <f t="shared" ref="G4:G14" si="4">100-H4</f>
        <v>73.18594406</v>
      </c>
      <c r="H4" s="175">
        <f t="shared" ref="H4:H14" si="5">C4/D4*100</f>
        <v>26.81405594</v>
      </c>
      <c r="I4" s="177">
        <v>33.0</v>
      </c>
      <c r="J4" s="178">
        <f t="shared" si="3"/>
        <v>0.4385964912</v>
      </c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</row>
    <row r="5">
      <c r="A5" s="171" t="s">
        <v>222</v>
      </c>
      <c r="B5" s="180" t="s">
        <v>224</v>
      </c>
      <c r="C5" s="179">
        <f>BOCATAS!L20</f>
        <v>1.341318182</v>
      </c>
      <c r="D5" s="179">
        <f>BOCATAS!L22</f>
        <v>4.545454545</v>
      </c>
      <c r="E5" s="176">
        <f t="shared" si="1"/>
        <v>5</v>
      </c>
      <c r="F5" s="158">
        <f t="shared" si="2"/>
        <v>3.204136364</v>
      </c>
      <c r="G5" s="175">
        <f t="shared" si="4"/>
        <v>70.491</v>
      </c>
      <c r="H5" s="175">
        <f t="shared" si="5"/>
        <v>29.509</v>
      </c>
      <c r="I5" s="177">
        <v>31.0</v>
      </c>
      <c r="J5" s="178">
        <f t="shared" si="3"/>
        <v>0.4120148857</v>
      </c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</row>
    <row r="6">
      <c r="A6" s="171" t="s">
        <v>222</v>
      </c>
      <c r="B6" s="180" t="s">
        <v>225</v>
      </c>
      <c r="C6" s="179">
        <f>BOCATAS!L48</f>
        <v>1.274318182</v>
      </c>
      <c r="D6" s="179">
        <f>BOCATAS!L50</f>
        <v>4.545454545</v>
      </c>
      <c r="E6" s="176">
        <f t="shared" si="1"/>
        <v>5</v>
      </c>
      <c r="F6" s="158">
        <f t="shared" si="2"/>
        <v>3.271136364</v>
      </c>
      <c r="G6" s="175">
        <f t="shared" si="4"/>
        <v>71.965</v>
      </c>
      <c r="H6" s="175">
        <f t="shared" si="5"/>
        <v>28.035</v>
      </c>
      <c r="I6" s="177">
        <v>19.0</v>
      </c>
      <c r="J6" s="178">
        <f t="shared" si="3"/>
        <v>0.2525252525</v>
      </c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</row>
    <row r="7">
      <c r="A7" s="171" t="s">
        <v>222</v>
      </c>
      <c r="B7" s="171" t="s">
        <v>226</v>
      </c>
      <c r="C7" s="179">
        <f>BOCATAS!L63</f>
        <v>1.368718182</v>
      </c>
      <c r="D7" s="179">
        <f>BOCATAS!L65</f>
        <v>4.545454545</v>
      </c>
      <c r="E7" s="176">
        <f t="shared" si="1"/>
        <v>5</v>
      </c>
      <c r="F7" s="158">
        <f t="shared" si="2"/>
        <v>3.176736364</v>
      </c>
      <c r="G7" s="175">
        <f t="shared" si="4"/>
        <v>69.8882</v>
      </c>
      <c r="H7" s="175">
        <f t="shared" si="5"/>
        <v>30.1118</v>
      </c>
      <c r="I7" s="177">
        <v>218.0</v>
      </c>
      <c r="J7" s="178">
        <f t="shared" si="3"/>
        <v>2.897395003</v>
      </c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</row>
    <row r="8">
      <c r="A8" s="171" t="s">
        <v>222</v>
      </c>
      <c r="B8" s="171" t="s">
        <v>227</v>
      </c>
      <c r="C8" s="179">
        <f>BOCATAS!L95</f>
        <v>1.369102797</v>
      </c>
      <c r="D8" s="179">
        <f>BOCATAS!L97</f>
        <v>5.909090909</v>
      </c>
      <c r="E8" s="176">
        <f t="shared" si="1"/>
        <v>6.5</v>
      </c>
      <c r="F8" s="158">
        <f t="shared" si="2"/>
        <v>4.539988112</v>
      </c>
      <c r="G8" s="175">
        <f t="shared" si="4"/>
        <v>76.83056805</v>
      </c>
      <c r="H8" s="175">
        <f t="shared" si="5"/>
        <v>23.16943195</v>
      </c>
      <c r="I8" s="177">
        <v>173.0</v>
      </c>
      <c r="J8" s="178">
        <f t="shared" si="3"/>
        <v>2.299308878</v>
      </c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</row>
    <row r="9">
      <c r="A9" s="171" t="s">
        <v>222</v>
      </c>
      <c r="B9" s="171" t="s">
        <v>228</v>
      </c>
      <c r="C9" s="179">
        <f>BOCATAS!L113</f>
        <v>1.313718182</v>
      </c>
      <c r="D9" s="179">
        <f>BOCATAS!L115</f>
        <v>4.545454545</v>
      </c>
      <c r="E9" s="176">
        <f t="shared" si="1"/>
        <v>5</v>
      </c>
      <c r="F9" s="158">
        <f t="shared" si="2"/>
        <v>3.231736364</v>
      </c>
      <c r="G9" s="175">
        <f t="shared" si="4"/>
        <v>71.0982</v>
      </c>
      <c r="H9" s="175">
        <f t="shared" si="5"/>
        <v>28.9018</v>
      </c>
      <c r="I9" s="177">
        <v>25.0</v>
      </c>
      <c r="J9" s="178">
        <f t="shared" si="3"/>
        <v>0.3322700691</v>
      </c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</row>
    <row r="10">
      <c r="A10" s="171" t="s">
        <v>222</v>
      </c>
      <c r="B10" s="171" t="s">
        <v>229</v>
      </c>
      <c r="C10" s="179">
        <f>BOCATAS!L79</f>
        <v>1.328718182</v>
      </c>
      <c r="D10" s="179">
        <f>BOCATAS!L81</f>
        <v>4.545454545</v>
      </c>
      <c r="E10" s="176">
        <f t="shared" si="1"/>
        <v>5</v>
      </c>
      <c r="F10" s="158">
        <f t="shared" si="2"/>
        <v>3.216736364</v>
      </c>
      <c r="G10" s="175">
        <f t="shared" si="4"/>
        <v>70.7682</v>
      </c>
      <c r="H10" s="175">
        <f t="shared" si="5"/>
        <v>29.2318</v>
      </c>
      <c r="I10" s="177">
        <v>35.0</v>
      </c>
      <c r="J10" s="178">
        <f t="shared" si="3"/>
        <v>0.4651780968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</row>
    <row r="11">
      <c r="A11" s="171" t="s">
        <v>222</v>
      </c>
      <c r="B11" s="171" t="s">
        <v>230</v>
      </c>
      <c r="C11" s="179">
        <f>BOCATAS!L131</f>
        <v>1.715318182</v>
      </c>
      <c r="D11" s="179">
        <f>BOCATAS!L133</f>
        <v>4.545454545</v>
      </c>
      <c r="E11" s="176">
        <f t="shared" si="1"/>
        <v>5</v>
      </c>
      <c r="F11" s="158">
        <f t="shared" si="2"/>
        <v>2.830136364</v>
      </c>
      <c r="G11" s="175">
        <f t="shared" si="4"/>
        <v>62.263</v>
      </c>
      <c r="H11" s="175">
        <f t="shared" si="5"/>
        <v>37.737</v>
      </c>
      <c r="I11" s="177">
        <v>249.0</v>
      </c>
      <c r="J11" s="178">
        <f t="shared" si="3"/>
        <v>3.309409888</v>
      </c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</row>
    <row r="12">
      <c r="A12" s="171" t="s">
        <v>222</v>
      </c>
      <c r="B12" s="171" t="s">
        <v>231</v>
      </c>
      <c r="C12" s="179">
        <f>BOCATAS!L147</f>
        <v>1.523848182</v>
      </c>
      <c r="D12" s="179">
        <f>BOCATAS!L149</f>
        <v>6.363636364</v>
      </c>
      <c r="E12" s="176">
        <f t="shared" si="1"/>
        <v>7</v>
      </c>
      <c r="F12" s="158">
        <f t="shared" si="2"/>
        <v>4.839788182</v>
      </c>
      <c r="G12" s="175">
        <f t="shared" si="4"/>
        <v>76.05381429</v>
      </c>
      <c r="H12" s="175">
        <f t="shared" si="5"/>
        <v>23.94618571</v>
      </c>
      <c r="I12" s="177">
        <v>188.0</v>
      </c>
      <c r="J12" s="178">
        <f t="shared" si="3"/>
        <v>2.49867092</v>
      </c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</row>
    <row r="13">
      <c r="A13" s="171" t="s">
        <v>222</v>
      </c>
      <c r="B13" s="171" t="s">
        <v>232</v>
      </c>
      <c r="C13" s="179">
        <f>BOCATAS!L185</f>
        <v>1.819048182</v>
      </c>
      <c r="D13" s="179">
        <f>BOCATAS!L187</f>
        <v>7.272727273</v>
      </c>
      <c r="E13" s="176">
        <f t="shared" si="1"/>
        <v>8</v>
      </c>
      <c r="F13" s="158">
        <f t="shared" si="2"/>
        <v>5.453679091</v>
      </c>
      <c r="G13" s="175">
        <f t="shared" si="4"/>
        <v>74.9880875</v>
      </c>
      <c r="H13" s="175">
        <f t="shared" si="5"/>
        <v>25.0119125</v>
      </c>
      <c r="I13" s="177">
        <v>374.0</v>
      </c>
      <c r="J13" s="178">
        <f t="shared" si="3"/>
        <v>4.970760234</v>
      </c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</row>
    <row r="14">
      <c r="A14" s="171" t="s">
        <v>222</v>
      </c>
      <c r="B14" s="171" t="s">
        <v>233</v>
      </c>
      <c r="C14" s="179">
        <f>BOCATAS!L166</f>
        <v>1.510648182</v>
      </c>
      <c r="D14" s="179">
        <f>BOCATAS!L168</f>
        <v>6.363636364</v>
      </c>
      <c r="E14" s="176">
        <f t="shared" si="1"/>
        <v>7</v>
      </c>
      <c r="F14" s="158">
        <f t="shared" si="2"/>
        <v>4.852988182</v>
      </c>
      <c r="G14" s="175">
        <f t="shared" si="4"/>
        <v>76.26124286</v>
      </c>
      <c r="H14" s="175">
        <f t="shared" si="5"/>
        <v>23.73875714</v>
      </c>
      <c r="I14" s="177">
        <v>197.0</v>
      </c>
      <c r="J14" s="178">
        <f t="shared" si="3"/>
        <v>2.618288145</v>
      </c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</row>
    <row r="15">
      <c r="A15" s="171"/>
      <c r="B15" s="171"/>
      <c r="C15" s="171"/>
      <c r="D15" s="171"/>
      <c r="E15" s="176"/>
      <c r="F15" s="158"/>
      <c r="G15" s="171"/>
      <c r="H15" s="175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</row>
    <row r="16">
      <c r="A16" s="181" t="s">
        <v>234</v>
      </c>
      <c r="B16" s="182" t="s">
        <v>235</v>
      </c>
      <c r="C16" s="183">
        <f>SERRANOS!L34</f>
        <v>1.566618182</v>
      </c>
      <c r="D16" s="183">
        <f>SERRANOS!L36</f>
        <v>5.909090909</v>
      </c>
      <c r="E16" s="176">
        <f t="shared" ref="E16:E20" si="6">D16*1.1</f>
        <v>6.5</v>
      </c>
      <c r="F16" s="158">
        <f t="shared" ref="F16:F20" si="7">D16-C16</f>
        <v>4.342472727</v>
      </c>
      <c r="G16" s="175">
        <f t="shared" ref="G16:G20" si="8">100-H16</f>
        <v>73.488</v>
      </c>
      <c r="H16" s="175">
        <f t="shared" ref="H16:H20" si="9">C16/D16*100</f>
        <v>26.512</v>
      </c>
      <c r="I16" s="177">
        <v>183.0</v>
      </c>
      <c r="J16" s="178">
        <f t="shared" ref="J16:J20" si="10">I16/SUM($I$3:I214)*100</f>
        <v>2.432216906</v>
      </c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</row>
    <row r="17">
      <c r="A17" s="181" t="s">
        <v>234</v>
      </c>
      <c r="B17" s="182" t="s">
        <v>236</v>
      </c>
      <c r="C17" s="183">
        <f>SERRANOS!L6</f>
        <v>1.627118182</v>
      </c>
      <c r="D17" s="183">
        <f>SERRANOS!L8</f>
        <v>5.454545455</v>
      </c>
      <c r="E17" s="176">
        <f t="shared" si="6"/>
        <v>6</v>
      </c>
      <c r="F17" s="158">
        <f t="shared" si="7"/>
        <v>3.827427273</v>
      </c>
      <c r="G17" s="175">
        <f t="shared" si="8"/>
        <v>70.1695</v>
      </c>
      <c r="H17" s="175">
        <f t="shared" si="9"/>
        <v>29.8305</v>
      </c>
      <c r="I17" s="177">
        <v>1105.0</v>
      </c>
      <c r="J17" s="178">
        <f t="shared" si="10"/>
        <v>14.68633705</v>
      </c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</row>
    <row r="18">
      <c r="A18" s="181" t="s">
        <v>234</v>
      </c>
      <c r="B18" s="182" t="s">
        <v>237</v>
      </c>
      <c r="C18" s="183">
        <f>SERRANOS!L63</f>
        <v>1.566002797</v>
      </c>
      <c r="D18" s="183">
        <f>SERRANOS!L65</f>
        <v>5.909090909</v>
      </c>
      <c r="E18" s="176">
        <f t="shared" si="6"/>
        <v>6.5</v>
      </c>
      <c r="F18" s="158">
        <f t="shared" si="7"/>
        <v>4.343088112</v>
      </c>
      <c r="G18" s="175">
        <f t="shared" si="8"/>
        <v>73.4984142</v>
      </c>
      <c r="H18" s="175">
        <f t="shared" si="9"/>
        <v>26.5015858</v>
      </c>
      <c r="I18" s="177">
        <v>357.0</v>
      </c>
      <c r="J18" s="178">
        <f t="shared" si="10"/>
        <v>4.744816587</v>
      </c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</row>
    <row r="19">
      <c r="A19" s="181" t="s">
        <v>234</v>
      </c>
      <c r="B19" s="182" t="s">
        <v>238</v>
      </c>
      <c r="C19" s="183">
        <f>SERRANOS!L92</f>
        <v>1.499618182</v>
      </c>
      <c r="D19" s="183">
        <f>SERRANOS!L94</f>
        <v>6.363636364</v>
      </c>
      <c r="E19" s="176">
        <f t="shared" si="6"/>
        <v>7</v>
      </c>
      <c r="F19" s="158">
        <f t="shared" si="7"/>
        <v>4.864018182</v>
      </c>
      <c r="G19" s="175">
        <f t="shared" si="8"/>
        <v>76.43457143</v>
      </c>
      <c r="H19" s="175">
        <f t="shared" si="9"/>
        <v>23.56542857</v>
      </c>
      <c r="I19" s="177">
        <v>270.0</v>
      </c>
      <c r="J19" s="178">
        <f t="shared" si="10"/>
        <v>3.588516746</v>
      </c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</row>
    <row r="20">
      <c r="A20" s="181" t="s">
        <v>234</v>
      </c>
      <c r="B20" s="184" t="s">
        <v>239</v>
      </c>
      <c r="C20" s="179">
        <f>SERRANOS!L121</f>
        <v>1.782776515</v>
      </c>
      <c r="D20" s="179">
        <f>SERRANOS!L123</f>
        <v>7.272727273</v>
      </c>
      <c r="E20" s="176">
        <f t="shared" si="6"/>
        <v>8</v>
      </c>
      <c r="F20" s="158">
        <f t="shared" si="7"/>
        <v>5.489950758</v>
      </c>
      <c r="G20" s="175">
        <f t="shared" si="8"/>
        <v>75.48682292</v>
      </c>
      <c r="H20" s="175">
        <f t="shared" si="9"/>
        <v>24.51317708</v>
      </c>
      <c r="J20" s="178">
        <f t="shared" si="10"/>
        <v>0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</row>
    <row r="21">
      <c r="A21" s="171"/>
      <c r="B21" s="171"/>
      <c r="C21" s="171"/>
      <c r="D21" s="171"/>
      <c r="E21" s="171"/>
      <c r="F21" s="171"/>
      <c r="G21" s="171"/>
      <c r="H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</row>
    <row r="22">
      <c r="A22" s="171" t="s">
        <v>240</v>
      </c>
      <c r="B22" s="185" t="s">
        <v>241</v>
      </c>
      <c r="C22" s="186">
        <f>'BRIOCH-SUBS'!L177</f>
        <v>2.097758219</v>
      </c>
      <c r="D22" s="186">
        <f>'BRIOCH-SUBS'!L179</f>
        <v>9</v>
      </c>
      <c r="E22" s="176">
        <f t="shared" ref="E22:E27" si="11">D22*1.1</f>
        <v>9.9</v>
      </c>
      <c r="F22" s="158">
        <f t="shared" ref="F22:F27" si="12">D22-C22</f>
        <v>6.902241781</v>
      </c>
      <c r="G22" s="175">
        <f t="shared" ref="G22:G27" si="13">100-H22</f>
        <v>76.69157534</v>
      </c>
      <c r="H22" s="175">
        <f t="shared" ref="H22:H27" si="14">C22/D22*100</f>
        <v>23.30842466</v>
      </c>
      <c r="J22" s="187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</row>
    <row r="23">
      <c r="A23" s="171" t="s">
        <v>240</v>
      </c>
      <c r="B23" s="185" t="s">
        <v>242</v>
      </c>
      <c r="C23" s="186">
        <f>'BRIOCH-SUBS'!L149</f>
        <v>1.98895</v>
      </c>
      <c r="D23" s="186">
        <f>'BRIOCH-SUBS'!L151</f>
        <v>7.727272727</v>
      </c>
      <c r="E23" s="176">
        <f t="shared" si="11"/>
        <v>8.5</v>
      </c>
      <c r="F23" s="158">
        <f t="shared" si="12"/>
        <v>5.738322727</v>
      </c>
      <c r="G23" s="175">
        <f t="shared" si="13"/>
        <v>74.26064706</v>
      </c>
      <c r="H23" s="175">
        <f t="shared" si="14"/>
        <v>25.73935294</v>
      </c>
      <c r="I23" s="177">
        <v>15.0</v>
      </c>
      <c r="J23" s="178">
        <f t="shared" ref="J23:J27" si="15">I23/SUM($I$3:I221)*100</f>
        <v>0.1993620415</v>
      </c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</row>
    <row r="24">
      <c r="A24" s="171" t="s">
        <v>240</v>
      </c>
      <c r="B24" s="185" t="s">
        <v>243</v>
      </c>
      <c r="C24" s="186">
        <f>'BRIOCH-SUBS'!L64</f>
        <v>1.959666671</v>
      </c>
      <c r="D24" s="186">
        <f>'BRIOCH-SUBS'!L66</f>
        <v>7.272727273</v>
      </c>
      <c r="E24" s="176">
        <f t="shared" si="11"/>
        <v>8</v>
      </c>
      <c r="F24" s="158">
        <f t="shared" si="12"/>
        <v>5.313060602</v>
      </c>
      <c r="G24" s="175">
        <f t="shared" si="13"/>
        <v>73.05458328</v>
      </c>
      <c r="H24" s="175">
        <f t="shared" si="14"/>
        <v>26.94541672</v>
      </c>
      <c r="I24" s="177">
        <v>71.0</v>
      </c>
      <c r="J24" s="178">
        <f t="shared" si="15"/>
        <v>0.9436469963</v>
      </c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</row>
    <row r="25">
      <c r="A25" s="171" t="s">
        <v>240</v>
      </c>
      <c r="B25" s="185" t="s">
        <v>244</v>
      </c>
      <c r="C25" s="186">
        <f>'BRIOCH-SUBS'!L6</f>
        <v>1.973200175</v>
      </c>
      <c r="D25" s="186">
        <f>'BRIOCH-SUBS'!L8</f>
        <v>7.272727273</v>
      </c>
      <c r="E25" s="176">
        <f t="shared" si="11"/>
        <v>8</v>
      </c>
      <c r="F25" s="158">
        <f t="shared" si="12"/>
        <v>5.299527097</v>
      </c>
      <c r="G25" s="175">
        <f t="shared" si="13"/>
        <v>72.86849759</v>
      </c>
      <c r="H25" s="175">
        <f t="shared" si="14"/>
        <v>27.13150241</v>
      </c>
      <c r="I25" s="177">
        <v>210.0</v>
      </c>
      <c r="J25" s="178">
        <f t="shared" si="15"/>
        <v>2.791068581</v>
      </c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</row>
    <row r="26">
      <c r="A26" s="171" t="s">
        <v>240</v>
      </c>
      <c r="B26" s="188" t="s">
        <v>245</v>
      </c>
      <c r="C26" s="186">
        <f>'BRIOCH-SUBS'!L35</f>
        <v>2.367697917</v>
      </c>
      <c r="D26" s="186">
        <f>'BRIOCH-SUBS'!L37</f>
        <v>7.272727273</v>
      </c>
      <c r="E26" s="176">
        <f t="shared" si="11"/>
        <v>8</v>
      </c>
      <c r="F26" s="158">
        <f t="shared" si="12"/>
        <v>4.905029356</v>
      </c>
      <c r="G26" s="175">
        <f t="shared" si="13"/>
        <v>67.44415365</v>
      </c>
      <c r="H26" s="175">
        <f t="shared" si="14"/>
        <v>32.55584635</v>
      </c>
      <c r="J26" s="178">
        <f t="shared" si="15"/>
        <v>0</v>
      </c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</row>
    <row r="27">
      <c r="A27" s="171" t="s">
        <v>240</v>
      </c>
      <c r="B27" s="185" t="s">
        <v>246</v>
      </c>
      <c r="C27" s="186">
        <f>'BRIOCH-SUBS'!L93</f>
        <v>1.980045455</v>
      </c>
      <c r="D27" s="186">
        <f>'BRIOCH-SUBS'!L95</f>
        <v>7.272727273</v>
      </c>
      <c r="E27" s="176">
        <f t="shared" si="11"/>
        <v>8</v>
      </c>
      <c r="F27" s="158">
        <f t="shared" si="12"/>
        <v>5.292681818</v>
      </c>
      <c r="G27" s="175">
        <f t="shared" si="13"/>
        <v>72.774375</v>
      </c>
      <c r="H27" s="175">
        <f t="shared" si="14"/>
        <v>27.225625</v>
      </c>
      <c r="I27" s="177">
        <v>144.0</v>
      </c>
      <c r="J27" s="178">
        <f t="shared" si="15"/>
        <v>1.913875598</v>
      </c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</row>
    <row r="28">
      <c r="A28" s="171"/>
      <c r="B28" s="188"/>
      <c r="C28" s="171"/>
      <c r="D28" s="171"/>
      <c r="E28" s="171"/>
      <c r="F28" s="171"/>
      <c r="G28" s="171"/>
      <c r="H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</row>
    <row r="29">
      <c r="A29" s="171"/>
      <c r="B29" s="188"/>
      <c r="C29" s="171"/>
      <c r="D29" s="171"/>
      <c r="E29" s="171"/>
      <c r="F29" s="171"/>
      <c r="G29" s="171"/>
      <c r="H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</row>
    <row r="30">
      <c r="A30" s="181" t="s">
        <v>247</v>
      </c>
      <c r="B30" s="185" t="s">
        <v>248</v>
      </c>
      <c r="C30" s="186">
        <f>BURGERS!L239</f>
        <v>1.860495878</v>
      </c>
      <c r="D30" s="186">
        <f>BURGERS!L241</f>
        <v>7.272727273</v>
      </c>
      <c r="E30" s="176">
        <f t="shared" ref="E30:E39" si="16">D30*1.1</f>
        <v>8</v>
      </c>
      <c r="F30" s="158">
        <f t="shared" ref="F30:F39" si="17">D30-C30</f>
        <v>5.412231394</v>
      </c>
      <c r="G30" s="175">
        <f t="shared" ref="G30:G39" si="18">100-H30</f>
        <v>74.41818167</v>
      </c>
      <c r="H30" s="175">
        <f t="shared" ref="H30:H39" si="19">C30/D30*100</f>
        <v>25.58181833</v>
      </c>
      <c r="I30" s="177">
        <v>131.0</v>
      </c>
      <c r="J30" s="178">
        <f t="shared" ref="J30:J39" si="20">I30/SUM($I$3:I228)*100</f>
        <v>1.741095162</v>
      </c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</row>
    <row r="31">
      <c r="A31" s="181" t="s">
        <v>247</v>
      </c>
      <c r="B31" s="185" t="s">
        <v>249</v>
      </c>
      <c r="C31" s="186">
        <f>BURGERS!L269</f>
        <v>1.530054167</v>
      </c>
      <c r="D31" s="186">
        <f>BURGERS!L271</f>
        <v>6.363636364</v>
      </c>
      <c r="E31" s="176">
        <f t="shared" si="16"/>
        <v>7</v>
      </c>
      <c r="F31" s="158">
        <f t="shared" si="17"/>
        <v>4.833582197</v>
      </c>
      <c r="G31" s="175">
        <f t="shared" si="18"/>
        <v>75.95629167</v>
      </c>
      <c r="H31" s="175">
        <f t="shared" si="19"/>
        <v>24.04370833</v>
      </c>
      <c r="I31" s="177">
        <v>98.0</v>
      </c>
      <c r="J31" s="178">
        <f t="shared" si="20"/>
        <v>1.302498671</v>
      </c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</row>
    <row r="32">
      <c r="A32" s="181" t="s">
        <v>247</v>
      </c>
      <c r="B32" s="185" t="s">
        <v>250</v>
      </c>
      <c r="C32" s="186">
        <f>BURGERS!L151</f>
        <v>2.205297348</v>
      </c>
      <c r="D32" s="186">
        <f>BURGERS!L153</f>
        <v>9</v>
      </c>
      <c r="E32" s="176">
        <f t="shared" si="16"/>
        <v>9.9</v>
      </c>
      <c r="F32" s="158">
        <f t="shared" si="17"/>
        <v>6.794702652</v>
      </c>
      <c r="G32" s="175">
        <f t="shared" si="18"/>
        <v>75.49669613</v>
      </c>
      <c r="H32" s="175">
        <f t="shared" si="19"/>
        <v>24.50330387</v>
      </c>
      <c r="I32" s="177">
        <v>210.0</v>
      </c>
      <c r="J32" s="178">
        <f t="shared" si="20"/>
        <v>2.791068581</v>
      </c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</row>
    <row r="33">
      <c r="A33" s="181" t="s">
        <v>247</v>
      </c>
      <c r="B33" s="185" t="s">
        <v>251</v>
      </c>
      <c r="C33" s="186">
        <f>BURGERS!L180</f>
        <v>2.150130317</v>
      </c>
      <c r="D33" s="186">
        <f>BURGERS!L182</f>
        <v>9.090909091</v>
      </c>
      <c r="E33" s="176">
        <f t="shared" si="16"/>
        <v>10</v>
      </c>
      <c r="F33" s="158">
        <f t="shared" si="17"/>
        <v>6.940778774</v>
      </c>
      <c r="G33" s="175">
        <f t="shared" si="18"/>
        <v>76.34856651</v>
      </c>
      <c r="H33" s="175">
        <f t="shared" si="19"/>
        <v>23.65143349</v>
      </c>
      <c r="I33" s="177">
        <v>532.0</v>
      </c>
      <c r="J33" s="178">
        <f t="shared" si="20"/>
        <v>7.070707071</v>
      </c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</row>
    <row r="34">
      <c r="A34" s="181" t="s">
        <v>247</v>
      </c>
      <c r="B34" s="185" t="s">
        <v>252</v>
      </c>
      <c r="C34" s="186">
        <f>BURGERS!L209</f>
        <v>2.589573812</v>
      </c>
      <c r="D34" s="186">
        <f>BURGERS!L211</f>
        <v>10</v>
      </c>
      <c r="E34" s="176">
        <f t="shared" si="16"/>
        <v>11</v>
      </c>
      <c r="F34" s="158">
        <f t="shared" si="17"/>
        <v>7.410426188</v>
      </c>
      <c r="G34" s="175">
        <f t="shared" si="18"/>
        <v>74.10426188</v>
      </c>
      <c r="H34" s="175">
        <f t="shared" si="19"/>
        <v>25.89573812</v>
      </c>
      <c r="J34" s="178">
        <f t="shared" si="20"/>
        <v>0</v>
      </c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</row>
    <row r="35">
      <c r="A35" s="181" t="s">
        <v>247</v>
      </c>
      <c r="B35" s="185" t="s">
        <v>253</v>
      </c>
      <c r="C35" s="186">
        <f>BURGERS!L6</f>
        <v>2.187102348</v>
      </c>
      <c r="D35" s="186">
        <f>BURGERS!L8</f>
        <v>7.272727273</v>
      </c>
      <c r="E35" s="176">
        <f t="shared" si="16"/>
        <v>8</v>
      </c>
      <c r="F35" s="158">
        <f t="shared" si="17"/>
        <v>5.085624924</v>
      </c>
      <c r="G35" s="175">
        <f t="shared" si="18"/>
        <v>69.92734271</v>
      </c>
      <c r="H35" s="175">
        <f t="shared" si="19"/>
        <v>30.07265729</v>
      </c>
      <c r="I35" s="177">
        <v>781.0</v>
      </c>
      <c r="J35" s="178">
        <f t="shared" si="20"/>
        <v>10.38011696</v>
      </c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</row>
    <row r="36">
      <c r="A36" s="181" t="s">
        <v>247</v>
      </c>
      <c r="B36" s="185" t="s">
        <v>254</v>
      </c>
      <c r="C36" s="186">
        <f>BURGERS!L35</f>
        <v>2.375473598</v>
      </c>
      <c r="D36" s="186">
        <f>BURGERS!L37</f>
        <v>7.272727273</v>
      </c>
      <c r="E36" s="176">
        <f t="shared" si="16"/>
        <v>8</v>
      </c>
      <c r="F36" s="158">
        <f t="shared" si="17"/>
        <v>4.897253674</v>
      </c>
      <c r="G36" s="175">
        <f t="shared" si="18"/>
        <v>67.33723802</v>
      </c>
      <c r="H36" s="175">
        <f t="shared" si="19"/>
        <v>32.66276198</v>
      </c>
      <c r="I36" s="177">
        <v>525.0</v>
      </c>
      <c r="J36" s="178">
        <f t="shared" si="20"/>
        <v>6.977671451</v>
      </c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</row>
    <row r="37">
      <c r="A37" s="181" t="s">
        <v>247</v>
      </c>
      <c r="B37" s="185" t="s">
        <v>255</v>
      </c>
      <c r="C37" s="186">
        <f>BURGERS!L122</f>
        <v>2.570146742</v>
      </c>
      <c r="D37" s="186">
        <f>BURGERS!L124</f>
        <v>7.272727273</v>
      </c>
      <c r="E37" s="176">
        <f t="shared" si="16"/>
        <v>8</v>
      </c>
      <c r="F37" s="158">
        <f t="shared" si="17"/>
        <v>4.70258053</v>
      </c>
      <c r="G37" s="175">
        <f t="shared" si="18"/>
        <v>64.66048229</v>
      </c>
      <c r="H37" s="175">
        <f t="shared" si="19"/>
        <v>35.33951771</v>
      </c>
      <c r="J37" s="178">
        <f t="shared" si="20"/>
        <v>0</v>
      </c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</row>
    <row r="38">
      <c r="A38" s="181" t="s">
        <v>247</v>
      </c>
      <c r="B38" s="185" t="s">
        <v>256</v>
      </c>
      <c r="C38" s="186">
        <f>BURGERS!L93</f>
        <v>2.650674821</v>
      </c>
      <c r="D38" s="186">
        <f>BURGERS!L95</f>
        <v>6.363636364</v>
      </c>
      <c r="E38" s="176">
        <f t="shared" si="16"/>
        <v>7</v>
      </c>
      <c r="F38" s="158">
        <f t="shared" si="17"/>
        <v>3.712961542</v>
      </c>
      <c r="G38" s="175">
        <f t="shared" si="18"/>
        <v>58.34653852</v>
      </c>
      <c r="H38" s="175">
        <f t="shared" si="19"/>
        <v>41.65346148</v>
      </c>
      <c r="I38" s="177">
        <v>383.0</v>
      </c>
      <c r="J38" s="178">
        <f t="shared" si="20"/>
        <v>5.090377459</v>
      </c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</row>
    <row r="39">
      <c r="A39" s="181" t="s">
        <v>247</v>
      </c>
      <c r="B39" s="189" t="s">
        <v>257</v>
      </c>
      <c r="C39" s="186">
        <f>BURGERS!L64</f>
        <v>2.473112436</v>
      </c>
      <c r="D39" s="186">
        <f>BURGERS!L66</f>
        <v>9</v>
      </c>
      <c r="E39" s="176">
        <f t="shared" si="16"/>
        <v>9.9</v>
      </c>
      <c r="F39" s="158">
        <f t="shared" si="17"/>
        <v>6.526887564</v>
      </c>
      <c r="G39" s="175">
        <f t="shared" si="18"/>
        <v>72.52097293</v>
      </c>
      <c r="H39" s="175">
        <f t="shared" si="19"/>
        <v>27.47902707</v>
      </c>
      <c r="I39" s="190">
        <v>0.0</v>
      </c>
      <c r="J39" s="178">
        <f t="shared" si="20"/>
        <v>0</v>
      </c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</row>
    <row r="40">
      <c r="A40" s="171"/>
      <c r="B40" s="188"/>
      <c r="C40" s="171"/>
      <c r="D40" s="171"/>
      <c r="E40" s="171"/>
      <c r="F40" s="171"/>
      <c r="G40" s="171"/>
      <c r="H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</row>
    <row r="41">
      <c r="A41" s="171" t="s">
        <v>258</v>
      </c>
      <c r="B41" s="188" t="s">
        <v>259</v>
      </c>
      <c r="C41" s="179">
        <f>ENTRANTES!L34</f>
        <v>2.424206711</v>
      </c>
      <c r="D41" s="179">
        <f>ENTRANTES!L36</f>
        <v>5.454545455</v>
      </c>
      <c r="E41" s="176">
        <f t="shared" ref="E41:E46" si="21">D41*1.1</f>
        <v>6</v>
      </c>
      <c r="F41" s="158">
        <f t="shared" ref="F41:F46" si="22">D41-C41</f>
        <v>3.030338744</v>
      </c>
      <c r="G41" s="175">
        <f t="shared" ref="G41:G46" si="23">100-H41</f>
        <v>55.55621031</v>
      </c>
      <c r="H41" s="175">
        <f t="shared" ref="H41:H46" si="24">C41/D41*100</f>
        <v>44.44378969</v>
      </c>
      <c r="I41" s="177">
        <v>85.0</v>
      </c>
      <c r="J41" s="178">
        <f t="shared" ref="J41:J46" si="25">I41/SUM($I$3:I239)*100</f>
        <v>1.129718235</v>
      </c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</row>
    <row r="42">
      <c r="A42" s="171" t="s">
        <v>258</v>
      </c>
      <c r="B42" s="188" t="s">
        <v>260</v>
      </c>
      <c r="C42" s="179">
        <f>ENTRANTES!L90</f>
        <v>1.558906711</v>
      </c>
      <c r="D42" s="179">
        <f>ENTRANTES!L92</f>
        <v>5.454545455</v>
      </c>
      <c r="E42" s="176">
        <f t="shared" si="21"/>
        <v>6</v>
      </c>
      <c r="F42" s="158">
        <f t="shared" si="22"/>
        <v>3.895638744</v>
      </c>
      <c r="G42" s="175">
        <f t="shared" si="23"/>
        <v>71.42004364</v>
      </c>
      <c r="H42" s="175">
        <f t="shared" si="24"/>
        <v>28.57995636</v>
      </c>
      <c r="I42" s="177">
        <v>113.0</v>
      </c>
      <c r="J42" s="178">
        <f t="shared" si="25"/>
        <v>1.501860712</v>
      </c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</row>
    <row r="43">
      <c r="A43" s="171" t="s">
        <v>258</v>
      </c>
      <c r="B43" s="188" t="s">
        <v>261</v>
      </c>
      <c r="C43" s="179">
        <f>ENTRANTES!L6</f>
        <v>1.832506711</v>
      </c>
      <c r="D43" s="179">
        <f>ENTRANTES!L8</f>
        <v>5.454545455</v>
      </c>
      <c r="E43" s="176">
        <f t="shared" si="21"/>
        <v>6</v>
      </c>
      <c r="F43" s="158">
        <f t="shared" si="22"/>
        <v>3.622038744</v>
      </c>
      <c r="G43" s="175">
        <f t="shared" si="23"/>
        <v>66.40404364</v>
      </c>
      <c r="H43" s="175">
        <f t="shared" si="24"/>
        <v>33.59595636</v>
      </c>
      <c r="I43" s="177">
        <v>98.0</v>
      </c>
      <c r="J43" s="178">
        <f t="shared" si="25"/>
        <v>1.302498671</v>
      </c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</row>
    <row r="44">
      <c r="A44" s="171" t="s">
        <v>258</v>
      </c>
      <c r="B44" s="188" t="s">
        <v>262</v>
      </c>
      <c r="C44" s="179">
        <f>ENTRANTES!L118</f>
        <v>0.9166334211</v>
      </c>
      <c r="D44" s="179">
        <f>ENTRANTES!L120</f>
        <v>4.545454545</v>
      </c>
      <c r="E44" s="176">
        <f t="shared" si="21"/>
        <v>5</v>
      </c>
      <c r="F44" s="158">
        <f t="shared" si="22"/>
        <v>3.628821124</v>
      </c>
      <c r="G44" s="175">
        <f t="shared" si="23"/>
        <v>79.83406474</v>
      </c>
      <c r="H44" s="175">
        <f t="shared" si="24"/>
        <v>20.16593526</v>
      </c>
      <c r="I44" s="177">
        <v>164.0</v>
      </c>
      <c r="J44" s="178">
        <f t="shared" si="25"/>
        <v>2.179691653</v>
      </c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</row>
    <row r="45">
      <c r="A45" s="171" t="s">
        <v>258</v>
      </c>
      <c r="B45" s="188" t="s">
        <v>263</v>
      </c>
      <c r="C45" s="179">
        <f>ENTRANTES!L174</f>
        <v>1.376122117</v>
      </c>
      <c r="D45" s="179">
        <f>ENTRANTES!L176</f>
        <v>6.363636364</v>
      </c>
      <c r="E45" s="176">
        <f t="shared" si="21"/>
        <v>7</v>
      </c>
      <c r="F45" s="158">
        <f t="shared" si="22"/>
        <v>4.987514247</v>
      </c>
      <c r="G45" s="175">
        <f t="shared" si="23"/>
        <v>78.37522387</v>
      </c>
      <c r="H45" s="175">
        <f t="shared" si="24"/>
        <v>21.62477613</v>
      </c>
      <c r="I45" s="177">
        <v>91.0</v>
      </c>
      <c r="J45" s="178">
        <f t="shared" si="25"/>
        <v>1.209463052</v>
      </c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</row>
    <row r="46">
      <c r="A46" s="171" t="s">
        <v>258</v>
      </c>
      <c r="B46" s="188" t="s">
        <v>264</v>
      </c>
      <c r="C46" s="179">
        <f>ENTRANTES!L146</f>
        <v>0.2640416667</v>
      </c>
      <c r="D46" s="179">
        <f>ENTRANTES!L148</f>
        <v>1.818181818</v>
      </c>
      <c r="E46" s="176">
        <f t="shared" si="21"/>
        <v>2</v>
      </c>
      <c r="F46" s="158">
        <f t="shared" si="22"/>
        <v>1.554140152</v>
      </c>
      <c r="G46" s="175">
        <f t="shared" si="23"/>
        <v>85.47770833</v>
      </c>
      <c r="H46" s="175">
        <f t="shared" si="24"/>
        <v>14.52229167</v>
      </c>
      <c r="I46" s="177">
        <v>60.0</v>
      </c>
      <c r="J46" s="178">
        <f t="shared" si="25"/>
        <v>0.7974481659</v>
      </c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</row>
    <row r="47">
      <c r="A47" s="171" t="s">
        <v>258</v>
      </c>
      <c r="B47" s="181" t="s">
        <v>265</v>
      </c>
      <c r="C47" s="171"/>
      <c r="D47" s="171"/>
      <c r="E47" s="171"/>
      <c r="F47" s="171"/>
      <c r="G47" s="171"/>
      <c r="H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</row>
    <row r="48">
      <c r="A48" s="171"/>
      <c r="B48" s="171"/>
      <c r="C48" s="171"/>
      <c r="D48" s="171"/>
      <c r="E48" s="171"/>
      <c r="F48" s="171"/>
      <c r="G48" s="171"/>
      <c r="H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</row>
    <row r="49">
      <c r="A49" s="171"/>
      <c r="B49" s="171"/>
      <c r="C49" s="171"/>
      <c r="D49" s="171"/>
      <c r="E49" s="171"/>
      <c r="F49" s="171"/>
      <c r="G49" s="171"/>
      <c r="H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</row>
    <row r="50">
      <c r="A50" s="181" t="s">
        <v>266</v>
      </c>
      <c r="B50" s="181" t="s">
        <v>267</v>
      </c>
      <c r="C50" s="179">
        <f>POSTRES!L50</f>
        <v>1.43</v>
      </c>
      <c r="D50" s="179">
        <f>POSTRES!L52</f>
        <v>5.454545455</v>
      </c>
      <c r="E50" s="176">
        <f t="shared" ref="E50:E52" si="26">D50*1.1</f>
        <v>6</v>
      </c>
      <c r="F50" s="158">
        <f t="shared" ref="F50:F52" si="27">D50-C50</f>
        <v>4.024545455</v>
      </c>
      <c r="G50" s="175">
        <f t="shared" ref="G50:G52" si="28">100-H50</f>
        <v>73.78333333</v>
      </c>
      <c r="H50" s="175">
        <f t="shared" ref="H50:H52" si="29">C50/D50*100</f>
        <v>26.21666667</v>
      </c>
      <c r="I50" s="177">
        <v>44.0</v>
      </c>
      <c r="J50" s="178">
        <f t="shared" ref="J50:J51" si="30">I50/SUM($I$3:I248)*100</f>
        <v>0.5847953216</v>
      </c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</row>
    <row r="51">
      <c r="A51" s="181" t="s">
        <v>266</v>
      </c>
      <c r="B51" s="181" t="s">
        <v>268</v>
      </c>
      <c r="C51" s="179">
        <f>POSTRES!L6</f>
        <v>4.3</v>
      </c>
      <c r="D51" s="179">
        <f>POSTRES!L8</f>
        <v>5.454545455</v>
      </c>
      <c r="E51" s="176">
        <f t="shared" si="26"/>
        <v>6</v>
      </c>
      <c r="F51" s="158">
        <f t="shared" si="27"/>
        <v>1.154545455</v>
      </c>
      <c r="G51" s="175">
        <f t="shared" si="28"/>
        <v>21.16666667</v>
      </c>
      <c r="H51" s="175">
        <f t="shared" si="29"/>
        <v>78.83333333</v>
      </c>
      <c r="I51" s="177">
        <v>13.0</v>
      </c>
      <c r="J51" s="178">
        <f t="shared" si="30"/>
        <v>0.1727804359</v>
      </c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</row>
    <row r="52">
      <c r="A52" s="181" t="s">
        <v>266</v>
      </c>
      <c r="B52" s="181" t="s">
        <v>269</v>
      </c>
      <c r="C52" s="179">
        <f>POSTRES!L28</f>
        <v>4.3</v>
      </c>
      <c r="D52" s="179">
        <f>POSTRES!L30</f>
        <v>5.909090909</v>
      </c>
      <c r="E52" s="176">
        <f t="shared" si="26"/>
        <v>6.5</v>
      </c>
      <c r="F52" s="158">
        <f t="shared" si="27"/>
        <v>1.609090909</v>
      </c>
      <c r="G52" s="175">
        <f t="shared" si="28"/>
        <v>27.23076923</v>
      </c>
      <c r="H52" s="175">
        <f t="shared" si="29"/>
        <v>72.76923077</v>
      </c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</row>
    <row r="53">
      <c r="A53" s="171"/>
      <c r="B53" s="171"/>
      <c r="C53" s="171"/>
      <c r="D53" s="171"/>
      <c r="E53" s="171"/>
      <c r="F53" s="171"/>
      <c r="G53" s="171"/>
      <c r="H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</row>
    <row r="54">
      <c r="A54" s="171"/>
      <c r="B54" s="171"/>
      <c r="C54" s="171"/>
      <c r="D54" s="171"/>
      <c r="E54" s="171"/>
      <c r="F54" s="171"/>
      <c r="G54" s="171"/>
      <c r="H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</row>
    <row r="55">
      <c r="A55" s="181" t="s">
        <v>270</v>
      </c>
      <c r="B55" s="181" t="s">
        <v>271</v>
      </c>
      <c r="C55" s="179">
        <f>'BRIOCH-SUBS'!L205</f>
        <v>1.760067568</v>
      </c>
      <c r="D55" s="179">
        <f>'BRIOCH-SUBS'!L207</f>
        <v>3.545454545</v>
      </c>
      <c r="E55" s="191">
        <f>'BRIOCH-SUBS'!L206</f>
        <v>3.9</v>
      </c>
      <c r="F55" s="158">
        <f t="shared" ref="F55:F57" si="31">D55-C55</f>
        <v>1.785386978</v>
      </c>
      <c r="G55" s="175">
        <f t="shared" ref="G55:G57" si="32">100-H55</f>
        <v>50.35706861</v>
      </c>
      <c r="H55" s="175">
        <f t="shared" ref="H55:H57" si="33">C55/D55*100</f>
        <v>49.64293139</v>
      </c>
      <c r="I55" s="171">
        <v>136.0</v>
      </c>
      <c r="J55" s="178">
        <f>I55/SUM($I$3:I253)*100</f>
        <v>1.807549176</v>
      </c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</row>
    <row r="56">
      <c r="A56" s="181" t="s">
        <v>270</v>
      </c>
      <c r="B56" s="181" t="s">
        <v>272</v>
      </c>
      <c r="C56" s="179">
        <f>'BRIOCH-SUBS'!L223</f>
        <v>2.066129568</v>
      </c>
      <c r="D56" s="179">
        <f>'BRIOCH-SUBS'!L225</f>
        <v>5.363636364</v>
      </c>
      <c r="E56" s="191">
        <f>'BRIOCH-SUBS'!L224</f>
        <v>5.9</v>
      </c>
      <c r="F56" s="158">
        <f t="shared" si="31"/>
        <v>3.297506796</v>
      </c>
      <c r="G56" s="175">
        <f t="shared" si="32"/>
        <v>61.47894027</v>
      </c>
      <c r="H56" s="175">
        <f t="shared" si="33"/>
        <v>38.52105973</v>
      </c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</row>
    <row r="57">
      <c r="A57" s="181" t="s">
        <v>270</v>
      </c>
      <c r="B57" s="181" t="s">
        <v>273</v>
      </c>
      <c r="C57" s="179">
        <f>'BRIOCH-SUBS'!L241</f>
        <v>1.828322402</v>
      </c>
      <c r="D57" s="179">
        <f>'BRIOCH-SUBS'!L243</f>
        <v>6.363636364</v>
      </c>
      <c r="E57" s="191">
        <f>'BRIOCH-SUBS'!L242</f>
        <v>7</v>
      </c>
      <c r="F57" s="158">
        <f t="shared" si="31"/>
        <v>4.535313961</v>
      </c>
      <c r="G57" s="175">
        <f t="shared" si="32"/>
        <v>71.26921939</v>
      </c>
      <c r="H57" s="175">
        <f t="shared" si="33"/>
        <v>28.73078061</v>
      </c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</row>
    <row r="58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</row>
    <row r="59">
      <c r="A59" s="181" t="s">
        <v>274</v>
      </c>
      <c r="B59" s="181" t="s">
        <v>124</v>
      </c>
      <c r="C59" s="183">
        <v>0.7279166666666667</v>
      </c>
      <c r="D59" s="192">
        <f t="shared" ref="D59:D67" si="34">E59/1.1</f>
        <v>1.454545455</v>
      </c>
      <c r="E59" s="193">
        <v>1.6</v>
      </c>
      <c r="F59" s="158">
        <f t="shared" ref="F59:F67" si="35">D59-C59</f>
        <v>0.7266287879</v>
      </c>
      <c r="G59" s="175">
        <f t="shared" ref="G59:G67" si="36">100-H59</f>
        <v>49.95572917</v>
      </c>
      <c r="H59" s="175">
        <f t="shared" ref="H59:H67" si="37">C59/D59*100</f>
        <v>50.04427083</v>
      </c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</row>
    <row r="60">
      <c r="A60" s="181" t="s">
        <v>274</v>
      </c>
      <c r="B60" s="181" t="s">
        <v>125</v>
      </c>
      <c r="C60" s="183">
        <v>0.7279166666666667</v>
      </c>
      <c r="D60" s="192">
        <f t="shared" si="34"/>
        <v>1.454545455</v>
      </c>
      <c r="E60" s="193">
        <v>1.6</v>
      </c>
      <c r="F60" s="158">
        <f t="shared" si="35"/>
        <v>0.7266287879</v>
      </c>
      <c r="G60" s="175">
        <f t="shared" si="36"/>
        <v>49.95572917</v>
      </c>
      <c r="H60" s="175">
        <f t="shared" si="37"/>
        <v>50.04427083</v>
      </c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</row>
    <row r="61">
      <c r="A61" s="181" t="s">
        <v>274</v>
      </c>
      <c r="B61" s="181" t="s">
        <v>126</v>
      </c>
      <c r="C61" s="183">
        <v>0.61375</v>
      </c>
      <c r="D61" s="192">
        <f t="shared" si="34"/>
        <v>1.363636364</v>
      </c>
      <c r="E61" s="193">
        <v>1.5</v>
      </c>
      <c r="F61" s="158">
        <f t="shared" si="35"/>
        <v>0.7498863636</v>
      </c>
      <c r="G61" s="175">
        <f t="shared" si="36"/>
        <v>54.99166667</v>
      </c>
      <c r="H61" s="175">
        <f t="shared" si="37"/>
        <v>45.00833333</v>
      </c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</row>
    <row r="62">
      <c r="A62" s="181" t="s">
        <v>274</v>
      </c>
      <c r="B62" s="181" t="s">
        <v>127</v>
      </c>
      <c r="C62" s="183">
        <v>0.61375</v>
      </c>
      <c r="D62" s="192">
        <f t="shared" si="34"/>
        <v>1.363636364</v>
      </c>
      <c r="E62" s="193">
        <v>1.5</v>
      </c>
      <c r="F62" s="158">
        <f t="shared" si="35"/>
        <v>0.7498863636</v>
      </c>
      <c r="G62" s="175">
        <f t="shared" si="36"/>
        <v>54.99166667</v>
      </c>
      <c r="H62" s="175">
        <f t="shared" si="37"/>
        <v>45.00833333</v>
      </c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</row>
    <row r="63">
      <c r="A63" s="181" t="s">
        <v>274</v>
      </c>
      <c r="B63" s="181" t="s">
        <v>128</v>
      </c>
      <c r="C63" s="183">
        <v>0.61375</v>
      </c>
      <c r="D63" s="192">
        <f t="shared" si="34"/>
        <v>1.363636364</v>
      </c>
      <c r="E63" s="193">
        <v>1.5</v>
      </c>
      <c r="F63" s="158">
        <f t="shared" si="35"/>
        <v>0.7498863636</v>
      </c>
      <c r="G63" s="175">
        <f t="shared" si="36"/>
        <v>54.99166667</v>
      </c>
      <c r="H63" s="175">
        <f t="shared" si="37"/>
        <v>45.00833333</v>
      </c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</row>
    <row r="64">
      <c r="A64" s="181" t="s">
        <v>274</v>
      </c>
      <c r="B64" s="181" t="s">
        <v>129</v>
      </c>
      <c r="C64" s="183">
        <v>0.5266666666666667</v>
      </c>
      <c r="D64" s="192">
        <f t="shared" si="34"/>
        <v>1.363636364</v>
      </c>
      <c r="E64" s="193">
        <v>1.5</v>
      </c>
      <c r="F64" s="158">
        <f t="shared" si="35"/>
        <v>0.836969697</v>
      </c>
      <c r="G64" s="175">
        <f t="shared" si="36"/>
        <v>61.37777778</v>
      </c>
      <c r="H64" s="175">
        <f t="shared" si="37"/>
        <v>38.62222222</v>
      </c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</row>
    <row r="65">
      <c r="A65" s="181" t="s">
        <v>274</v>
      </c>
      <c r="B65" s="181" t="s">
        <v>130</v>
      </c>
      <c r="C65" s="183">
        <v>0.5266666666666667</v>
      </c>
      <c r="D65" s="192">
        <f t="shared" si="34"/>
        <v>1.363636364</v>
      </c>
      <c r="E65" s="193">
        <v>1.5</v>
      </c>
      <c r="F65" s="158">
        <f t="shared" si="35"/>
        <v>0.836969697</v>
      </c>
      <c r="G65" s="175">
        <f t="shared" si="36"/>
        <v>61.37777778</v>
      </c>
      <c r="H65" s="175">
        <f t="shared" si="37"/>
        <v>38.62222222</v>
      </c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</row>
    <row r="66">
      <c r="A66" s="181" t="s">
        <v>274</v>
      </c>
      <c r="B66" s="181" t="s">
        <v>131</v>
      </c>
      <c r="C66" s="183">
        <v>0.635</v>
      </c>
      <c r="D66" s="192">
        <f t="shared" si="34"/>
        <v>1.454545455</v>
      </c>
      <c r="E66" s="193">
        <v>1.6</v>
      </c>
      <c r="F66" s="158">
        <f t="shared" si="35"/>
        <v>0.8195454545</v>
      </c>
      <c r="G66" s="175">
        <f t="shared" si="36"/>
        <v>56.34375</v>
      </c>
      <c r="H66" s="175">
        <f t="shared" si="37"/>
        <v>43.65625</v>
      </c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</row>
    <row r="67">
      <c r="A67" s="181" t="s">
        <v>274</v>
      </c>
      <c r="B67" s="181" t="s">
        <v>132</v>
      </c>
      <c r="C67" s="183">
        <v>0.635</v>
      </c>
      <c r="D67" s="192">
        <f t="shared" si="34"/>
        <v>1.454545455</v>
      </c>
      <c r="E67" s="193">
        <v>1.6</v>
      </c>
      <c r="F67" s="158">
        <f t="shared" si="35"/>
        <v>0.8195454545</v>
      </c>
      <c r="G67" s="175">
        <f t="shared" si="36"/>
        <v>56.34375</v>
      </c>
      <c r="H67" s="175">
        <f t="shared" si="37"/>
        <v>43.65625</v>
      </c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</row>
    <row r="68">
      <c r="A68" s="171"/>
      <c r="B68" s="171"/>
      <c r="C68" s="179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</row>
    <row r="69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</row>
    <row r="70">
      <c r="A70" s="181" t="s">
        <v>275</v>
      </c>
      <c r="B70" s="162" t="s">
        <v>201</v>
      </c>
      <c r="C70" s="183">
        <f>'TARROS SALSA'!L6</f>
        <v>0.1918767105</v>
      </c>
      <c r="D70" s="192">
        <f>'TARROS SALSA'!L8</f>
        <v>0.4545454545</v>
      </c>
      <c r="E70" s="193">
        <f>'TARROS SALSA'!L7</f>
        <v>0.5</v>
      </c>
      <c r="F70" s="158">
        <f t="shared" ref="F70:F80" si="38">D70-C70</f>
        <v>0.262668744</v>
      </c>
      <c r="G70" s="175">
        <f t="shared" ref="G70:G80" si="39">100-H70</f>
        <v>57.78712368</v>
      </c>
      <c r="H70" s="175">
        <f t="shared" ref="H70:H80" si="40">C70/D70*100</f>
        <v>42.21287632</v>
      </c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</row>
    <row r="71">
      <c r="A71" s="181" t="s">
        <v>275</v>
      </c>
      <c r="B71" s="162" t="s">
        <v>202</v>
      </c>
      <c r="C71" s="183">
        <f>'TARROS SALSA'!L17</f>
        <v>0.13715</v>
      </c>
      <c r="D71" s="192">
        <f>'TARROS SALSA'!L19</f>
        <v>0.4545454545</v>
      </c>
      <c r="E71" s="193">
        <f>'TARROS SALSA'!L18</f>
        <v>0.5</v>
      </c>
      <c r="F71" s="158">
        <f t="shared" si="38"/>
        <v>0.3173954545</v>
      </c>
      <c r="G71" s="175">
        <f t="shared" si="39"/>
        <v>69.827</v>
      </c>
      <c r="H71" s="175">
        <f t="shared" si="40"/>
        <v>30.173</v>
      </c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</row>
    <row r="72">
      <c r="A72" s="181" t="s">
        <v>275</v>
      </c>
      <c r="B72" s="162" t="s">
        <v>203</v>
      </c>
      <c r="C72" s="183">
        <f>'TARROS SALSA'!L37</f>
        <v>0.1044052569</v>
      </c>
      <c r="D72" s="192">
        <f>'TARROS SALSA'!L39</f>
        <v>0.4545454545</v>
      </c>
      <c r="E72" s="193">
        <f t="shared" ref="E72:E80" si="41">D72*1.1</f>
        <v>0.5</v>
      </c>
      <c r="F72" s="158">
        <f t="shared" si="38"/>
        <v>0.3501401977</v>
      </c>
      <c r="G72" s="175">
        <f t="shared" si="39"/>
        <v>77.03084349</v>
      </c>
      <c r="H72" s="175">
        <f t="shared" si="40"/>
        <v>22.96915651</v>
      </c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</row>
    <row r="73">
      <c r="A73" s="181" t="s">
        <v>275</v>
      </c>
      <c r="B73" s="162" t="s">
        <v>210</v>
      </c>
      <c r="C73" s="183">
        <f>'TARROS SALSA'!L95</f>
        <v>0.1500689189</v>
      </c>
      <c r="D73" s="192">
        <f>'TARROS SALSA'!L97</f>
        <v>0.4545454545</v>
      </c>
      <c r="E73" s="193">
        <f t="shared" si="41"/>
        <v>0.5</v>
      </c>
      <c r="F73" s="158">
        <f t="shared" si="38"/>
        <v>0.3044765356</v>
      </c>
      <c r="G73" s="175">
        <f t="shared" si="39"/>
        <v>66.98483784</v>
      </c>
      <c r="H73" s="175">
        <f t="shared" si="40"/>
        <v>33.01516216</v>
      </c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</row>
    <row r="74">
      <c r="A74" s="181" t="s">
        <v>275</v>
      </c>
      <c r="B74" s="162" t="s">
        <v>207</v>
      </c>
      <c r="C74" s="183">
        <f>'TARROS SALSA'!L56</f>
        <v>0.1849337838</v>
      </c>
      <c r="D74" s="192">
        <f>'TARROS SALSA'!L58</f>
        <v>0.4545454545</v>
      </c>
      <c r="E74" s="193">
        <f t="shared" si="41"/>
        <v>0.5</v>
      </c>
      <c r="F74" s="158">
        <f t="shared" si="38"/>
        <v>0.2696116708</v>
      </c>
      <c r="G74" s="175">
        <f t="shared" si="39"/>
        <v>59.31456757</v>
      </c>
      <c r="H74" s="175">
        <f t="shared" si="40"/>
        <v>40.68543243</v>
      </c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</row>
    <row r="75">
      <c r="A75" s="181" t="s">
        <v>275</v>
      </c>
      <c r="B75" s="162" t="s">
        <v>204</v>
      </c>
      <c r="C75" s="183">
        <f>'TARROS SALSA'!L27</f>
        <v>0.1817008511</v>
      </c>
      <c r="D75" s="192">
        <f>'TARROS SALSA'!L29</f>
        <v>0.4545454545</v>
      </c>
      <c r="E75" s="193">
        <f t="shared" si="41"/>
        <v>0.5</v>
      </c>
      <c r="F75" s="158">
        <f t="shared" si="38"/>
        <v>0.2728446035</v>
      </c>
      <c r="G75" s="175">
        <f t="shared" si="39"/>
        <v>60.02581276</v>
      </c>
      <c r="H75" s="175">
        <f t="shared" si="40"/>
        <v>39.97418724</v>
      </c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</row>
    <row r="76">
      <c r="A76" s="181" t="s">
        <v>275</v>
      </c>
      <c r="B76" s="162" t="s">
        <v>205</v>
      </c>
      <c r="C76" s="183">
        <f>'TARROS SALSA'!L66</f>
        <v>0.251575</v>
      </c>
      <c r="D76" s="192">
        <f>'TARROS SALSA'!L68</f>
        <v>0.9090909091</v>
      </c>
      <c r="E76" s="193">
        <f t="shared" si="41"/>
        <v>1</v>
      </c>
      <c r="F76" s="158">
        <f t="shared" si="38"/>
        <v>0.6575159091</v>
      </c>
      <c r="G76" s="175">
        <f t="shared" si="39"/>
        <v>72.32675</v>
      </c>
      <c r="H76" s="175">
        <f t="shared" si="40"/>
        <v>27.67325</v>
      </c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</row>
    <row r="77">
      <c r="A77" s="181" t="s">
        <v>275</v>
      </c>
      <c r="B77" s="162" t="s">
        <v>206</v>
      </c>
      <c r="C77" s="183">
        <f>'TARROS SALSA'!L85</f>
        <v>0.1611167511</v>
      </c>
      <c r="D77" s="192">
        <f>'TARROS SALSA'!L87</f>
        <v>1.090909091</v>
      </c>
      <c r="E77" s="193">
        <f t="shared" si="41"/>
        <v>1.2</v>
      </c>
      <c r="F77" s="158">
        <f t="shared" si="38"/>
        <v>0.9297923398</v>
      </c>
      <c r="G77" s="175">
        <f t="shared" si="39"/>
        <v>85.23096448</v>
      </c>
      <c r="H77" s="175">
        <f t="shared" si="40"/>
        <v>14.76903552</v>
      </c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</row>
    <row r="78">
      <c r="A78" s="181" t="s">
        <v>275</v>
      </c>
      <c r="B78" s="162" t="s">
        <v>209</v>
      </c>
      <c r="C78" s="183">
        <f>'TARROS SALSA'!L75</f>
        <v>0.126628677</v>
      </c>
      <c r="D78" s="192">
        <f>'TARROS SALSA'!L77</f>
        <v>1.090909091</v>
      </c>
      <c r="E78" s="193">
        <f t="shared" si="41"/>
        <v>1.2</v>
      </c>
      <c r="F78" s="158">
        <f t="shared" si="38"/>
        <v>0.9642804139</v>
      </c>
      <c r="G78" s="175">
        <f t="shared" si="39"/>
        <v>88.39237127</v>
      </c>
      <c r="H78" s="175">
        <f t="shared" si="40"/>
        <v>11.60762873</v>
      </c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</row>
    <row r="79">
      <c r="A79" s="181" t="s">
        <v>275</v>
      </c>
      <c r="B79" s="162" t="s">
        <v>211</v>
      </c>
      <c r="C79" s="183">
        <f>'TARROS SALSA'!L106</f>
        <v>0.2782181818</v>
      </c>
      <c r="D79" s="192">
        <f>'TARROS SALSA'!L108</f>
        <v>1.090909091</v>
      </c>
      <c r="E79" s="193">
        <f t="shared" si="41"/>
        <v>1.2</v>
      </c>
      <c r="F79" s="158">
        <f t="shared" si="38"/>
        <v>0.8126909091</v>
      </c>
      <c r="G79" s="175">
        <f t="shared" si="39"/>
        <v>74.49666667</v>
      </c>
      <c r="H79" s="175">
        <f t="shared" si="40"/>
        <v>25.50333333</v>
      </c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</row>
    <row r="80">
      <c r="A80" s="181" t="s">
        <v>275</v>
      </c>
      <c r="B80" s="162" t="s">
        <v>208</v>
      </c>
      <c r="C80" s="183">
        <f>'TARROS SALSA'!L46</f>
        <v>0.5774513699</v>
      </c>
      <c r="D80" s="192">
        <f>'TARROS SALSA'!L48</f>
        <v>1.818181818</v>
      </c>
      <c r="E80" s="193">
        <f t="shared" si="41"/>
        <v>2</v>
      </c>
      <c r="F80" s="158">
        <f t="shared" si="38"/>
        <v>1.240730448</v>
      </c>
      <c r="G80" s="175">
        <f t="shared" si="39"/>
        <v>68.24017466</v>
      </c>
      <c r="H80" s="175">
        <f t="shared" si="40"/>
        <v>31.75982534</v>
      </c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</row>
    <row r="8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</row>
    <row r="1001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</row>
    <row r="1002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  <c r="AA1002" s="171"/>
    </row>
    <row r="1003">
      <c r="A1003" s="171"/>
      <c r="B1003" s="171"/>
      <c r="C1003" s="171"/>
      <c r="D1003" s="171"/>
      <c r="E1003" s="171"/>
      <c r="F1003" s="171"/>
      <c r="G1003" s="171"/>
      <c r="H1003" s="171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  <c r="W1003" s="171"/>
      <c r="X1003" s="171"/>
      <c r="Y1003" s="171"/>
      <c r="Z1003" s="171"/>
      <c r="AA1003" s="171"/>
    </row>
    <row r="1004">
      <c r="A1004" s="171"/>
      <c r="B1004" s="171"/>
      <c r="C1004" s="171"/>
      <c r="D1004" s="171"/>
      <c r="E1004" s="171"/>
      <c r="F1004" s="171"/>
      <c r="G1004" s="171"/>
      <c r="H1004" s="171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1"/>
      <c r="V1004" s="171"/>
      <c r="W1004" s="171"/>
      <c r="X1004" s="171"/>
      <c r="Y1004" s="171"/>
      <c r="Z1004" s="171"/>
      <c r="AA1004" s="171"/>
    </row>
    <row r="1005">
      <c r="A1005" s="171"/>
      <c r="B1005" s="171"/>
      <c r="C1005" s="171"/>
      <c r="D1005" s="171"/>
      <c r="E1005" s="171"/>
      <c r="F1005" s="171"/>
      <c r="G1005" s="171"/>
      <c r="H1005" s="171"/>
      <c r="I1005" s="171"/>
      <c r="J1005" s="171"/>
      <c r="K1005" s="171"/>
      <c r="L1005" s="171"/>
      <c r="M1005" s="171"/>
      <c r="N1005" s="171"/>
      <c r="O1005" s="171"/>
      <c r="P1005" s="171"/>
      <c r="Q1005" s="171"/>
      <c r="R1005" s="171"/>
      <c r="S1005" s="171"/>
      <c r="T1005" s="171"/>
      <c r="U1005" s="171"/>
      <c r="V1005" s="171"/>
      <c r="W1005" s="171"/>
      <c r="X1005" s="171"/>
      <c r="Y1005" s="171"/>
      <c r="Z1005" s="171"/>
      <c r="AA1005" s="171"/>
    </row>
  </sheetData>
  <conditionalFormatting sqref="H3:H57 H59:H67 H70:H80">
    <cfRule type="cellIs" dxfId="5" priority="1" operator="lessThan">
      <formula>30</formula>
    </cfRule>
  </conditionalFormatting>
  <conditionalFormatting sqref="H3:H57 H59:H67 H70:H80">
    <cfRule type="cellIs" dxfId="6" priority="2" operator="between">
      <formula>31</formula>
      <formula>35</formula>
    </cfRule>
  </conditionalFormatting>
  <conditionalFormatting sqref="H3:H57 H59:H67 H70:H80">
    <cfRule type="cellIs" dxfId="7" priority="3" operator="greaterThan">
      <formula>36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37.75"/>
    <col customWidth="1" min="22" max="22" width="25.38"/>
  </cols>
  <sheetData>
    <row r="1">
      <c r="A1" s="165"/>
      <c r="B1" s="165"/>
      <c r="C1" s="166"/>
      <c r="D1" s="167"/>
      <c r="E1" s="167"/>
      <c r="F1" s="168"/>
      <c r="G1" s="168"/>
      <c r="H1" s="169"/>
      <c r="I1" s="170"/>
      <c r="J1" s="170"/>
      <c r="K1" s="170"/>
      <c r="L1" s="194">
        <v>1.5</v>
      </c>
      <c r="M1" s="170"/>
      <c r="N1" s="170"/>
      <c r="O1" s="170"/>
      <c r="P1" s="170"/>
      <c r="Q1" s="170"/>
      <c r="R1" s="170"/>
      <c r="S1" s="170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</row>
    <row r="2">
      <c r="A2" s="165" t="s">
        <v>212</v>
      </c>
      <c r="B2" s="172" t="s">
        <v>213</v>
      </c>
      <c r="C2" s="173" t="s">
        <v>214</v>
      </c>
      <c r="D2" s="167" t="s">
        <v>215</v>
      </c>
      <c r="E2" s="167" t="s">
        <v>216</v>
      </c>
      <c r="F2" s="168" t="s">
        <v>217</v>
      </c>
      <c r="G2" s="168" t="s">
        <v>218</v>
      </c>
      <c r="H2" s="174" t="s">
        <v>219</v>
      </c>
      <c r="I2" s="195" t="s">
        <v>275</v>
      </c>
      <c r="J2" s="195" t="s">
        <v>276</v>
      </c>
      <c r="K2" s="195" t="s">
        <v>277</v>
      </c>
      <c r="L2" s="195" t="s">
        <v>278</v>
      </c>
      <c r="M2" s="195" t="s">
        <v>279</v>
      </c>
      <c r="N2" s="195" t="s">
        <v>280</v>
      </c>
      <c r="O2" s="168" t="s">
        <v>217</v>
      </c>
      <c r="P2" s="168" t="s">
        <v>218</v>
      </c>
      <c r="Q2" s="174" t="s">
        <v>219</v>
      </c>
      <c r="R2" s="196" t="s">
        <v>281</v>
      </c>
      <c r="S2" s="196" t="s">
        <v>282</v>
      </c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</row>
    <row r="3">
      <c r="A3" s="171" t="s">
        <v>222</v>
      </c>
      <c r="B3" s="175" t="str">
        <f>BOCATAS!D2</f>
        <v>SIMPLE DE POLLO </v>
      </c>
      <c r="C3" s="159">
        <f>BOCATAS!L6</f>
        <v>1.401818182</v>
      </c>
      <c r="D3" s="159">
        <f>BOCATAS!L8</f>
        <v>3.636363636</v>
      </c>
      <c r="E3" s="176">
        <f t="shared" ref="E3:E14" si="1">D3*1.1</f>
        <v>4</v>
      </c>
      <c r="F3" s="158">
        <f t="shared" ref="F3:F14" si="2">D3-C3</f>
        <v>2.234545455</v>
      </c>
      <c r="G3" s="175">
        <f t="shared" ref="G3:G14" si="3">100-H3</f>
        <v>61.45</v>
      </c>
      <c r="H3" s="175">
        <f t="shared" ref="H3:H14" si="4">C3/D3*100</f>
        <v>38.55</v>
      </c>
      <c r="I3" s="197">
        <v>0.1918767105263158</v>
      </c>
      <c r="J3" s="178">
        <v>0.61375</v>
      </c>
      <c r="K3" s="178">
        <f t="shared" ref="K3:K14" si="5">I3+J3+C3</f>
        <v>2.207444892</v>
      </c>
      <c r="L3" s="178">
        <f t="shared" ref="L3:L14" si="6">$L$1/1.1</f>
        <v>1.363636364</v>
      </c>
      <c r="M3" s="178">
        <f>D3+L3</f>
        <v>5</v>
      </c>
      <c r="N3" s="178">
        <f t="shared" ref="N3:N14" si="7">E3+(L3*1.1)</f>
        <v>5.5</v>
      </c>
      <c r="O3" s="178">
        <f t="shared" ref="O3:O14" si="8">M3-K3</f>
        <v>2.792555108</v>
      </c>
      <c r="P3" s="178">
        <f t="shared" ref="P3:P14" si="9">100-Q3</f>
        <v>55.85110215</v>
      </c>
      <c r="Q3" s="198">
        <f t="shared" ref="Q3:Q14" si="10">K3/M3*100</f>
        <v>44.14889785</v>
      </c>
      <c r="R3" s="198">
        <f t="shared" ref="R3:R14" si="11">P3-G3</f>
        <v>-5.598897847</v>
      </c>
      <c r="S3" s="178">
        <f t="shared" ref="S3:S14" si="12">O3-F3</f>
        <v>0.5580096531</v>
      </c>
      <c r="T3" s="199"/>
      <c r="U3" s="200" t="s">
        <v>283</v>
      </c>
      <c r="V3" s="201" t="s">
        <v>284</v>
      </c>
      <c r="W3" s="202">
        <v>622.0</v>
      </c>
      <c r="X3" s="203">
        <v>5543.3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</row>
    <row r="4">
      <c r="A4" s="171" t="s">
        <v>222</v>
      </c>
      <c r="B4" s="171" t="s">
        <v>223</v>
      </c>
      <c r="C4" s="179">
        <f>BOCATAS!L34</f>
        <v>1.340702797</v>
      </c>
      <c r="D4" s="179">
        <f>BOCATAS!L36</f>
        <v>5</v>
      </c>
      <c r="E4" s="176">
        <f t="shared" si="1"/>
        <v>5.5</v>
      </c>
      <c r="F4" s="158">
        <f t="shared" si="2"/>
        <v>3.659297203</v>
      </c>
      <c r="G4" s="175">
        <f t="shared" si="3"/>
        <v>73.18594406</v>
      </c>
      <c r="H4" s="175">
        <f t="shared" si="4"/>
        <v>26.81405594</v>
      </c>
      <c r="I4" s="197">
        <v>0.1918767105263158</v>
      </c>
      <c r="J4" s="178">
        <v>0.61375</v>
      </c>
      <c r="K4" s="178">
        <f t="shared" si="5"/>
        <v>2.146329508</v>
      </c>
      <c r="L4" s="178">
        <f t="shared" si="6"/>
        <v>1.363636364</v>
      </c>
      <c r="M4" s="178">
        <f t="shared" ref="M4:M14" si="13">D4+1.36</f>
        <v>6.36</v>
      </c>
      <c r="N4" s="178">
        <f t="shared" si="7"/>
        <v>7</v>
      </c>
      <c r="O4" s="178">
        <f t="shared" si="8"/>
        <v>4.213670492</v>
      </c>
      <c r="P4" s="178">
        <f t="shared" si="9"/>
        <v>66.2526807</v>
      </c>
      <c r="Q4" s="198">
        <f t="shared" si="10"/>
        <v>33.7473193</v>
      </c>
      <c r="R4" s="198">
        <f t="shared" si="11"/>
        <v>-6.93326336</v>
      </c>
      <c r="S4" s="178">
        <f t="shared" si="12"/>
        <v>0.5543732895</v>
      </c>
      <c r="T4" s="199"/>
      <c r="U4" s="200" t="s">
        <v>283</v>
      </c>
      <c r="V4" s="201" t="s">
        <v>285</v>
      </c>
      <c r="W4" s="202">
        <v>426.0</v>
      </c>
      <c r="X4" s="203">
        <v>5106.7</v>
      </c>
      <c r="Y4" s="171"/>
      <c r="Z4" s="171"/>
      <c r="AA4" s="171"/>
      <c r="AB4" s="171"/>
      <c r="AC4" s="171"/>
      <c r="AD4" s="171"/>
      <c r="AE4" s="171"/>
      <c r="AF4" s="171"/>
      <c r="AG4" s="171"/>
      <c r="AH4" s="171"/>
    </row>
    <row r="5">
      <c r="A5" s="171" t="s">
        <v>222</v>
      </c>
      <c r="B5" s="180" t="s">
        <v>224</v>
      </c>
      <c r="C5" s="179">
        <f>BOCATAS!L20</f>
        <v>1.341318182</v>
      </c>
      <c r="D5" s="179">
        <f>BOCATAS!L22</f>
        <v>4.545454545</v>
      </c>
      <c r="E5" s="176">
        <f t="shared" si="1"/>
        <v>5</v>
      </c>
      <c r="F5" s="158">
        <f t="shared" si="2"/>
        <v>3.204136364</v>
      </c>
      <c r="G5" s="175">
        <f t="shared" si="3"/>
        <v>70.491</v>
      </c>
      <c r="H5" s="175">
        <f t="shared" si="4"/>
        <v>29.509</v>
      </c>
      <c r="I5" s="197">
        <v>0.1918767105263158</v>
      </c>
      <c r="J5" s="178">
        <v>0.61375</v>
      </c>
      <c r="K5" s="178">
        <f t="shared" si="5"/>
        <v>2.146944892</v>
      </c>
      <c r="L5" s="178">
        <f t="shared" si="6"/>
        <v>1.363636364</v>
      </c>
      <c r="M5" s="178">
        <f t="shared" si="13"/>
        <v>5.905454545</v>
      </c>
      <c r="N5" s="178">
        <f t="shared" si="7"/>
        <v>6.5</v>
      </c>
      <c r="O5" s="178">
        <f t="shared" si="8"/>
        <v>3.758509653</v>
      </c>
      <c r="P5" s="178">
        <f t="shared" si="9"/>
        <v>63.64471395</v>
      </c>
      <c r="Q5" s="198">
        <f t="shared" si="10"/>
        <v>36.35528605</v>
      </c>
      <c r="R5" s="198">
        <f t="shared" si="11"/>
        <v>-6.846286046</v>
      </c>
      <c r="S5" s="178">
        <f t="shared" si="12"/>
        <v>0.5543732895</v>
      </c>
      <c r="T5" s="199"/>
      <c r="U5" s="200" t="s">
        <v>283</v>
      </c>
      <c r="V5" s="201" t="s">
        <v>286</v>
      </c>
      <c r="W5" s="202">
        <v>315.0</v>
      </c>
      <c r="X5" s="203">
        <v>3454.2</v>
      </c>
      <c r="AA5" s="171"/>
      <c r="AB5" s="171"/>
      <c r="AC5" s="171"/>
      <c r="AD5" s="171"/>
      <c r="AE5" s="171"/>
      <c r="AF5" s="171"/>
      <c r="AG5" s="171"/>
      <c r="AH5" s="171"/>
    </row>
    <row r="6">
      <c r="A6" s="171" t="s">
        <v>222</v>
      </c>
      <c r="B6" s="180" t="s">
        <v>225</v>
      </c>
      <c r="C6" s="179">
        <f>BOCATAS!L48</f>
        <v>1.274318182</v>
      </c>
      <c r="D6" s="179">
        <f>BOCATAS!L50</f>
        <v>4.545454545</v>
      </c>
      <c r="E6" s="176">
        <f t="shared" si="1"/>
        <v>5</v>
      </c>
      <c r="F6" s="158">
        <f t="shared" si="2"/>
        <v>3.271136364</v>
      </c>
      <c r="G6" s="175">
        <f t="shared" si="3"/>
        <v>71.965</v>
      </c>
      <c r="H6" s="175">
        <f t="shared" si="4"/>
        <v>28.035</v>
      </c>
      <c r="I6" s="197">
        <v>0.1918767105263158</v>
      </c>
      <c r="J6" s="178">
        <v>0.61375</v>
      </c>
      <c r="K6" s="178">
        <f t="shared" si="5"/>
        <v>2.079944892</v>
      </c>
      <c r="L6" s="178">
        <f t="shared" si="6"/>
        <v>1.363636364</v>
      </c>
      <c r="M6" s="178">
        <f t="shared" si="13"/>
        <v>5.905454545</v>
      </c>
      <c r="N6" s="178">
        <f t="shared" si="7"/>
        <v>6.5</v>
      </c>
      <c r="O6" s="178">
        <f t="shared" si="8"/>
        <v>3.825509653</v>
      </c>
      <c r="P6" s="178">
        <f t="shared" si="9"/>
        <v>64.77925829</v>
      </c>
      <c r="Q6" s="198">
        <f t="shared" si="10"/>
        <v>35.22074171</v>
      </c>
      <c r="R6" s="198">
        <f t="shared" si="11"/>
        <v>-7.185741711</v>
      </c>
      <c r="S6" s="178">
        <f t="shared" si="12"/>
        <v>0.5543732895</v>
      </c>
      <c r="T6" s="199"/>
      <c r="U6" s="200" t="s">
        <v>283</v>
      </c>
      <c r="V6" s="201" t="s">
        <v>287</v>
      </c>
      <c r="W6" s="202">
        <v>98.0</v>
      </c>
      <c r="X6" s="203">
        <v>1322.6</v>
      </c>
      <c r="Y6" s="171"/>
      <c r="AA6" s="171"/>
      <c r="AB6" s="171"/>
      <c r="AC6" s="171"/>
      <c r="AD6" s="171"/>
      <c r="AE6" s="171"/>
      <c r="AF6" s="171"/>
      <c r="AG6" s="171"/>
      <c r="AH6" s="171"/>
    </row>
    <row r="7">
      <c r="A7" s="171" t="s">
        <v>222</v>
      </c>
      <c r="B7" s="171" t="s">
        <v>226</v>
      </c>
      <c r="C7" s="179">
        <f>BOCATAS!L63</f>
        <v>1.368718182</v>
      </c>
      <c r="D7" s="179">
        <f>BOCATAS!L65</f>
        <v>4.545454545</v>
      </c>
      <c r="E7" s="176">
        <f t="shared" si="1"/>
        <v>5</v>
      </c>
      <c r="F7" s="158">
        <f t="shared" si="2"/>
        <v>3.176736364</v>
      </c>
      <c r="G7" s="175">
        <f t="shared" si="3"/>
        <v>69.8882</v>
      </c>
      <c r="H7" s="175">
        <f t="shared" si="4"/>
        <v>30.1118</v>
      </c>
      <c r="I7" s="197">
        <v>0.1918767105263158</v>
      </c>
      <c r="J7" s="178">
        <v>0.61375</v>
      </c>
      <c r="K7" s="178">
        <f t="shared" si="5"/>
        <v>2.174344892</v>
      </c>
      <c r="L7" s="178">
        <f t="shared" si="6"/>
        <v>1.363636364</v>
      </c>
      <c r="M7" s="178">
        <f t="shared" si="13"/>
        <v>5.905454545</v>
      </c>
      <c r="N7" s="178">
        <f t="shared" si="7"/>
        <v>6.5</v>
      </c>
      <c r="O7" s="178">
        <f t="shared" si="8"/>
        <v>3.731109653</v>
      </c>
      <c r="P7" s="178">
        <f t="shared" si="9"/>
        <v>63.18073612</v>
      </c>
      <c r="Q7" s="198">
        <f t="shared" si="10"/>
        <v>36.81926388</v>
      </c>
      <c r="R7" s="198">
        <f t="shared" si="11"/>
        <v>-6.707463879</v>
      </c>
      <c r="S7" s="178">
        <f t="shared" si="12"/>
        <v>0.5543732895</v>
      </c>
      <c r="X7" s="190" t="s">
        <v>288</v>
      </c>
      <c r="Y7" s="190" t="s">
        <v>289</v>
      </c>
      <c r="Z7" s="190" t="s">
        <v>290</v>
      </c>
      <c r="AA7" s="181" t="s">
        <v>291</v>
      </c>
      <c r="AB7" s="181" t="s">
        <v>281</v>
      </c>
      <c r="AC7" s="171"/>
      <c r="AD7" s="171"/>
      <c r="AE7" s="171"/>
      <c r="AF7" s="171"/>
      <c r="AG7" s="171"/>
      <c r="AH7" s="171"/>
    </row>
    <row r="8">
      <c r="A8" s="171" t="s">
        <v>222</v>
      </c>
      <c r="B8" s="171" t="s">
        <v>227</v>
      </c>
      <c r="C8" s="179">
        <f>BOCATAS!L95</f>
        <v>1.369102797</v>
      </c>
      <c r="D8" s="179">
        <f>BOCATAS!L97</f>
        <v>5.909090909</v>
      </c>
      <c r="E8" s="176">
        <f t="shared" si="1"/>
        <v>6.5</v>
      </c>
      <c r="F8" s="158">
        <f t="shared" si="2"/>
        <v>4.539988112</v>
      </c>
      <c r="G8" s="175">
        <f t="shared" si="3"/>
        <v>76.83056805</v>
      </c>
      <c r="H8" s="175">
        <f t="shared" si="4"/>
        <v>23.16943195</v>
      </c>
      <c r="I8" s="197">
        <v>0.1918767105263158</v>
      </c>
      <c r="J8" s="178">
        <v>0.61375</v>
      </c>
      <c r="K8" s="178">
        <f t="shared" si="5"/>
        <v>2.174729508</v>
      </c>
      <c r="L8" s="178">
        <f t="shared" si="6"/>
        <v>1.363636364</v>
      </c>
      <c r="M8" s="178">
        <f t="shared" si="13"/>
        <v>7.269090909</v>
      </c>
      <c r="N8" s="178">
        <f t="shared" si="7"/>
        <v>8</v>
      </c>
      <c r="O8" s="178">
        <f t="shared" si="8"/>
        <v>5.094361401</v>
      </c>
      <c r="P8" s="178">
        <f t="shared" si="9"/>
        <v>70.08251052</v>
      </c>
      <c r="Q8" s="198">
        <f t="shared" si="10"/>
        <v>29.91748948</v>
      </c>
      <c r="R8" s="198">
        <f t="shared" si="11"/>
        <v>-6.748057523</v>
      </c>
      <c r="S8" s="178">
        <f t="shared" si="12"/>
        <v>0.5543732895</v>
      </c>
      <c r="T8" s="199"/>
      <c r="U8" s="199" t="s">
        <v>292</v>
      </c>
      <c r="V8" s="201" t="s">
        <v>293</v>
      </c>
      <c r="W8" s="204">
        <v>1361.0</v>
      </c>
      <c r="X8" s="203">
        <v>11905.2</v>
      </c>
      <c r="Y8" s="175">
        <f t="shared" ref="Y8:Y13" si="14">X8+(W8*1.5)</f>
        <v>13946.7</v>
      </c>
      <c r="Z8" s="175">
        <f t="shared" ref="Z8:Z13" si="15">Y8-X8</f>
        <v>2041.5</v>
      </c>
      <c r="AA8" s="175">
        <f t="shared" ref="AA8:AA13" si="16">X8+(W8*0.55)</f>
        <v>12653.75</v>
      </c>
      <c r="AB8" s="175">
        <f t="shared" ref="AB8:AB13" si="17">AA8-X8</f>
        <v>748.55</v>
      </c>
      <c r="AC8" s="171"/>
      <c r="AD8" s="171"/>
      <c r="AE8" s="171"/>
      <c r="AF8" s="171"/>
      <c r="AG8" s="171"/>
      <c r="AH8" s="171"/>
    </row>
    <row r="9">
      <c r="A9" s="171" t="s">
        <v>222</v>
      </c>
      <c r="B9" s="171" t="s">
        <v>228</v>
      </c>
      <c r="C9" s="179">
        <f>BOCATAS!L113</f>
        <v>1.313718182</v>
      </c>
      <c r="D9" s="179">
        <f>BOCATAS!L115</f>
        <v>4.545454545</v>
      </c>
      <c r="E9" s="176">
        <f t="shared" si="1"/>
        <v>5</v>
      </c>
      <c r="F9" s="158">
        <f t="shared" si="2"/>
        <v>3.231736364</v>
      </c>
      <c r="G9" s="175">
        <f t="shared" si="3"/>
        <v>71.0982</v>
      </c>
      <c r="H9" s="175">
        <f t="shared" si="4"/>
        <v>28.9018</v>
      </c>
      <c r="I9" s="197">
        <v>0.1918767105263158</v>
      </c>
      <c r="J9" s="178">
        <v>0.61375</v>
      </c>
      <c r="K9" s="178">
        <f t="shared" si="5"/>
        <v>2.119344892</v>
      </c>
      <c r="L9" s="178">
        <f t="shared" si="6"/>
        <v>1.363636364</v>
      </c>
      <c r="M9" s="178">
        <f t="shared" si="13"/>
        <v>5.905454545</v>
      </c>
      <c r="N9" s="178">
        <f t="shared" si="7"/>
        <v>6.5</v>
      </c>
      <c r="O9" s="178">
        <f t="shared" si="8"/>
        <v>3.786109653</v>
      </c>
      <c r="P9" s="178">
        <f t="shared" si="9"/>
        <v>64.11207849</v>
      </c>
      <c r="Q9" s="198">
        <f t="shared" si="10"/>
        <v>35.88792151</v>
      </c>
      <c r="R9" s="198">
        <f t="shared" si="11"/>
        <v>-6.986121514</v>
      </c>
      <c r="S9" s="178">
        <f t="shared" si="12"/>
        <v>0.5543732895</v>
      </c>
      <c r="T9" s="199"/>
      <c r="U9" s="199" t="s">
        <v>292</v>
      </c>
      <c r="V9" s="201" t="s">
        <v>294</v>
      </c>
      <c r="W9" s="202">
        <v>787.0</v>
      </c>
      <c r="X9" s="203">
        <v>5055.5</v>
      </c>
      <c r="Y9" s="175">
        <f t="shared" si="14"/>
        <v>6236</v>
      </c>
      <c r="Z9" s="175">
        <f t="shared" si="15"/>
        <v>1180.5</v>
      </c>
      <c r="AA9" s="175">
        <f t="shared" si="16"/>
        <v>5488.35</v>
      </c>
      <c r="AB9" s="175">
        <f t="shared" si="17"/>
        <v>432.85</v>
      </c>
      <c r="AC9" s="171"/>
      <c r="AD9" s="171"/>
      <c r="AE9" s="171"/>
      <c r="AF9" s="171"/>
      <c r="AG9" s="171"/>
      <c r="AH9" s="171"/>
    </row>
    <row r="10">
      <c r="A10" s="171" t="s">
        <v>222</v>
      </c>
      <c r="B10" s="171" t="s">
        <v>229</v>
      </c>
      <c r="C10" s="179">
        <f>BOCATAS!L79</f>
        <v>1.328718182</v>
      </c>
      <c r="D10" s="179">
        <f>BOCATAS!L81</f>
        <v>4.545454545</v>
      </c>
      <c r="E10" s="176">
        <f t="shared" si="1"/>
        <v>5</v>
      </c>
      <c r="F10" s="158">
        <f t="shared" si="2"/>
        <v>3.216736364</v>
      </c>
      <c r="G10" s="175">
        <f t="shared" si="3"/>
        <v>70.7682</v>
      </c>
      <c r="H10" s="175">
        <f t="shared" si="4"/>
        <v>29.2318</v>
      </c>
      <c r="I10" s="197">
        <v>0.1918767105263158</v>
      </c>
      <c r="J10" s="178">
        <v>0.61375</v>
      </c>
      <c r="K10" s="178">
        <f t="shared" si="5"/>
        <v>2.134344892</v>
      </c>
      <c r="L10" s="178">
        <f t="shared" si="6"/>
        <v>1.363636364</v>
      </c>
      <c r="M10" s="178">
        <f t="shared" si="13"/>
        <v>5.905454545</v>
      </c>
      <c r="N10" s="178">
        <f t="shared" si="7"/>
        <v>6.5</v>
      </c>
      <c r="O10" s="178">
        <f t="shared" si="8"/>
        <v>3.771109653</v>
      </c>
      <c r="P10" s="178">
        <f t="shared" si="9"/>
        <v>63.85807602</v>
      </c>
      <c r="Q10" s="198">
        <f t="shared" si="10"/>
        <v>36.14192398</v>
      </c>
      <c r="R10" s="198">
        <f t="shared" si="11"/>
        <v>-6.910123978</v>
      </c>
      <c r="S10" s="178">
        <f t="shared" si="12"/>
        <v>0.5543732895</v>
      </c>
      <c r="T10" s="199"/>
      <c r="U10" s="199" t="s">
        <v>292</v>
      </c>
      <c r="V10" s="201" t="s">
        <v>295</v>
      </c>
      <c r="W10" s="202">
        <v>610.0</v>
      </c>
      <c r="X10" s="203">
        <v>4788.4</v>
      </c>
      <c r="Y10" s="175">
        <f t="shared" si="14"/>
        <v>5703.4</v>
      </c>
      <c r="Z10" s="175">
        <f t="shared" si="15"/>
        <v>915</v>
      </c>
      <c r="AA10" s="175">
        <f t="shared" si="16"/>
        <v>5123.9</v>
      </c>
      <c r="AB10" s="175">
        <f t="shared" si="17"/>
        <v>335.5</v>
      </c>
      <c r="AC10" s="171"/>
      <c r="AD10" s="171"/>
      <c r="AE10" s="171"/>
      <c r="AF10" s="171"/>
      <c r="AG10" s="171"/>
      <c r="AH10" s="171"/>
    </row>
    <row r="11">
      <c r="A11" s="171" t="s">
        <v>222</v>
      </c>
      <c r="B11" s="171" t="s">
        <v>230</v>
      </c>
      <c r="C11" s="179">
        <f>BOCATAS!L131</f>
        <v>1.715318182</v>
      </c>
      <c r="D11" s="179">
        <f>BOCATAS!L133</f>
        <v>4.545454545</v>
      </c>
      <c r="E11" s="176">
        <f t="shared" si="1"/>
        <v>5</v>
      </c>
      <c r="F11" s="158">
        <f t="shared" si="2"/>
        <v>2.830136364</v>
      </c>
      <c r="G11" s="175">
        <f t="shared" si="3"/>
        <v>62.263</v>
      </c>
      <c r="H11" s="175">
        <f t="shared" si="4"/>
        <v>37.737</v>
      </c>
      <c r="I11" s="197">
        <v>0.1918767105263158</v>
      </c>
      <c r="J11" s="178">
        <v>0.61375</v>
      </c>
      <c r="K11" s="178">
        <f t="shared" si="5"/>
        <v>2.520944892</v>
      </c>
      <c r="L11" s="178">
        <f t="shared" si="6"/>
        <v>1.363636364</v>
      </c>
      <c r="M11" s="178">
        <f t="shared" si="13"/>
        <v>5.905454545</v>
      </c>
      <c r="N11" s="178">
        <f t="shared" si="7"/>
        <v>6.5</v>
      </c>
      <c r="O11" s="178">
        <f t="shared" si="8"/>
        <v>3.384509653</v>
      </c>
      <c r="P11" s="178">
        <f t="shared" si="9"/>
        <v>57.31158587</v>
      </c>
      <c r="Q11" s="198">
        <f t="shared" si="10"/>
        <v>42.68841413</v>
      </c>
      <c r="R11" s="198">
        <f t="shared" si="11"/>
        <v>-4.951414125</v>
      </c>
      <c r="S11" s="178">
        <f t="shared" si="12"/>
        <v>0.5543732895</v>
      </c>
      <c r="T11" s="199"/>
      <c r="U11" s="199" t="s">
        <v>292</v>
      </c>
      <c r="V11" s="201" t="s">
        <v>296</v>
      </c>
      <c r="W11" s="202">
        <v>484.0</v>
      </c>
      <c r="X11" s="203">
        <v>3326.8</v>
      </c>
      <c r="Y11" s="175">
        <f t="shared" si="14"/>
        <v>4052.8</v>
      </c>
      <c r="Z11" s="175">
        <f t="shared" si="15"/>
        <v>726</v>
      </c>
      <c r="AA11" s="175">
        <f t="shared" si="16"/>
        <v>3593</v>
      </c>
      <c r="AB11" s="175">
        <f t="shared" si="17"/>
        <v>266.2</v>
      </c>
      <c r="AC11" s="171"/>
      <c r="AD11" s="171"/>
      <c r="AE11" s="171"/>
      <c r="AF11" s="171"/>
      <c r="AG11" s="171"/>
      <c r="AH11" s="171"/>
    </row>
    <row r="12">
      <c r="A12" s="171" t="s">
        <v>222</v>
      </c>
      <c r="B12" s="171" t="s">
        <v>231</v>
      </c>
      <c r="C12" s="179">
        <f>BOCATAS!L147</f>
        <v>1.523848182</v>
      </c>
      <c r="D12" s="179">
        <f>BOCATAS!L149</f>
        <v>6.363636364</v>
      </c>
      <c r="E12" s="176">
        <f t="shared" si="1"/>
        <v>7</v>
      </c>
      <c r="F12" s="158">
        <f t="shared" si="2"/>
        <v>4.839788182</v>
      </c>
      <c r="G12" s="175">
        <f t="shared" si="3"/>
        <v>76.05381429</v>
      </c>
      <c r="H12" s="175">
        <f t="shared" si="4"/>
        <v>23.94618571</v>
      </c>
      <c r="I12" s="197">
        <v>0.1918767105263158</v>
      </c>
      <c r="J12" s="178">
        <v>0.61375</v>
      </c>
      <c r="K12" s="178">
        <f t="shared" si="5"/>
        <v>2.329474892</v>
      </c>
      <c r="L12" s="178">
        <f t="shared" si="6"/>
        <v>1.363636364</v>
      </c>
      <c r="M12" s="178">
        <f t="shared" si="13"/>
        <v>7.723636364</v>
      </c>
      <c r="N12" s="178">
        <f t="shared" si="7"/>
        <v>8.5</v>
      </c>
      <c r="O12" s="178">
        <f t="shared" si="8"/>
        <v>5.394161471</v>
      </c>
      <c r="P12" s="178">
        <f t="shared" si="9"/>
        <v>69.83966123</v>
      </c>
      <c r="Q12" s="198">
        <f t="shared" si="10"/>
        <v>30.16033877</v>
      </c>
      <c r="R12" s="198">
        <f t="shared" si="11"/>
        <v>-6.214153052</v>
      </c>
      <c r="S12" s="178">
        <f t="shared" si="12"/>
        <v>0.5543732895</v>
      </c>
      <c r="T12" s="199"/>
      <c r="U12" s="199" t="s">
        <v>292</v>
      </c>
      <c r="V12" s="201" t="s">
        <v>297</v>
      </c>
      <c r="W12" s="202">
        <v>174.0</v>
      </c>
      <c r="X12" s="202">
        <v>939.0</v>
      </c>
      <c r="Y12" s="171">
        <f t="shared" si="14"/>
        <v>1200</v>
      </c>
      <c r="Z12" s="171">
        <f t="shared" si="15"/>
        <v>261</v>
      </c>
      <c r="AA12" s="171">
        <f t="shared" si="16"/>
        <v>1034.7</v>
      </c>
      <c r="AB12" s="171">
        <f t="shared" si="17"/>
        <v>95.7</v>
      </c>
      <c r="AC12" s="171"/>
      <c r="AD12" s="171"/>
      <c r="AE12" s="171"/>
      <c r="AF12" s="171"/>
      <c r="AG12" s="171"/>
      <c r="AH12" s="171"/>
    </row>
    <row r="13">
      <c r="A13" s="171" t="s">
        <v>222</v>
      </c>
      <c r="B13" s="171" t="s">
        <v>232</v>
      </c>
      <c r="C13" s="179">
        <f>BOCATAS!L185</f>
        <v>1.819048182</v>
      </c>
      <c r="D13" s="179">
        <f>BOCATAS!L187</f>
        <v>7.272727273</v>
      </c>
      <c r="E13" s="176">
        <f t="shared" si="1"/>
        <v>8</v>
      </c>
      <c r="F13" s="158">
        <f t="shared" si="2"/>
        <v>5.453679091</v>
      </c>
      <c r="G13" s="175">
        <f t="shared" si="3"/>
        <v>74.9880875</v>
      </c>
      <c r="H13" s="175">
        <f t="shared" si="4"/>
        <v>25.0119125</v>
      </c>
      <c r="I13" s="197">
        <v>0.1918767105263158</v>
      </c>
      <c r="J13" s="178">
        <v>0.61375</v>
      </c>
      <c r="K13" s="178">
        <f t="shared" si="5"/>
        <v>2.624674892</v>
      </c>
      <c r="L13" s="178">
        <f t="shared" si="6"/>
        <v>1.363636364</v>
      </c>
      <c r="M13" s="178">
        <f t="shared" si="13"/>
        <v>8.632727273</v>
      </c>
      <c r="N13" s="178">
        <f t="shared" si="7"/>
        <v>9.5</v>
      </c>
      <c r="O13" s="178">
        <f t="shared" si="8"/>
        <v>6.00805238</v>
      </c>
      <c r="P13" s="178">
        <f t="shared" si="9"/>
        <v>69.59622597</v>
      </c>
      <c r="Q13" s="198">
        <f t="shared" si="10"/>
        <v>30.40377403</v>
      </c>
      <c r="R13" s="198">
        <f t="shared" si="11"/>
        <v>-5.391861527</v>
      </c>
      <c r="S13" s="178">
        <f t="shared" si="12"/>
        <v>0.5543732895</v>
      </c>
      <c r="T13" s="199"/>
      <c r="U13" s="199" t="s">
        <v>292</v>
      </c>
      <c r="V13" s="201" t="s">
        <v>298</v>
      </c>
      <c r="W13" s="202">
        <v>163.0</v>
      </c>
      <c r="X13" s="202">
        <v>791.5</v>
      </c>
      <c r="Y13" s="171">
        <f t="shared" si="14"/>
        <v>1036</v>
      </c>
      <c r="Z13" s="171">
        <f t="shared" si="15"/>
        <v>244.5</v>
      </c>
      <c r="AA13" s="171">
        <f t="shared" si="16"/>
        <v>881.15</v>
      </c>
      <c r="AB13" s="171">
        <f t="shared" si="17"/>
        <v>89.65</v>
      </c>
      <c r="AC13" s="171"/>
      <c r="AD13" s="171"/>
      <c r="AE13" s="171"/>
      <c r="AF13" s="171"/>
      <c r="AG13" s="171"/>
      <c r="AH13" s="171"/>
    </row>
    <row r="14">
      <c r="A14" s="171" t="s">
        <v>222</v>
      </c>
      <c r="B14" s="171" t="s">
        <v>233</v>
      </c>
      <c r="C14" s="179">
        <f>BOCATAS!L166</f>
        <v>1.510648182</v>
      </c>
      <c r="D14" s="179">
        <f>BOCATAS!L168</f>
        <v>6.363636364</v>
      </c>
      <c r="E14" s="176">
        <f t="shared" si="1"/>
        <v>7</v>
      </c>
      <c r="F14" s="158">
        <f t="shared" si="2"/>
        <v>4.852988182</v>
      </c>
      <c r="G14" s="175">
        <f t="shared" si="3"/>
        <v>76.26124286</v>
      </c>
      <c r="H14" s="175">
        <f t="shared" si="4"/>
        <v>23.73875714</v>
      </c>
      <c r="I14" s="197">
        <v>0.1918767105263158</v>
      </c>
      <c r="J14" s="178">
        <v>0.61375</v>
      </c>
      <c r="K14" s="178">
        <f t="shared" si="5"/>
        <v>2.316274892</v>
      </c>
      <c r="L14" s="178">
        <f t="shared" si="6"/>
        <v>1.363636364</v>
      </c>
      <c r="M14" s="178">
        <f t="shared" si="13"/>
        <v>7.723636364</v>
      </c>
      <c r="N14" s="178">
        <f t="shared" si="7"/>
        <v>8.5</v>
      </c>
      <c r="O14" s="178">
        <f t="shared" si="8"/>
        <v>5.407361471</v>
      </c>
      <c r="P14" s="178">
        <f t="shared" si="9"/>
        <v>70.01056519</v>
      </c>
      <c r="Q14" s="198">
        <f t="shared" si="10"/>
        <v>29.98943481</v>
      </c>
      <c r="R14" s="198">
        <f t="shared" si="11"/>
        <v>-6.250677669</v>
      </c>
      <c r="S14" s="178">
        <f t="shared" si="12"/>
        <v>0.5543732895</v>
      </c>
      <c r="T14" s="171"/>
      <c r="U14" s="171"/>
      <c r="V14" s="201"/>
      <c r="W14" s="202"/>
      <c r="X14" s="203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</row>
    <row r="15">
      <c r="A15" s="171"/>
      <c r="B15" s="171"/>
      <c r="C15" s="171"/>
      <c r="D15" s="171"/>
      <c r="E15" s="176"/>
      <c r="F15" s="158"/>
      <c r="G15" s="171"/>
      <c r="H15" s="175"/>
      <c r="I15" s="197"/>
      <c r="J15" s="178"/>
      <c r="K15" s="178"/>
      <c r="L15" s="178"/>
      <c r="M15" s="178"/>
      <c r="N15" s="178"/>
      <c r="O15" s="178"/>
      <c r="P15" s="171"/>
      <c r="Q15" s="198"/>
      <c r="R15" s="198"/>
      <c r="S15" s="171"/>
      <c r="T15" s="171"/>
      <c r="U15" s="171"/>
      <c r="AA15" s="171"/>
      <c r="AB15" s="171"/>
      <c r="AC15" s="171"/>
      <c r="AD15" s="171"/>
      <c r="AE15" s="171"/>
      <c r="AF15" s="171"/>
      <c r="AG15" s="171"/>
      <c r="AH15" s="171"/>
    </row>
    <row r="16">
      <c r="A16" s="181" t="s">
        <v>234</v>
      </c>
      <c r="B16" s="182" t="s">
        <v>235</v>
      </c>
      <c r="C16" s="183">
        <f>SERRANOS!L34</f>
        <v>1.566618182</v>
      </c>
      <c r="D16" s="183">
        <f>SERRANOS!L36</f>
        <v>5.909090909</v>
      </c>
      <c r="E16" s="176">
        <f t="shared" ref="E16:E20" si="18">D16*1.1</f>
        <v>6.5</v>
      </c>
      <c r="F16" s="158">
        <f t="shared" ref="F16:F20" si="19">D16-C16</f>
        <v>4.342472727</v>
      </c>
      <c r="G16" s="175">
        <f t="shared" ref="G16:G20" si="20">100-H16</f>
        <v>73.488</v>
      </c>
      <c r="H16" s="175">
        <f t="shared" ref="H16:H20" si="21">C16/D16*100</f>
        <v>26.512</v>
      </c>
      <c r="I16" s="197">
        <v>0.1918767105263158</v>
      </c>
      <c r="J16" s="178">
        <v>0.61375</v>
      </c>
      <c r="K16" s="178">
        <f t="shared" ref="K16:K20" si="22">I16+J16+C16</f>
        <v>2.372244892</v>
      </c>
      <c r="L16" s="178">
        <f t="shared" ref="L16:L20" si="23">$L$1/1.1</f>
        <v>1.363636364</v>
      </c>
      <c r="M16" s="178">
        <f t="shared" ref="M16:M20" si="24">D16+1.36</f>
        <v>7.269090909</v>
      </c>
      <c r="N16" s="178">
        <f t="shared" ref="N16:N20" si="25">E16+(L16*1.1)</f>
        <v>8</v>
      </c>
      <c r="O16" s="178">
        <f t="shared" ref="O16:O20" si="26">M16-K16</f>
        <v>4.896846017</v>
      </c>
      <c r="P16" s="178">
        <f t="shared" ref="P16:P20" si="27">100-Q16</f>
        <v>67.36531539</v>
      </c>
      <c r="Q16" s="198">
        <f t="shared" ref="Q16:Q20" si="28">K16/M16*100</f>
        <v>32.63468461</v>
      </c>
      <c r="R16" s="198">
        <f t="shared" ref="R16:R20" si="29">P16-G16</f>
        <v>-6.122684612</v>
      </c>
      <c r="S16" s="178">
        <f t="shared" ref="S16:S20" si="30">O16-F16</f>
        <v>0.5543732895</v>
      </c>
      <c r="T16" s="171"/>
      <c r="U16" s="171"/>
      <c r="V16" s="201" t="s">
        <v>299</v>
      </c>
      <c r="W16" s="203">
        <f>SUM(X8:X13)</f>
        <v>26806.4</v>
      </c>
      <c r="X16" s="202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</row>
    <row r="17">
      <c r="A17" s="181" t="s">
        <v>234</v>
      </c>
      <c r="B17" s="182" t="s">
        <v>236</v>
      </c>
      <c r="C17" s="183">
        <f>SERRANOS!L6</f>
        <v>1.627118182</v>
      </c>
      <c r="D17" s="183">
        <f>SERRANOS!L8</f>
        <v>5.454545455</v>
      </c>
      <c r="E17" s="176">
        <f t="shared" si="18"/>
        <v>6</v>
      </c>
      <c r="F17" s="158">
        <f t="shared" si="19"/>
        <v>3.827427273</v>
      </c>
      <c r="G17" s="175">
        <f t="shared" si="20"/>
        <v>70.1695</v>
      </c>
      <c r="H17" s="175">
        <f t="shared" si="21"/>
        <v>29.8305</v>
      </c>
      <c r="I17" s="197">
        <v>0.1918767105263158</v>
      </c>
      <c r="J17" s="178">
        <v>0.61375</v>
      </c>
      <c r="K17" s="178">
        <f t="shared" si="22"/>
        <v>2.432744892</v>
      </c>
      <c r="L17" s="178">
        <f t="shared" si="23"/>
        <v>1.363636364</v>
      </c>
      <c r="M17" s="178">
        <f t="shared" si="24"/>
        <v>6.814545455</v>
      </c>
      <c r="N17" s="178">
        <f t="shared" si="25"/>
        <v>7.5</v>
      </c>
      <c r="O17" s="178">
        <f t="shared" si="26"/>
        <v>4.381800562</v>
      </c>
      <c r="P17" s="178">
        <f t="shared" si="27"/>
        <v>64.30070195</v>
      </c>
      <c r="Q17" s="198">
        <f t="shared" si="28"/>
        <v>35.69929805</v>
      </c>
      <c r="R17" s="198">
        <f t="shared" si="29"/>
        <v>-5.868798047</v>
      </c>
      <c r="S17" s="178">
        <f t="shared" si="30"/>
        <v>0.5543732895</v>
      </c>
      <c r="T17" s="171"/>
      <c r="U17" s="171"/>
      <c r="V17" s="201" t="s">
        <v>300</v>
      </c>
      <c r="W17" s="203">
        <f>SUM(Y8:Y13)</f>
        <v>32174.9</v>
      </c>
      <c r="X17" s="202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</row>
    <row r="18">
      <c r="A18" s="181" t="s">
        <v>234</v>
      </c>
      <c r="B18" s="182" t="s">
        <v>237</v>
      </c>
      <c r="C18" s="183">
        <f>SERRANOS!L63</f>
        <v>1.566002797</v>
      </c>
      <c r="D18" s="183">
        <f>SERRANOS!L65</f>
        <v>5.909090909</v>
      </c>
      <c r="E18" s="176">
        <f t="shared" si="18"/>
        <v>6.5</v>
      </c>
      <c r="F18" s="158">
        <f t="shared" si="19"/>
        <v>4.343088112</v>
      </c>
      <c r="G18" s="175">
        <f t="shared" si="20"/>
        <v>73.4984142</v>
      </c>
      <c r="H18" s="175">
        <f t="shared" si="21"/>
        <v>26.5015858</v>
      </c>
      <c r="I18" s="197">
        <v>0.1918767105263158</v>
      </c>
      <c r="J18" s="178">
        <v>0.61375</v>
      </c>
      <c r="K18" s="178">
        <f t="shared" si="22"/>
        <v>2.371629508</v>
      </c>
      <c r="L18" s="178">
        <f t="shared" si="23"/>
        <v>1.363636364</v>
      </c>
      <c r="M18" s="178">
        <f t="shared" si="24"/>
        <v>7.269090909</v>
      </c>
      <c r="N18" s="178">
        <f t="shared" si="25"/>
        <v>8</v>
      </c>
      <c r="O18" s="178">
        <f t="shared" si="26"/>
        <v>4.897461401</v>
      </c>
      <c r="P18" s="178">
        <f t="shared" si="27"/>
        <v>67.37378116</v>
      </c>
      <c r="Q18" s="198">
        <f t="shared" si="28"/>
        <v>32.62621884</v>
      </c>
      <c r="R18" s="198">
        <f t="shared" si="29"/>
        <v>-6.124633042</v>
      </c>
      <c r="S18" s="178">
        <f t="shared" si="30"/>
        <v>0.5543732895</v>
      </c>
      <c r="T18" s="171"/>
      <c r="U18" s="171"/>
      <c r="V18" s="190" t="s">
        <v>290</v>
      </c>
      <c r="W18" s="205">
        <f>W17-W16</f>
        <v>5368.5</v>
      </c>
      <c r="AA18" s="171"/>
      <c r="AB18" s="171"/>
      <c r="AC18" s="171"/>
      <c r="AD18" s="171"/>
      <c r="AE18" s="171"/>
      <c r="AF18" s="171"/>
      <c r="AG18" s="171"/>
      <c r="AH18" s="171"/>
    </row>
    <row r="19">
      <c r="A19" s="181" t="s">
        <v>234</v>
      </c>
      <c r="B19" s="182" t="s">
        <v>238</v>
      </c>
      <c r="C19" s="183">
        <f>SERRANOS!L92</f>
        <v>1.499618182</v>
      </c>
      <c r="D19" s="183">
        <f>SERRANOS!L94</f>
        <v>6.363636364</v>
      </c>
      <c r="E19" s="176">
        <f t="shared" si="18"/>
        <v>7</v>
      </c>
      <c r="F19" s="158">
        <f t="shared" si="19"/>
        <v>4.864018182</v>
      </c>
      <c r="G19" s="175">
        <f t="shared" si="20"/>
        <v>76.43457143</v>
      </c>
      <c r="H19" s="175">
        <f t="shared" si="21"/>
        <v>23.56542857</v>
      </c>
      <c r="I19" s="197">
        <v>0.1918767105263158</v>
      </c>
      <c r="J19" s="178">
        <v>0.61375</v>
      </c>
      <c r="K19" s="178">
        <f t="shared" si="22"/>
        <v>2.305244892</v>
      </c>
      <c r="L19" s="178">
        <f t="shared" si="23"/>
        <v>1.363636364</v>
      </c>
      <c r="M19" s="178">
        <f t="shared" si="24"/>
        <v>7.723636364</v>
      </c>
      <c r="N19" s="178">
        <f t="shared" si="25"/>
        <v>8.5</v>
      </c>
      <c r="O19" s="178">
        <f t="shared" si="26"/>
        <v>5.418391471</v>
      </c>
      <c r="P19" s="178">
        <f t="shared" si="27"/>
        <v>70.15337357</v>
      </c>
      <c r="Q19" s="198">
        <f t="shared" si="28"/>
        <v>29.84662643</v>
      </c>
      <c r="R19" s="198">
        <f t="shared" si="29"/>
        <v>-6.28119786</v>
      </c>
      <c r="S19" s="178">
        <f t="shared" si="30"/>
        <v>0.5543732895</v>
      </c>
      <c r="T19" s="171"/>
      <c r="U19" s="171"/>
      <c r="V19" s="190" t="s">
        <v>301</v>
      </c>
      <c r="W19" s="205">
        <f>SUM(AB8:AB13)</f>
        <v>1968.45</v>
      </c>
      <c r="AA19" s="171"/>
      <c r="AB19" s="171"/>
      <c r="AC19" s="171"/>
      <c r="AD19" s="171"/>
      <c r="AE19" s="171"/>
      <c r="AF19" s="171"/>
      <c r="AG19" s="171"/>
      <c r="AH19" s="171"/>
    </row>
    <row r="20">
      <c r="A20" s="181" t="s">
        <v>234</v>
      </c>
      <c r="B20" s="184" t="s">
        <v>302</v>
      </c>
      <c r="C20" s="179">
        <f>SERRANOS!L121</f>
        <v>1.782776515</v>
      </c>
      <c r="D20" s="179">
        <f>SERRANOS!L123</f>
        <v>7.272727273</v>
      </c>
      <c r="E20" s="176">
        <f t="shared" si="18"/>
        <v>8</v>
      </c>
      <c r="F20" s="158">
        <f t="shared" si="19"/>
        <v>5.489950758</v>
      </c>
      <c r="G20" s="175">
        <f t="shared" si="20"/>
        <v>75.48682292</v>
      </c>
      <c r="H20" s="175">
        <f t="shared" si="21"/>
        <v>24.51317708</v>
      </c>
      <c r="I20" s="197">
        <v>0.1918767105263158</v>
      </c>
      <c r="J20" s="178">
        <v>0.61375</v>
      </c>
      <c r="K20" s="178">
        <f t="shared" si="22"/>
        <v>2.588403226</v>
      </c>
      <c r="L20" s="178">
        <f t="shared" si="23"/>
        <v>1.363636364</v>
      </c>
      <c r="M20" s="178">
        <f t="shared" si="24"/>
        <v>8.632727273</v>
      </c>
      <c r="N20" s="178">
        <f t="shared" si="25"/>
        <v>9.5</v>
      </c>
      <c r="O20" s="178">
        <f t="shared" si="26"/>
        <v>6.044324047</v>
      </c>
      <c r="P20" s="178">
        <f t="shared" si="27"/>
        <v>70.0163906</v>
      </c>
      <c r="Q20" s="198">
        <f t="shared" si="28"/>
        <v>29.9836094</v>
      </c>
      <c r="R20" s="198">
        <f t="shared" si="29"/>
        <v>-5.470432313</v>
      </c>
      <c r="S20" s="178">
        <f t="shared" si="30"/>
        <v>0.5543732895</v>
      </c>
      <c r="T20" s="171"/>
      <c r="U20" s="171"/>
      <c r="V20" s="201"/>
      <c r="W20" s="202"/>
      <c r="X20" s="202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</row>
    <row r="21">
      <c r="A21" s="171"/>
      <c r="B21" s="171"/>
      <c r="C21" s="171"/>
      <c r="D21" s="171"/>
      <c r="E21" s="171"/>
      <c r="F21" s="171"/>
      <c r="G21" s="171"/>
      <c r="H21" s="171"/>
      <c r="I21" s="197"/>
      <c r="J21" s="178"/>
      <c r="K21" s="178"/>
      <c r="L21" s="178"/>
      <c r="M21" s="178"/>
      <c r="N21" s="178"/>
      <c r="O21" s="178"/>
      <c r="P21" s="171"/>
      <c r="Q21" s="198"/>
      <c r="R21" s="198"/>
      <c r="S21" s="171"/>
      <c r="T21" s="171"/>
      <c r="U21" s="171"/>
      <c r="AA21" s="171"/>
      <c r="AB21" s="171"/>
      <c r="AC21" s="171"/>
      <c r="AD21" s="171"/>
      <c r="AE21" s="171"/>
      <c r="AF21" s="171"/>
      <c r="AG21" s="171"/>
      <c r="AH21" s="171"/>
    </row>
    <row r="22">
      <c r="A22" s="171" t="s">
        <v>240</v>
      </c>
      <c r="B22" s="185" t="s">
        <v>241</v>
      </c>
      <c r="C22" s="186">
        <f>'BRIOCH-SUBS'!L177</f>
        <v>2.097758219</v>
      </c>
      <c r="D22" s="186">
        <f>'BRIOCH-SUBS'!L179</f>
        <v>9</v>
      </c>
      <c r="E22" s="176">
        <f t="shared" ref="E22:E27" si="31">D22*1.1</f>
        <v>9.9</v>
      </c>
      <c r="F22" s="158">
        <f t="shared" ref="F22:F27" si="32">D22-C22</f>
        <v>6.902241781</v>
      </c>
      <c r="G22" s="175">
        <f t="shared" ref="G22:G27" si="33">100-H22</f>
        <v>76.69157534</v>
      </c>
      <c r="H22" s="175">
        <f t="shared" ref="H22:H27" si="34">C22/D22*100</f>
        <v>23.30842466</v>
      </c>
      <c r="I22" s="197">
        <v>0.1918767105263158</v>
      </c>
      <c r="J22" s="178">
        <v>0.61375</v>
      </c>
      <c r="K22" s="178">
        <f t="shared" ref="K22:K27" si="35">I22+J22+C22</f>
        <v>2.90338493</v>
      </c>
      <c r="L22" s="178">
        <f t="shared" ref="L22:L27" si="36">$L$1/1.1</f>
        <v>1.363636364</v>
      </c>
      <c r="M22" s="178">
        <f t="shared" ref="M22:M27" si="37">D22+1.36</f>
        <v>10.36</v>
      </c>
      <c r="N22" s="178">
        <f t="shared" ref="N22:N27" si="38">E22+1.5</f>
        <v>11.4</v>
      </c>
      <c r="O22" s="178">
        <f t="shared" ref="O22:O27" si="39">M22-K22</f>
        <v>7.45661507</v>
      </c>
      <c r="P22" s="178">
        <f t="shared" ref="P22:P27" si="40">100-Q22</f>
        <v>71.97504894</v>
      </c>
      <c r="Q22" s="198">
        <f t="shared" ref="Q22:Q27" si="41">K22/M22*100</f>
        <v>28.02495106</v>
      </c>
      <c r="R22" s="198">
        <f t="shared" ref="R22:R27" si="42">P22-G22</f>
        <v>-4.716526401</v>
      </c>
      <c r="S22" s="178">
        <f t="shared" ref="S22:S27" si="43">O22-F22</f>
        <v>0.5543732895</v>
      </c>
      <c r="T22" s="171"/>
      <c r="U22" s="171"/>
      <c r="V22" s="201"/>
      <c r="W22" s="202"/>
      <c r="X22" s="202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</row>
    <row r="23">
      <c r="A23" s="171" t="s">
        <v>240</v>
      </c>
      <c r="B23" s="185" t="s">
        <v>242</v>
      </c>
      <c r="C23" s="186">
        <f>'BRIOCH-SUBS'!L149</f>
        <v>1.98895</v>
      </c>
      <c r="D23" s="186">
        <f>'BRIOCH-SUBS'!L151</f>
        <v>7.727272727</v>
      </c>
      <c r="E23" s="176">
        <f t="shared" si="31"/>
        <v>8.5</v>
      </c>
      <c r="F23" s="158">
        <f t="shared" si="32"/>
        <v>5.738322727</v>
      </c>
      <c r="G23" s="175">
        <f t="shared" si="33"/>
        <v>74.26064706</v>
      </c>
      <c r="H23" s="175">
        <f t="shared" si="34"/>
        <v>25.73935294</v>
      </c>
      <c r="I23" s="197">
        <v>0.1918767105263158</v>
      </c>
      <c r="J23" s="178">
        <v>0.61375</v>
      </c>
      <c r="K23" s="178">
        <f t="shared" si="35"/>
        <v>2.794576711</v>
      </c>
      <c r="L23" s="178">
        <f t="shared" si="36"/>
        <v>1.363636364</v>
      </c>
      <c r="M23" s="178">
        <f t="shared" si="37"/>
        <v>9.087272727</v>
      </c>
      <c r="N23" s="178">
        <f t="shared" si="38"/>
        <v>10</v>
      </c>
      <c r="O23" s="178">
        <f t="shared" si="39"/>
        <v>6.292696017</v>
      </c>
      <c r="P23" s="178">
        <f t="shared" si="40"/>
        <v>69.24735513</v>
      </c>
      <c r="Q23" s="198">
        <f t="shared" si="41"/>
        <v>30.75264487</v>
      </c>
      <c r="R23" s="198">
        <f t="shared" si="42"/>
        <v>-5.013291933</v>
      </c>
      <c r="S23" s="178">
        <f t="shared" si="43"/>
        <v>0.5543732895</v>
      </c>
      <c r="T23" s="171"/>
      <c r="U23" s="171"/>
      <c r="V23" s="201"/>
      <c r="W23" s="202"/>
      <c r="X23" s="202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</row>
    <row r="24">
      <c r="A24" s="171" t="s">
        <v>240</v>
      </c>
      <c r="B24" s="185" t="s">
        <v>243</v>
      </c>
      <c r="C24" s="186">
        <f>'BRIOCH-SUBS'!L64</f>
        <v>1.959666671</v>
      </c>
      <c r="D24" s="186">
        <f>'BRIOCH-SUBS'!L66</f>
        <v>7.272727273</v>
      </c>
      <c r="E24" s="176">
        <f t="shared" si="31"/>
        <v>8</v>
      </c>
      <c r="F24" s="158">
        <f t="shared" si="32"/>
        <v>5.313060602</v>
      </c>
      <c r="G24" s="175">
        <f t="shared" si="33"/>
        <v>73.05458328</v>
      </c>
      <c r="H24" s="175">
        <f t="shared" si="34"/>
        <v>26.94541672</v>
      </c>
      <c r="I24" s="197">
        <v>0.1918767105263158</v>
      </c>
      <c r="J24" s="178">
        <v>0.61375</v>
      </c>
      <c r="K24" s="178">
        <f t="shared" si="35"/>
        <v>2.765293381</v>
      </c>
      <c r="L24" s="178">
        <f t="shared" si="36"/>
        <v>1.363636364</v>
      </c>
      <c r="M24" s="178">
        <f t="shared" si="37"/>
        <v>8.632727273</v>
      </c>
      <c r="N24" s="178">
        <f t="shared" si="38"/>
        <v>9.5</v>
      </c>
      <c r="O24" s="178">
        <f t="shared" si="39"/>
        <v>5.867433891</v>
      </c>
      <c r="P24" s="178">
        <f t="shared" si="40"/>
        <v>67.96732604</v>
      </c>
      <c r="Q24" s="198">
        <f t="shared" si="41"/>
        <v>32.03267396</v>
      </c>
      <c r="R24" s="198">
        <f t="shared" si="42"/>
        <v>-5.087257239</v>
      </c>
      <c r="S24" s="178">
        <f t="shared" si="43"/>
        <v>0.5543732895</v>
      </c>
      <c r="T24" s="171"/>
      <c r="U24" s="171"/>
      <c r="V24" s="201"/>
      <c r="W24" s="202"/>
      <c r="X24" s="202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</row>
    <row r="25">
      <c r="A25" s="171" t="s">
        <v>240</v>
      </c>
      <c r="B25" s="185" t="s">
        <v>244</v>
      </c>
      <c r="C25" s="186">
        <f>'BRIOCH-SUBS'!L6</f>
        <v>1.973200175</v>
      </c>
      <c r="D25" s="186">
        <f>'BRIOCH-SUBS'!L8</f>
        <v>7.272727273</v>
      </c>
      <c r="E25" s="176">
        <f t="shared" si="31"/>
        <v>8</v>
      </c>
      <c r="F25" s="158">
        <f t="shared" si="32"/>
        <v>5.299527097</v>
      </c>
      <c r="G25" s="175">
        <f t="shared" si="33"/>
        <v>72.86849759</v>
      </c>
      <c r="H25" s="175">
        <f t="shared" si="34"/>
        <v>27.13150241</v>
      </c>
      <c r="I25" s="197">
        <v>0.1918767105263158</v>
      </c>
      <c r="J25" s="178">
        <v>0.61375</v>
      </c>
      <c r="K25" s="178">
        <f t="shared" si="35"/>
        <v>2.778826886</v>
      </c>
      <c r="L25" s="178">
        <f t="shared" si="36"/>
        <v>1.363636364</v>
      </c>
      <c r="M25" s="178">
        <f t="shared" si="37"/>
        <v>8.632727273</v>
      </c>
      <c r="N25" s="178">
        <f t="shared" si="38"/>
        <v>9.5</v>
      </c>
      <c r="O25" s="178">
        <f t="shared" si="39"/>
        <v>5.853900387</v>
      </c>
      <c r="P25" s="178">
        <f t="shared" si="40"/>
        <v>67.81055629</v>
      </c>
      <c r="Q25" s="198">
        <f t="shared" si="41"/>
        <v>32.18944371</v>
      </c>
      <c r="R25" s="198">
        <f t="shared" si="42"/>
        <v>-5.057941296</v>
      </c>
      <c r="S25" s="178">
        <f t="shared" si="43"/>
        <v>0.5543732895</v>
      </c>
      <c r="T25" s="171"/>
      <c r="U25" s="171"/>
      <c r="V25" s="201"/>
      <c r="W25" s="202"/>
      <c r="X25" s="202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</row>
    <row r="26">
      <c r="A26" s="171" t="s">
        <v>240</v>
      </c>
      <c r="B26" s="188" t="s">
        <v>245</v>
      </c>
      <c r="C26" s="186">
        <f>'BRIOCH-SUBS'!L35</f>
        <v>2.367697917</v>
      </c>
      <c r="D26" s="186">
        <f>'BRIOCH-SUBS'!L37</f>
        <v>7.272727273</v>
      </c>
      <c r="E26" s="176">
        <f t="shared" si="31"/>
        <v>8</v>
      </c>
      <c r="F26" s="158">
        <f t="shared" si="32"/>
        <v>4.905029356</v>
      </c>
      <c r="G26" s="175">
        <f t="shared" si="33"/>
        <v>67.44415365</v>
      </c>
      <c r="H26" s="175">
        <f t="shared" si="34"/>
        <v>32.55584635</v>
      </c>
      <c r="I26" s="197">
        <v>0.1918767105263158</v>
      </c>
      <c r="J26" s="178">
        <v>0.61375</v>
      </c>
      <c r="K26" s="178">
        <f t="shared" si="35"/>
        <v>3.173324627</v>
      </c>
      <c r="L26" s="178">
        <f t="shared" si="36"/>
        <v>1.363636364</v>
      </c>
      <c r="M26" s="178">
        <f t="shared" si="37"/>
        <v>8.632727273</v>
      </c>
      <c r="N26" s="178">
        <f t="shared" si="38"/>
        <v>9.5</v>
      </c>
      <c r="O26" s="178">
        <f t="shared" si="39"/>
        <v>5.459402646</v>
      </c>
      <c r="P26" s="178">
        <f t="shared" si="40"/>
        <v>63.24076359</v>
      </c>
      <c r="Q26" s="198">
        <f t="shared" si="41"/>
        <v>36.75923641</v>
      </c>
      <c r="R26" s="198">
        <f t="shared" si="42"/>
        <v>-4.20339006</v>
      </c>
      <c r="S26" s="178">
        <f t="shared" si="43"/>
        <v>0.5543732895</v>
      </c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>
      <c r="A27" s="171" t="s">
        <v>240</v>
      </c>
      <c r="B27" s="185" t="s">
        <v>246</v>
      </c>
      <c r="C27" s="186">
        <f>'BRIOCH-SUBS'!L93</f>
        <v>1.980045455</v>
      </c>
      <c r="D27" s="186">
        <f>'BRIOCH-SUBS'!L95</f>
        <v>7.272727273</v>
      </c>
      <c r="E27" s="176">
        <f t="shared" si="31"/>
        <v>8</v>
      </c>
      <c r="F27" s="158">
        <f t="shared" si="32"/>
        <v>5.292681818</v>
      </c>
      <c r="G27" s="175">
        <f t="shared" si="33"/>
        <v>72.774375</v>
      </c>
      <c r="H27" s="175">
        <f t="shared" si="34"/>
        <v>27.225625</v>
      </c>
      <c r="I27" s="197">
        <v>0.1918767105263158</v>
      </c>
      <c r="J27" s="178">
        <v>0.61375</v>
      </c>
      <c r="K27" s="178">
        <f t="shared" si="35"/>
        <v>2.785672165</v>
      </c>
      <c r="L27" s="178">
        <f t="shared" si="36"/>
        <v>1.363636364</v>
      </c>
      <c r="M27" s="178">
        <f t="shared" si="37"/>
        <v>8.632727273</v>
      </c>
      <c r="N27" s="178">
        <f t="shared" si="38"/>
        <v>9.5</v>
      </c>
      <c r="O27" s="178">
        <f t="shared" si="39"/>
        <v>5.847055108</v>
      </c>
      <c r="P27" s="178">
        <f t="shared" si="40"/>
        <v>67.73126178</v>
      </c>
      <c r="Q27" s="198">
        <f t="shared" si="41"/>
        <v>32.26873822</v>
      </c>
      <c r="R27" s="198">
        <f t="shared" si="42"/>
        <v>-5.043113222</v>
      </c>
      <c r="S27" s="178">
        <f t="shared" si="43"/>
        <v>0.5543732895</v>
      </c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>
      <c r="A28" s="171"/>
      <c r="B28" s="188"/>
      <c r="C28" s="171"/>
      <c r="D28" s="171"/>
      <c r="E28" s="171"/>
      <c r="F28" s="171"/>
      <c r="G28" s="171"/>
      <c r="H28" s="171"/>
      <c r="I28" s="197"/>
      <c r="J28" s="178"/>
      <c r="K28" s="178"/>
      <c r="L28" s="178"/>
      <c r="M28" s="178"/>
      <c r="N28" s="178"/>
      <c r="O28" s="178"/>
      <c r="P28" s="171"/>
      <c r="Q28" s="198"/>
      <c r="R28" s="198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>
      <c r="A29" s="171"/>
      <c r="B29" s="188"/>
      <c r="C29" s="171"/>
      <c r="D29" s="171"/>
      <c r="E29" s="171"/>
      <c r="F29" s="171"/>
      <c r="G29" s="171"/>
      <c r="H29" s="171"/>
      <c r="I29" s="197"/>
      <c r="J29" s="178"/>
      <c r="K29" s="178"/>
      <c r="L29" s="178"/>
      <c r="M29" s="178"/>
      <c r="N29" s="178"/>
      <c r="O29" s="178"/>
      <c r="P29" s="171"/>
      <c r="Q29" s="198"/>
      <c r="R29" s="198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>
      <c r="A30" s="181" t="s">
        <v>247</v>
      </c>
      <c r="B30" s="185" t="s">
        <v>248</v>
      </c>
      <c r="C30" s="186">
        <f>BURGERS!L239</f>
        <v>1.860495878</v>
      </c>
      <c r="D30" s="186">
        <f>BURGERS!L241</f>
        <v>7.272727273</v>
      </c>
      <c r="E30" s="176">
        <f t="shared" ref="E30:E39" si="44">D30*1.1</f>
        <v>8</v>
      </c>
      <c r="F30" s="158">
        <f t="shared" ref="F30:F39" si="45">D30-C30</f>
        <v>5.412231394</v>
      </c>
      <c r="G30" s="175">
        <f t="shared" ref="G30:G39" si="46">100-H30</f>
        <v>74.41818167</v>
      </c>
      <c r="H30" s="175">
        <f t="shared" ref="H30:H39" si="47">C30/D30*100</f>
        <v>25.58181833</v>
      </c>
      <c r="I30" s="197">
        <v>0.1918767105263158</v>
      </c>
      <c r="J30" s="178">
        <v>0.61375</v>
      </c>
      <c r="K30" s="178">
        <f t="shared" ref="K30:K39" si="48">I30+J30+C30</f>
        <v>2.666122589</v>
      </c>
      <c r="L30" s="178">
        <f t="shared" ref="L30:L39" si="49">$L$1/1.1</f>
        <v>1.363636364</v>
      </c>
      <c r="M30" s="178">
        <f t="shared" ref="M30:M39" si="50">D30+1.36</f>
        <v>8.632727273</v>
      </c>
      <c r="N30" s="178">
        <f t="shared" ref="N30:N39" si="51">E30+1.5</f>
        <v>9.5</v>
      </c>
      <c r="O30" s="178">
        <f t="shared" ref="O30:O39" si="52">M30-K30</f>
        <v>5.966604684</v>
      </c>
      <c r="P30" s="178">
        <f t="shared" ref="P30:P39" si="53">100-Q30</f>
        <v>69.11610312</v>
      </c>
      <c r="Q30" s="198">
        <f t="shared" ref="Q30:Q39" si="54">K30/M30*100</f>
        <v>30.88389688</v>
      </c>
      <c r="R30" s="198">
        <f t="shared" ref="R30:R39" si="55">P30-G30</f>
        <v>-5.302078553</v>
      </c>
      <c r="S30" s="178">
        <f t="shared" ref="S30:S39" si="56">O30-F30</f>
        <v>0.5543732895</v>
      </c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>
      <c r="A31" s="181" t="s">
        <v>247</v>
      </c>
      <c r="B31" s="185" t="s">
        <v>249</v>
      </c>
      <c r="C31" s="186">
        <f>BURGERS!L269</f>
        <v>1.530054167</v>
      </c>
      <c r="D31" s="186">
        <f>BURGERS!L271</f>
        <v>6.363636364</v>
      </c>
      <c r="E31" s="176">
        <f t="shared" si="44"/>
        <v>7</v>
      </c>
      <c r="F31" s="158">
        <f t="shared" si="45"/>
        <v>4.833582197</v>
      </c>
      <c r="G31" s="175">
        <f t="shared" si="46"/>
        <v>75.95629167</v>
      </c>
      <c r="H31" s="175">
        <f t="shared" si="47"/>
        <v>24.04370833</v>
      </c>
      <c r="I31" s="197">
        <v>0.1918767105263158</v>
      </c>
      <c r="J31" s="178">
        <v>0.61375</v>
      </c>
      <c r="K31" s="178">
        <f t="shared" si="48"/>
        <v>2.335680877</v>
      </c>
      <c r="L31" s="178">
        <f t="shared" si="49"/>
        <v>1.363636364</v>
      </c>
      <c r="M31" s="178">
        <f t="shared" si="50"/>
        <v>7.723636364</v>
      </c>
      <c r="N31" s="178">
        <f t="shared" si="51"/>
        <v>8.5</v>
      </c>
      <c r="O31" s="178">
        <f t="shared" si="52"/>
        <v>5.387955486</v>
      </c>
      <c r="P31" s="178">
        <f t="shared" si="53"/>
        <v>69.75931068</v>
      </c>
      <c r="Q31" s="198">
        <f t="shared" si="54"/>
        <v>30.24068932</v>
      </c>
      <c r="R31" s="198">
        <f t="shared" si="55"/>
        <v>-6.19698099</v>
      </c>
      <c r="S31" s="178">
        <f t="shared" si="56"/>
        <v>0.5543732895</v>
      </c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>
      <c r="A32" s="181" t="s">
        <v>247</v>
      </c>
      <c r="B32" s="185" t="s">
        <v>250</v>
      </c>
      <c r="C32" s="186">
        <f>BURGERS!L151</f>
        <v>2.205297348</v>
      </c>
      <c r="D32" s="186">
        <f>BURGERS!L153</f>
        <v>9</v>
      </c>
      <c r="E32" s="176">
        <f t="shared" si="44"/>
        <v>9.9</v>
      </c>
      <c r="F32" s="158">
        <f t="shared" si="45"/>
        <v>6.794702652</v>
      </c>
      <c r="G32" s="175">
        <f t="shared" si="46"/>
        <v>75.49669613</v>
      </c>
      <c r="H32" s="175">
        <f t="shared" si="47"/>
        <v>24.50330387</v>
      </c>
      <c r="I32" s="197">
        <v>0.1918767105263158</v>
      </c>
      <c r="J32" s="178">
        <v>0.61375</v>
      </c>
      <c r="K32" s="178">
        <f t="shared" si="48"/>
        <v>3.010924059</v>
      </c>
      <c r="L32" s="178">
        <f t="shared" si="49"/>
        <v>1.363636364</v>
      </c>
      <c r="M32" s="178">
        <f t="shared" si="50"/>
        <v>10.36</v>
      </c>
      <c r="N32" s="178">
        <f t="shared" si="51"/>
        <v>11.4</v>
      </c>
      <c r="O32" s="178">
        <f t="shared" si="52"/>
        <v>7.349075941</v>
      </c>
      <c r="P32" s="178">
        <f t="shared" si="53"/>
        <v>70.93702646</v>
      </c>
      <c r="Q32" s="198">
        <f t="shared" si="54"/>
        <v>29.06297354</v>
      </c>
      <c r="R32" s="198">
        <f t="shared" si="55"/>
        <v>-4.559669671</v>
      </c>
      <c r="S32" s="178">
        <f t="shared" si="56"/>
        <v>0.5543732895</v>
      </c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>
      <c r="A33" s="181" t="s">
        <v>247</v>
      </c>
      <c r="B33" s="185" t="s">
        <v>251</v>
      </c>
      <c r="C33" s="186">
        <f>BURGERS!L180</f>
        <v>2.150130317</v>
      </c>
      <c r="D33" s="186">
        <f>BURGERS!L182</f>
        <v>9.090909091</v>
      </c>
      <c r="E33" s="176">
        <f t="shared" si="44"/>
        <v>10</v>
      </c>
      <c r="F33" s="158">
        <f t="shared" si="45"/>
        <v>6.940778774</v>
      </c>
      <c r="G33" s="175">
        <f t="shared" si="46"/>
        <v>76.34856651</v>
      </c>
      <c r="H33" s="175">
        <f t="shared" si="47"/>
        <v>23.65143349</v>
      </c>
      <c r="I33" s="197">
        <v>0.1918767105263158</v>
      </c>
      <c r="J33" s="178">
        <v>0.61375</v>
      </c>
      <c r="K33" s="178">
        <f t="shared" si="48"/>
        <v>2.955757028</v>
      </c>
      <c r="L33" s="178">
        <f t="shared" si="49"/>
        <v>1.363636364</v>
      </c>
      <c r="M33" s="178">
        <f t="shared" si="50"/>
        <v>10.45090909</v>
      </c>
      <c r="N33" s="178">
        <f t="shared" si="51"/>
        <v>11.5</v>
      </c>
      <c r="O33" s="178">
        <f t="shared" si="52"/>
        <v>7.495152063</v>
      </c>
      <c r="P33" s="178">
        <f t="shared" si="53"/>
        <v>71.71770415</v>
      </c>
      <c r="Q33" s="198">
        <f t="shared" si="54"/>
        <v>28.28229585</v>
      </c>
      <c r="R33" s="198">
        <f t="shared" si="55"/>
        <v>-4.630862357</v>
      </c>
      <c r="S33" s="178">
        <f t="shared" si="56"/>
        <v>0.5543732895</v>
      </c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>
      <c r="A34" s="181" t="s">
        <v>247</v>
      </c>
      <c r="B34" s="185" t="s">
        <v>252</v>
      </c>
      <c r="C34" s="186">
        <f>BURGERS!L209</f>
        <v>2.589573812</v>
      </c>
      <c r="D34" s="186">
        <f>BURGERS!L211</f>
        <v>10</v>
      </c>
      <c r="E34" s="176">
        <f t="shared" si="44"/>
        <v>11</v>
      </c>
      <c r="F34" s="158">
        <f t="shared" si="45"/>
        <v>7.410426188</v>
      </c>
      <c r="G34" s="175">
        <f t="shared" si="46"/>
        <v>74.10426188</v>
      </c>
      <c r="H34" s="175">
        <f t="shared" si="47"/>
        <v>25.89573812</v>
      </c>
      <c r="I34" s="197">
        <v>0.1918767105263158</v>
      </c>
      <c r="J34" s="178">
        <v>0.61375</v>
      </c>
      <c r="K34" s="178">
        <f t="shared" si="48"/>
        <v>3.395200523</v>
      </c>
      <c r="L34" s="178">
        <f t="shared" si="49"/>
        <v>1.363636364</v>
      </c>
      <c r="M34" s="178">
        <f t="shared" si="50"/>
        <v>11.36</v>
      </c>
      <c r="N34" s="178">
        <f t="shared" si="51"/>
        <v>12.5</v>
      </c>
      <c r="O34" s="178">
        <f t="shared" si="52"/>
        <v>7.964799477</v>
      </c>
      <c r="P34" s="178">
        <f t="shared" si="53"/>
        <v>70.11267145</v>
      </c>
      <c r="Q34" s="198">
        <f t="shared" si="54"/>
        <v>29.88732855</v>
      </c>
      <c r="R34" s="198">
        <f t="shared" si="55"/>
        <v>-3.991590423</v>
      </c>
      <c r="S34" s="178">
        <f t="shared" si="56"/>
        <v>0.5543732895</v>
      </c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>
      <c r="A35" s="181" t="s">
        <v>247</v>
      </c>
      <c r="B35" s="185" t="s">
        <v>253</v>
      </c>
      <c r="C35" s="186">
        <f>BURGERS!L6</f>
        <v>2.187102348</v>
      </c>
      <c r="D35" s="186">
        <f>BURGERS!L8</f>
        <v>7.272727273</v>
      </c>
      <c r="E35" s="176">
        <f t="shared" si="44"/>
        <v>8</v>
      </c>
      <c r="F35" s="158">
        <f t="shared" si="45"/>
        <v>5.085624924</v>
      </c>
      <c r="G35" s="175">
        <f t="shared" si="46"/>
        <v>69.92734271</v>
      </c>
      <c r="H35" s="175">
        <f t="shared" si="47"/>
        <v>30.07265729</v>
      </c>
      <c r="I35" s="197">
        <v>0.1918767105263158</v>
      </c>
      <c r="J35" s="178">
        <v>0.61375</v>
      </c>
      <c r="K35" s="178">
        <f t="shared" si="48"/>
        <v>2.992729059</v>
      </c>
      <c r="L35" s="178">
        <f t="shared" si="49"/>
        <v>1.363636364</v>
      </c>
      <c r="M35" s="178">
        <f t="shared" si="50"/>
        <v>8.632727273</v>
      </c>
      <c r="N35" s="178">
        <f t="shared" si="51"/>
        <v>9.5</v>
      </c>
      <c r="O35" s="178">
        <f t="shared" si="52"/>
        <v>5.639998214</v>
      </c>
      <c r="P35" s="178">
        <f t="shared" si="53"/>
        <v>65.332751</v>
      </c>
      <c r="Q35" s="198">
        <f t="shared" si="54"/>
        <v>34.667249</v>
      </c>
      <c r="R35" s="198">
        <f t="shared" si="55"/>
        <v>-4.594591707</v>
      </c>
      <c r="S35" s="178">
        <f t="shared" si="56"/>
        <v>0.5543732895</v>
      </c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>
      <c r="A36" s="181" t="s">
        <v>247</v>
      </c>
      <c r="B36" s="185" t="s">
        <v>254</v>
      </c>
      <c r="C36" s="186">
        <f>BURGERS!L35</f>
        <v>2.375473598</v>
      </c>
      <c r="D36" s="186">
        <f>BURGERS!L37</f>
        <v>7.272727273</v>
      </c>
      <c r="E36" s="176">
        <f t="shared" si="44"/>
        <v>8</v>
      </c>
      <c r="F36" s="158">
        <f t="shared" si="45"/>
        <v>4.897253674</v>
      </c>
      <c r="G36" s="175">
        <f t="shared" si="46"/>
        <v>67.33723802</v>
      </c>
      <c r="H36" s="175">
        <f t="shared" si="47"/>
        <v>32.66276198</v>
      </c>
      <c r="I36" s="197">
        <v>0.1918767105263158</v>
      </c>
      <c r="J36" s="178">
        <v>0.61375</v>
      </c>
      <c r="K36" s="178">
        <f t="shared" si="48"/>
        <v>3.181100309</v>
      </c>
      <c r="L36" s="178">
        <f t="shared" si="49"/>
        <v>1.363636364</v>
      </c>
      <c r="M36" s="178">
        <f t="shared" si="50"/>
        <v>8.632727273</v>
      </c>
      <c r="N36" s="178">
        <f t="shared" si="51"/>
        <v>9.5</v>
      </c>
      <c r="O36" s="178">
        <f t="shared" si="52"/>
        <v>5.451626964</v>
      </c>
      <c r="P36" s="178">
        <f t="shared" si="53"/>
        <v>63.15069145</v>
      </c>
      <c r="Q36" s="198">
        <f t="shared" si="54"/>
        <v>36.84930855</v>
      </c>
      <c r="R36" s="198">
        <f t="shared" si="55"/>
        <v>-4.186546571</v>
      </c>
      <c r="S36" s="178">
        <f t="shared" si="56"/>
        <v>0.5543732895</v>
      </c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</row>
    <row r="37">
      <c r="A37" s="181" t="s">
        <v>247</v>
      </c>
      <c r="B37" s="185" t="s">
        <v>255</v>
      </c>
      <c r="C37" s="186">
        <f>BURGERS!L122</f>
        <v>2.570146742</v>
      </c>
      <c r="D37" s="186">
        <f>BURGERS!L124</f>
        <v>7.272727273</v>
      </c>
      <c r="E37" s="176">
        <f t="shared" si="44"/>
        <v>8</v>
      </c>
      <c r="F37" s="158">
        <f t="shared" si="45"/>
        <v>4.70258053</v>
      </c>
      <c r="G37" s="175">
        <f t="shared" si="46"/>
        <v>64.66048229</v>
      </c>
      <c r="H37" s="175">
        <f t="shared" si="47"/>
        <v>35.33951771</v>
      </c>
      <c r="I37" s="197">
        <v>0.1918767105263158</v>
      </c>
      <c r="J37" s="178">
        <v>0.61375</v>
      </c>
      <c r="K37" s="178">
        <f t="shared" si="48"/>
        <v>3.375773453</v>
      </c>
      <c r="L37" s="178">
        <f t="shared" si="49"/>
        <v>1.363636364</v>
      </c>
      <c r="M37" s="178">
        <f t="shared" si="50"/>
        <v>8.632727273</v>
      </c>
      <c r="N37" s="178">
        <f t="shared" si="51"/>
        <v>9.5</v>
      </c>
      <c r="O37" s="178">
        <f t="shared" si="52"/>
        <v>5.25695382</v>
      </c>
      <c r="P37" s="178">
        <f t="shared" si="53"/>
        <v>60.89563186</v>
      </c>
      <c r="Q37" s="198">
        <f t="shared" si="54"/>
        <v>39.10436814</v>
      </c>
      <c r="R37" s="198">
        <f t="shared" si="55"/>
        <v>-3.764850428</v>
      </c>
      <c r="S37" s="178">
        <f t="shared" si="56"/>
        <v>0.5543732895</v>
      </c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</row>
    <row r="38">
      <c r="A38" s="181" t="s">
        <v>247</v>
      </c>
      <c r="B38" s="185" t="s">
        <v>256</v>
      </c>
      <c r="C38" s="186">
        <f>BURGERS!L93</f>
        <v>2.650674821</v>
      </c>
      <c r="D38" s="186">
        <f>BURGERS!L95</f>
        <v>6.363636364</v>
      </c>
      <c r="E38" s="176">
        <f t="shared" si="44"/>
        <v>7</v>
      </c>
      <c r="F38" s="158">
        <f t="shared" si="45"/>
        <v>3.712961542</v>
      </c>
      <c r="G38" s="175">
        <f t="shared" si="46"/>
        <v>58.34653852</v>
      </c>
      <c r="H38" s="175">
        <f t="shared" si="47"/>
        <v>41.65346148</v>
      </c>
      <c r="I38" s="197">
        <v>0.1918767105263158</v>
      </c>
      <c r="J38" s="178">
        <v>0.61375</v>
      </c>
      <c r="K38" s="178">
        <f t="shared" si="48"/>
        <v>3.456301532</v>
      </c>
      <c r="L38" s="178">
        <f t="shared" si="49"/>
        <v>1.363636364</v>
      </c>
      <c r="M38" s="178">
        <f t="shared" si="50"/>
        <v>7.723636364</v>
      </c>
      <c r="N38" s="178">
        <f t="shared" si="51"/>
        <v>8.5</v>
      </c>
      <c r="O38" s="178">
        <f t="shared" si="52"/>
        <v>4.267334832</v>
      </c>
      <c r="P38" s="178">
        <f t="shared" si="53"/>
        <v>55.25033327</v>
      </c>
      <c r="Q38" s="198">
        <f t="shared" si="54"/>
        <v>44.74966673</v>
      </c>
      <c r="R38" s="198">
        <f t="shared" si="55"/>
        <v>-3.096205248</v>
      </c>
      <c r="S38" s="178">
        <f t="shared" si="56"/>
        <v>0.5543732895</v>
      </c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</row>
    <row r="39">
      <c r="A39" s="181" t="s">
        <v>247</v>
      </c>
      <c r="B39" s="189" t="s">
        <v>257</v>
      </c>
      <c r="C39" s="186">
        <f>BURGERS!L64</f>
        <v>2.473112436</v>
      </c>
      <c r="D39" s="186">
        <f>BURGERS!L66</f>
        <v>9</v>
      </c>
      <c r="E39" s="176">
        <f t="shared" si="44"/>
        <v>9.9</v>
      </c>
      <c r="F39" s="158">
        <f t="shared" si="45"/>
        <v>6.526887564</v>
      </c>
      <c r="G39" s="175">
        <f t="shared" si="46"/>
        <v>72.52097293</v>
      </c>
      <c r="H39" s="175">
        <f t="shared" si="47"/>
        <v>27.47902707</v>
      </c>
      <c r="I39" s="197">
        <v>0.1918767105263158</v>
      </c>
      <c r="J39" s="178">
        <v>0.61375</v>
      </c>
      <c r="K39" s="178">
        <f t="shared" si="48"/>
        <v>3.278739147</v>
      </c>
      <c r="L39" s="178">
        <f t="shared" si="49"/>
        <v>1.363636364</v>
      </c>
      <c r="M39" s="178">
        <f t="shared" si="50"/>
        <v>10.36</v>
      </c>
      <c r="N39" s="178">
        <f t="shared" si="51"/>
        <v>11.4</v>
      </c>
      <c r="O39" s="178">
        <f t="shared" si="52"/>
        <v>7.081260853</v>
      </c>
      <c r="P39" s="178">
        <f t="shared" si="53"/>
        <v>68.35193874</v>
      </c>
      <c r="Q39" s="198">
        <f t="shared" si="54"/>
        <v>31.64806126</v>
      </c>
      <c r="R39" s="198">
        <f t="shared" si="55"/>
        <v>-4.169034193</v>
      </c>
      <c r="S39" s="178">
        <f t="shared" si="56"/>
        <v>0.5543732895</v>
      </c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</row>
    <row r="40">
      <c r="A40" s="171"/>
      <c r="B40" s="188"/>
      <c r="C40" s="171"/>
      <c r="D40" s="171"/>
      <c r="E40" s="171"/>
      <c r="F40" s="171"/>
      <c r="G40" s="171"/>
      <c r="H40" s="171"/>
      <c r="I40" s="197"/>
      <c r="J40" s="178"/>
      <c r="K40" s="178"/>
      <c r="L40" s="178"/>
      <c r="M40" s="178"/>
      <c r="N40" s="178"/>
      <c r="O40" s="178"/>
      <c r="P40" s="171"/>
      <c r="Q40" s="198"/>
      <c r="R40" s="198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</row>
    <row r="41">
      <c r="A41" s="181" t="s">
        <v>270</v>
      </c>
      <c r="B41" s="181" t="s">
        <v>271</v>
      </c>
      <c r="C41" s="179">
        <f>'BRIOCH-SUBS'!L205</f>
        <v>1.760067568</v>
      </c>
      <c r="D41" s="179">
        <f>'BRIOCH-SUBS'!L207</f>
        <v>3.545454545</v>
      </c>
      <c r="E41" s="191">
        <f>'BRIOCH-SUBS'!L206</f>
        <v>3.9</v>
      </c>
      <c r="F41" s="158">
        <f t="shared" ref="F41:F43" si="57">D41-C41</f>
        <v>1.785386978</v>
      </c>
      <c r="G41" s="175">
        <f t="shared" ref="G41:G43" si="58">100-H41</f>
        <v>50.35706861</v>
      </c>
      <c r="H41" s="175">
        <f t="shared" ref="H41:H43" si="59">C41/D41*100</f>
        <v>49.64293139</v>
      </c>
      <c r="I41" s="197">
        <v>0.1918767105263158</v>
      </c>
      <c r="J41" s="178">
        <v>0.61375</v>
      </c>
      <c r="K41" s="178">
        <f t="shared" ref="K41:K43" si="60">I41+J41+C41</f>
        <v>2.565694278</v>
      </c>
      <c r="L41" s="178">
        <f t="shared" ref="L41:L43" si="61">$L$1/1.1</f>
        <v>1.363636364</v>
      </c>
      <c r="M41" s="178">
        <f t="shared" ref="M41:M43" si="62">D41+1.36</f>
        <v>4.905454545</v>
      </c>
      <c r="N41" s="178">
        <f t="shared" ref="N41:N43" si="63">E41+1.5</f>
        <v>5.4</v>
      </c>
      <c r="O41" s="178">
        <f t="shared" ref="O41:O43" si="64">M41-K41</f>
        <v>2.339760267</v>
      </c>
      <c r="P41" s="178">
        <f t="shared" ref="P41:P43" si="65">100-Q41</f>
        <v>47.69711442</v>
      </c>
      <c r="Q41" s="198">
        <f t="shared" ref="Q41:Q43" si="66">K41/M41*100</f>
        <v>52.30288558</v>
      </c>
      <c r="R41" s="198">
        <f t="shared" ref="R41:R43" si="67">P41-G41</f>
        <v>-2.659954187</v>
      </c>
      <c r="S41" s="178">
        <f t="shared" ref="S41:S43" si="68">O41-F41</f>
        <v>0.5543732895</v>
      </c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</row>
    <row r="42">
      <c r="A42" s="181" t="s">
        <v>270</v>
      </c>
      <c r="B42" s="181" t="s">
        <v>272</v>
      </c>
      <c r="C42" s="179">
        <f>'BRIOCH-SUBS'!L223</f>
        <v>2.066129568</v>
      </c>
      <c r="D42" s="179">
        <f>'BRIOCH-SUBS'!L225</f>
        <v>5.363636364</v>
      </c>
      <c r="E42" s="191">
        <f>'BRIOCH-SUBS'!L224</f>
        <v>5.9</v>
      </c>
      <c r="F42" s="158">
        <f t="shared" si="57"/>
        <v>3.297506796</v>
      </c>
      <c r="G42" s="175">
        <f t="shared" si="58"/>
        <v>61.47894027</v>
      </c>
      <c r="H42" s="175">
        <f t="shared" si="59"/>
        <v>38.52105973</v>
      </c>
      <c r="I42" s="197">
        <v>0.1918767105263158</v>
      </c>
      <c r="J42" s="178">
        <v>0.61375</v>
      </c>
      <c r="K42" s="178">
        <f t="shared" si="60"/>
        <v>2.871756278</v>
      </c>
      <c r="L42" s="178">
        <f t="shared" si="61"/>
        <v>1.363636364</v>
      </c>
      <c r="M42" s="178">
        <f t="shared" si="62"/>
        <v>6.723636364</v>
      </c>
      <c r="N42" s="178">
        <f t="shared" si="63"/>
        <v>7.4</v>
      </c>
      <c r="O42" s="178">
        <f t="shared" si="64"/>
        <v>3.851880086</v>
      </c>
      <c r="P42" s="178">
        <f t="shared" si="65"/>
        <v>57.28864378</v>
      </c>
      <c r="Q42" s="198">
        <f t="shared" si="66"/>
        <v>42.71135622</v>
      </c>
      <c r="R42" s="198">
        <f t="shared" si="67"/>
        <v>-4.190296484</v>
      </c>
      <c r="S42" s="178">
        <f t="shared" si="68"/>
        <v>0.5543732895</v>
      </c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</row>
    <row r="43">
      <c r="A43" s="181" t="s">
        <v>270</v>
      </c>
      <c r="B43" s="181" t="s">
        <v>273</v>
      </c>
      <c r="C43" s="179">
        <f>'BRIOCH-SUBS'!L241</f>
        <v>1.828322402</v>
      </c>
      <c r="D43" s="179">
        <f>'BRIOCH-SUBS'!L243</f>
        <v>6.363636364</v>
      </c>
      <c r="E43" s="191">
        <f>'BRIOCH-SUBS'!L242</f>
        <v>7</v>
      </c>
      <c r="F43" s="158">
        <f t="shared" si="57"/>
        <v>4.535313961</v>
      </c>
      <c r="G43" s="175">
        <f t="shared" si="58"/>
        <v>71.26921939</v>
      </c>
      <c r="H43" s="175">
        <f t="shared" si="59"/>
        <v>28.73078061</v>
      </c>
      <c r="I43" s="197">
        <v>0.1918767105263158</v>
      </c>
      <c r="J43" s="178">
        <v>0.61375</v>
      </c>
      <c r="K43" s="178">
        <f t="shared" si="60"/>
        <v>2.633949113</v>
      </c>
      <c r="L43" s="178">
        <f t="shared" si="61"/>
        <v>1.363636364</v>
      </c>
      <c r="M43" s="178">
        <f t="shared" si="62"/>
        <v>7.723636364</v>
      </c>
      <c r="N43" s="178">
        <f t="shared" si="63"/>
        <v>8.5</v>
      </c>
      <c r="O43" s="178">
        <f t="shared" si="64"/>
        <v>5.089687251</v>
      </c>
      <c r="P43" s="178">
        <f t="shared" si="65"/>
        <v>65.8975515</v>
      </c>
      <c r="Q43" s="198">
        <f t="shared" si="66"/>
        <v>34.1024485</v>
      </c>
      <c r="R43" s="198">
        <f t="shared" si="67"/>
        <v>-5.371667887</v>
      </c>
      <c r="S43" s="178">
        <f t="shared" si="68"/>
        <v>0.5543732895</v>
      </c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</row>
    <row r="44">
      <c r="A44" s="181"/>
      <c r="B44" s="181"/>
      <c r="C44" s="171"/>
      <c r="D44" s="171"/>
      <c r="E44" s="171"/>
      <c r="F44" s="158"/>
      <c r="G44" s="171"/>
      <c r="H44" s="175"/>
      <c r="I44" s="197"/>
      <c r="J44" s="178"/>
      <c r="K44" s="178"/>
      <c r="L44" s="178"/>
      <c r="M44" s="178"/>
      <c r="N44" s="178"/>
      <c r="O44" s="178"/>
      <c r="P44" s="171"/>
      <c r="Q44" s="198"/>
      <c r="R44" s="198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</row>
    <row r="45">
      <c r="A45" s="171" t="s">
        <v>258</v>
      </c>
      <c r="B45" s="188" t="s">
        <v>259</v>
      </c>
      <c r="C45" s="179">
        <f>ENTRANTES!L34</f>
        <v>2.424206711</v>
      </c>
      <c r="D45" s="179">
        <f>ENTRANTES!L36</f>
        <v>5.454545455</v>
      </c>
      <c r="E45" s="176">
        <f t="shared" ref="E45:E50" si="69">D45*1.1</f>
        <v>6</v>
      </c>
      <c r="F45" s="158">
        <f t="shared" ref="F45:F50" si="70">D45-C45</f>
        <v>3.030338744</v>
      </c>
      <c r="G45" s="175">
        <f t="shared" ref="G45:G50" si="71">100-H45</f>
        <v>55.55621031</v>
      </c>
      <c r="H45" s="175">
        <f t="shared" ref="H45:H50" si="72">C45/D45*100</f>
        <v>44.44378969</v>
      </c>
      <c r="I45" s="197"/>
      <c r="J45" s="178"/>
      <c r="K45" s="178"/>
      <c r="L45" s="178"/>
      <c r="M45" s="178"/>
      <c r="N45" s="178"/>
      <c r="O45" s="178"/>
      <c r="P45" s="171"/>
      <c r="Q45" s="198"/>
      <c r="R45" s="198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</row>
    <row r="46">
      <c r="A46" s="171" t="s">
        <v>258</v>
      </c>
      <c r="B46" s="188" t="s">
        <v>260</v>
      </c>
      <c r="C46" s="179">
        <f>ENTRANTES!L90</f>
        <v>1.558906711</v>
      </c>
      <c r="D46" s="179">
        <f>ENTRANTES!L92</f>
        <v>5.454545455</v>
      </c>
      <c r="E46" s="176">
        <f t="shared" si="69"/>
        <v>6</v>
      </c>
      <c r="F46" s="158">
        <f t="shared" si="70"/>
        <v>3.895638744</v>
      </c>
      <c r="G46" s="175">
        <f t="shared" si="71"/>
        <v>71.42004364</v>
      </c>
      <c r="H46" s="175">
        <f t="shared" si="72"/>
        <v>28.57995636</v>
      </c>
      <c r="I46" s="197"/>
      <c r="J46" s="178"/>
      <c r="K46" s="178"/>
      <c r="L46" s="178"/>
      <c r="M46" s="178"/>
      <c r="N46" s="178"/>
      <c r="O46" s="178"/>
      <c r="P46" s="171"/>
      <c r="Q46" s="198"/>
      <c r="R46" s="198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</row>
    <row r="47">
      <c r="A47" s="171" t="s">
        <v>258</v>
      </c>
      <c r="B47" s="188" t="s">
        <v>261</v>
      </c>
      <c r="C47" s="179">
        <f>ENTRANTES!L6</f>
        <v>1.832506711</v>
      </c>
      <c r="D47" s="179">
        <f>ENTRANTES!L8</f>
        <v>5.454545455</v>
      </c>
      <c r="E47" s="176">
        <f t="shared" si="69"/>
        <v>6</v>
      </c>
      <c r="F47" s="158">
        <f t="shared" si="70"/>
        <v>3.622038744</v>
      </c>
      <c r="G47" s="175">
        <f t="shared" si="71"/>
        <v>66.40404364</v>
      </c>
      <c r="H47" s="175">
        <f t="shared" si="72"/>
        <v>33.59595636</v>
      </c>
      <c r="I47" s="197"/>
      <c r="J47" s="178"/>
      <c r="K47" s="178"/>
      <c r="L47" s="178"/>
      <c r="M47" s="178"/>
      <c r="N47" s="178"/>
      <c r="O47" s="178"/>
      <c r="P47" s="171"/>
      <c r="Q47" s="198"/>
      <c r="R47" s="198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</row>
    <row r="48">
      <c r="A48" s="171" t="s">
        <v>258</v>
      </c>
      <c r="B48" s="188" t="s">
        <v>262</v>
      </c>
      <c r="C48" s="179">
        <f>ENTRANTES!L118</f>
        <v>0.9166334211</v>
      </c>
      <c r="D48" s="179">
        <f>ENTRANTES!L120</f>
        <v>4.545454545</v>
      </c>
      <c r="E48" s="176">
        <f t="shared" si="69"/>
        <v>5</v>
      </c>
      <c r="F48" s="158">
        <f t="shared" si="70"/>
        <v>3.628821124</v>
      </c>
      <c r="G48" s="175">
        <f t="shared" si="71"/>
        <v>79.83406474</v>
      </c>
      <c r="H48" s="175">
        <f t="shared" si="72"/>
        <v>20.16593526</v>
      </c>
      <c r="I48" s="197"/>
      <c r="J48" s="178"/>
      <c r="K48" s="178"/>
      <c r="L48" s="178"/>
      <c r="M48" s="178"/>
      <c r="N48" s="178"/>
      <c r="O48" s="178"/>
      <c r="P48" s="171"/>
      <c r="Q48" s="198"/>
      <c r="R48" s="198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</row>
    <row r="49">
      <c r="A49" s="171" t="s">
        <v>258</v>
      </c>
      <c r="B49" s="188" t="s">
        <v>263</v>
      </c>
      <c r="C49" s="179">
        <f>ENTRANTES!L174</f>
        <v>1.376122117</v>
      </c>
      <c r="D49" s="179">
        <f>ENTRANTES!L176</f>
        <v>6.363636364</v>
      </c>
      <c r="E49" s="176">
        <f t="shared" si="69"/>
        <v>7</v>
      </c>
      <c r="F49" s="158">
        <f t="shared" si="70"/>
        <v>4.987514247</v>
      </c>
      <c r="G49" s="175">
        <f t="shared" si="71"/>
        <v>78.37522387</v>
      </c>
      <c r="H49" s="175">
        <f t="shared" si="72"/>
        <v>21.62477613</v>
      </c>
      <c r="I49" s="197"/>
      <c r="J49" s="178"/>
      <c r="K49" s="178"/>
      <c r="L49" s="178"/>
      <c r="M49" s="178"/>
      <c r="N49" s="178"/>
      <c r="O49" s="178"/>
      <c r="P49" s="171"/>
      <c r="Q49" s="198"/>
      <c r="R49" s="198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</row>
    <row r="50">
      <c r="A50" s="171" t="s">
        <v>258</v>
      </c>
      <c r="B50" s="188" t="s">
        <v>264</v>
      </c>
      <c r="C50" s="179">
        <f>ENTRANTES!L146</f>
        <v>0.2640416667</v>
      </c>
      <c r="D50" s="179">
        <f>ENTRANTES!L148</f>
        <v>1.818181818</v>
      </c>
      <c r="E50" s="176">
        <f t="shared" si="69"/>
        <v>2</v>
      </c>
      <c r="F50" s="158">
        <f t="shared" si="70"/>
        <v>1.554140152</v>
      </c>
      <c r="G50" s="175">
        <f t="shared" si="71"/>
        <v>85.47770833</v>
      </c>
      <c r="H50" s="175">
        <f t="shared" si="72"/>
        <v>14.52229167</v>
      </c>
      <c r="I50" s="197"/>
      <c r="J50" s="178"/>
      <c r="K50" s="178"/>
      <c r="L50" s="178"/>
      <c r="M50" s="178"/>
      <c r="N50" s="178"/>
      <c r="O50" s="178"/>
      <c r="P50" s="171"/>
      <c r="Q50" s="198"/>
      <c r="R50" s="198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</row>
    <row r="51">
      <c r="A51" s="171" t="s">
        <v>258</v>
      </c>
      <c r="B51" s="181" t="s">
        <v>265</v>
      </c>
      <c r="C51" s="171"/>
      <c r="D51" s="171"/>
      <c r="E51" s="171"/>
      <c r="F51" s="171"/>
      <c r="G51" s="171"/>
      <c r="H51" s="171"/>
      <c r="I51" s="197"/>
      <c r="J51" s="178"/>
      <c r="K51" s="178"/>
      <c r="L51" s="178"/>
      <c r="M51" s="178"/>
      <c r="N51" s="178"/>
      <c r="O51" s="178"/>
      <c r="P51" s="171"/>
      <c r="Q51" s="198"/>
      <c r="R51" s="198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</row>
    <row r="52">
      <c r="A52" s="171"/>
      <c r="B52" s="171"/>
      <c r="C52" s="171"/>
      <c r="D52" s="171"/>
      <c r="E52" s="171"/>
      <c r="F52" s="171"/>
      <c r="G52" s="171"/>
      <c r="H52" s="171"/>
      <c r="I52" s="197"/>
      <c r="J52" s="178"/>
      <c r="K52" s="178"/>
      <c r="L52" s="178"/>
      <c r="M52" s="178"/>
      <c r="N52" s="178"/>
      <c r="O52" s="178"/>
      <c r="P52" s="171"/>
      <c r="Q52" s="198"/>
      <c r="R52" s="198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</row>
    <row r="53">
      <c r="A53" s="171"/>
      <c r="B53" s="171"/>
      <c r="C53" s="171"/>
      <c r="D53" s="171"/>
      <c r="E53" s="171"/>
      <c r="F53" s="171"/>
      <c r="G53" s="171"/>
      <c r="H53" s="171"/>
      <c r="I53" s="197"/>
      <c r="J53" s="178"/>
      <c r="K53" s="178"/>
      <c r="L53" s="178"/>
      <c r="M53" s="178"/>
      <c r="N53" s="178"/>
      <c r="O53" s="178"/>
      <c r="P53" s="171"/>
      <c r="Q53" s="198"/>
      <c r="R53" s="198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</row>
    <row r="54">
      <c r="A54" s="181" t="s">
        <v>266</v>
      </c>
      <c r="B54" s="181" t="s">
        <v>267</v>
      </c>
      <c r="C54" s="179">
        <f>POSTRES!L50</f>
        <v>1.43</v>
      </c>
      <c r="D54" s="179">
        <f>POSTRES!L52</f>
        <v>5.454545455</v>
      </c>
      <c r="E54" s="176">
        <f t="shared" ref="E54:E56" si="73">D54*1.1</f>
        <v>6</v>
      </c>
      <c r="F54" s="158">
        <f t="shared" ref="F54:F56" si="74">D54-C54</f>
        <v>4.024545455</v>
      </c>
      <c r="G54" s="175">
        <f t="shared" ref="G54:G56" si="75">100-H54</f>
        <v>73.78333333</v>
      </c>
      <c r="H54" s="175">
        <f t="shared" ref="H54:H56" si="76">C54/D54*100</f>
        <v>26.21666667</v>
      </c>
      <c r="I54" s="197"/>
      <c r="J54" s="178"/>
      <c r="K54" s="178"/>
      <c r="L54" s="178"/>
      <c r="M54" s="178"/>
      <c r="N54" s="178"/>
      <c r="O54" s="178"/>
      <c r="P54" s="171"/>
      <c r="Q54" s="198"/>
      <c r="R54" s="198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</row>
    <row r="55">
      <c r="A55" s="181" t="s">
        <v>266</v>
      </c>
      <c r="B55" s="181" t="s">
        <v>268</v>
      </c>
      <c r="C55" s="179">
        <f>POSTRES!L6</f>
        <v>4.3</v>
      </c>
      <c r="D55" s="179">
        <f>POSTRES!L8</f>
        <v>5.454545455</v>
      </c>
      <c r="E55" s="176">
        <f t="shared" si="73"/>
        <v>6</v>
      </c>
      <c r="F55" s="158">
        <f t="shared" si="74"/>
        <v>1.154545455</v>
      </c>
      <c r="G55" s="175">
        <f t="shared" si="75"/>
        <v>21.16666667</v>
      </c>
      <c r="H55" s="175">
        <f t="shared" si="76"/>
        <v>78.83333333</v>
      </c>
      <c r="I55" s="197"/>
      <c r="J55" s="178"/>
      <c r="K55" s="178"/>
      <c r="L55" s="178"/>
      <c r="M55" s="178"/>
      <c r="N55" s="178"/>
      <c r="O55" s="178"/>
      <c r="P55" s="171"/>
      <c r="Q55" s="198"/>
      <c r="R55" s="198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</row>
    <row r="56">
      <c r="A56" s="181" t="s">
        <v>266</v>
      </c>
      <c r="B56" s="181" t="s">
        <v>269</v>
      </c>
      <c r="C56" s="179">
        <f>POSTRES!L28</f>
        <v>4.3</v>
      </c>
      <c r="D56" s="179">
        <f>POSTRES!L30</f>
        <v>5.909090909</v>
      </c>
      <c r="E56" s="176">
        <f t="shared" si="73"/>
        <v>6.5</v>
      </c>
      <c r="F56" s="158">
        <f t="shared" si="74"/>
        <v>1.609090909</v>
      </c>
      <c r="G56" s="175">
        <f t="shared" si="75"/>
        <v>27.23076923</v>
      </c>
      <c r="H56" s="175">
        <f t="shared" si="76"/>
        <v>72.76923077</v>
      </c>
      <c r="I56" s="197"/>
      <c r="J56" s="178"/>
      <c r="K56" s="178"/>
      <c r="L56" s="178"/>
      <c r="M56" s="178"/>
      <c r="N56" s="178"/>
      <c r="O56" s="178"/>
      <c r="P56" s="171"/>
      <c r="Q56" s="198"/>
      <c r="R56" s="198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</row>
    <row r="57">
      <c r="A57" s="171"/>
      <c r="B57" s="171"/>
      <c r="C57" s="171"/>
      <c r="D57" s="171"/>
      <c r="E57" s="171"/>
      <c r="F57" s="171"/>
      <c r="G57" s="171"/>
      <c r="H57" s="171"/>
      <c r="I57" s="197"/>
      <c r="J57" s="178"/>
      <c r="K57" s="178"/>
      <c r="L57" s="178"/>
      <c r="M57" s="178"/>
      <c r="N57" s="178"/>
      <c r="O57" s="178"/>
      <c r="P57" s="171"/>
      <c r="Q57" s="198"/>
      <c r="R57" s="198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</row>
    <row r="58">
      <c r="A58" s="171"/>
      <c r="B58" s="171"/>
      <c r="C58" s="171"/>
      <c r="D58" s="171"/>
      <c r="E58" s="171"/>
      <c r="F58" s="171"/>
      <c r="G58" s="171"/>
      <c r="H58" s="171"/>
      <c r="I58" s="197"/>
      <c r="J58" s="178"/>
      <c r="K58" s="178"/>
      <c r="L58" s="178"/>
      <c r="M58" s="178"/>
      <c r="N58" s="178"/>
      <c r="O58" s="178"/>
      <c r="P58" s="171"/>
      <c r="Q58" s="198"/>
      <c r="R58" s="198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</row>
    <row r="59">
      <c r="A59" s="171"/>
      <c r="B59" s="171"/>
      <c r="C59" s="171"/>
      <c r="D59" s="171"/>
      <c r="E59" s="171"/>
      <c r="F59" s="171"/>
      <c r="G59" s="171"/>
      <c r="H59" s="171"/>
      <c r="I59" s="197"/>
      <c r="J59" s="178"/>
      <c r="K59" s="178"/>
      <c r="L59" s="178"/>
      <c r="M59" s="178"/>
      <c r="N59" s="178"/>
      <c r="O59" s="178"/>
      <c r="P59" s="171"/>
      <c r="Q59" s="198"/>
      <c r="R59" s="198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</row>
    <row r="60">
      <c r="A60" s="181" t="s">
        <v>274</v>
      </c>
      <c r="B60" s="181" t="s">
        <v>124</v>
      </c>
      <c r="C60" s="183">
        <v>0.7279166666666667</v>
      </c>
      <c r="D60" s="192">
        <f t="shared" ref="D60:D68" si="77">E60/1.1</f>
        <v>1.454545455</v>
      </c>
      <c r="E60" s="193">
        <v>1.6</v>
      </c>
      <c r="F60" s="158">
        <f t="shared" ref="F60:F68" si="78">D60-C60</f>
        <v>0.7266287879</v>
      </c>
      <c r="G60" s="175">
        <f t="shared" ref="G60:G68" si="79">100-H60</f>
        <v>49.95572917</v>
      </c>
      <c r="H60" s="175">
        <f t="shared" ref="H60:H68" si="80">C60/D60*100</f>
        <v>50.04427083</v>
      </c>
      <c r="I60" s="197"/>
      <c r="J60" s="178"/>
      <c r="K60" s="178"/>
      <c r="L60" s="178"/>
      <c r="M60" s="178"/>
      <c r="N60" s="178"/>
      <c r="O60" s="178"/>
      <c r="P60" s="171"/>
      <c r="Q60" s="198"/>
      <c r="R60" s="198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</row>
    <row r="61">
      <c r="A61" s="181" t="s">
        <v>274</v>
      </c>
      <c r="B61" s="181" t="s">
        <v>125</v>
      </c>
      <c r="C61" s="183">
        <v>0.7279166666666667</v>
      </c>
      <c r="D61" s="192">
        <f t="shared" si="77"/>
        <v>1.454545455</v>
      </c>
      <c r="E61" s="193">
        <v>1.6</v>
      </c>
      <c r="F61" s="158">
        <f t="shared" si="78"/>
        <v>0.7266287879</v>
      </c>
      <c r="G61" s="175">
        <f t="shared" si="79"/>
        <v>49.95572917</v>
      </c>
      <c r="H61" s="175">
        <f t="shared" si="80"/>
        <v>50.04427083</v>
      </c>
      <c r="I61" s="197"/>
      <c r="J61" s="178"/>
      <c r="K61" s="178"/>
      <c r="L61" s="178"/>
      <c r="M61" s="178"/>
      <c r="N61" s="178"/>
      <c r="O61" s="178"/>
      <c r="P61" s="171"/>
      <c r="Q61" s="198"/>
      <c r="R61" s="198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</row>
    <row r="62">
      <c r="A62" s="181" t="s">
        <v>274</v>
      </c>
      <c r="B62" s="181" t="s">
        <v>126</v>
      </c>
      <c r="C62" s="183">
        <v>0.61375</v>
      </c>
      <c r="D62" s="192">
        <f t="shared" si="77"/>
        <v>1.363636364</v>
      </c>
      <c r="E62" s="193">
        <v>1.5</v>
      </c>
      <c r="F62" s="158">
        <f t="shared" si="78"/>
        <v>0.7498863636</v>
      </c>
      <c r="G62" s="175">
        <f t="shared" si="79"/>
        <v>54.99166667</v>
      </c>
      <c r="H62" s="175">
        <f t="shared" si="80"/>
        <v>45.00833333</v>
      </c>
      <c r="I62" s="197"/>
      <c r="J62" s="178"/>
      <c r="K62" s="178"/>
      <c r="L62" s="178"/>
      <c r="M62" s="178"/>
      <c r="N62" s="178"/>
      <c r="O62" s="178"/>
      <c r="P62" s="171"/>
      <c r="Q62" s="198"/>
      <c r="R62" s="198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</row>
    <row r="63">
      <c r="A63" s="181" t="s">
        <v>274</v>
      </c>
      <c r="B63" s="181" t="s">
        <v>127</v>
      </c>
      <c r="C63" s="183">
        <v>0.61375</v>
      </c>
      <c r="D63" s="192">
        <f t="shared" si="77"/>
        <v>1.363636364</v>
      </c>
      <c r="E63" s="193">
        <v>1.5</v>
      </c>
      <c r="F63" s="158">
        <f t="shared" si="78"/>
        <v>0.7498863636</v>
      </c>
      <c r="G63" s="175">
        <f t="shared" si="79"/>
        <v>54.99166667</v>
      </c>
      <c r="H63" s="175">
        <f t="shared" si="80"/>
        <v>45.00833333</v>
      </c>
      <c r="I63" s="197"/>
      <c r="J63" s="178"/>
      <c r="K63" s="178"/>
      <c r="L63" s="178"/>
      <c r="M63" s="178"/>
      <c r="N63" s="178"/>
      <c r="O63" s="178"/>
      <c r="P63" s="171"/>
      <c r="Q63" s="198"/>
      <c r="R63" s="198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</row>
    <row r="64">
      <c r="A64" s="181" t="s">
        <v>274</v>
      </c>
      <c r="B64" s="181" t="s">
        <v>128</v>
      </c>
      <c r="C64" s="183">
        <v>0.61375</v>
      </c>
      <c r="D64" s="192">
        <f t="shared" si="77"/>
        <v>1.363636364</v>
      </c>
      <c r="E64" s="193">
        <v>1.5</v>
      </c>
      <c r="F64" s="158">
        <f t="shared" si="78"/>
        <v>0.7498863636</v>
      </c>
      <c r="G64" s="175">
        <f t="shared" si="79"/>
        <v>54.99166667</v>
      </c>
      <c r="H64" s="175">
        <f t="shared" si="80"/>
        <v>45.00833333</v>
      </c>
      <c r="I64" s="197"/>
      <c r="J64" s="178"/>
      <c r="K64" s="178"/>
      <c r="L64" s="178"/>
      <c r="M64" s="178"/>
      <c r="N64" s="178"/>
      <c r="O64" s="178"/>
      <c r="P64" s="171"/>
      <c r="Q64" s="198"/>
      <c r="R64" s="198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</row>
    <row r="65">
      <c r="A65" s="181" t="s">
        <v>274</v>
      </c>
      <c r="B65" s="181" t="s">
        <v>129</v>
      </c>
      <c r="C65" s="183">
        <v>0.5266666666666667</v>
      </c>
      <c r="D65" s="192">
        <f t="shared" si="77"/>
        <v>1.363636364</v>
      </c>
      <c r="E65" s="193">
        <v>1.5</v>
      </c>
      <c r="F65" s="158">
        <f t="shared" si="78"/>
        <v>0.836969697</v>
      </c>
      <c r="G65" s="175">
        <f t="shared" si="79"/>
        <v>61.37777778</v>
      </c>
      <c r="H65" s="175">
        <f t="shared" si="80"/>
        <v>38.62222222</v>
      </c>
      <c r="I65" s="197"/>
      <c r="J65" s="178"/>
      <c r="K65" s="178"/>
      <c r="L65" s="178"/>
      <c r="M65" s="178"/>
      <c r="N65" s="178"/>
      <c r="O65" s="178"/>
      <c r="P65" s="171"/>
      <c r="Q65" s="198"/>
      <c r="R65" s="198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</row>
    <row r="66">
      <c r="A66" s="181" t="s">
        <v>274</v>
      </c>
      <c r="B66" s="181" t="s">
        <v>130</v>
      </c>
      <c r="C66" s="183">
        <v>0.5266666666666667</v>
      </c>
      <c r="D66" s="192">
        <f t="shared" si="77"/>
        <v>1.363636364</v>
      </c>
      <c r="E66" s="193">
        <v>1.5</v>
      </c>
      <c r="F66" s="158">
        <f t="shared" si="78"/>
        <v>0.836969697</v>
      </c>
      <c r="G66" s="175">
        <f t="shared" si="79"/>
        <v>61.37777778</v>
      </c>
      <c r="H66" s="175">
        <f t="shared" si="80"/>
        <v>38.62222222</v>
      </c>
      <c r="I66" s="197"/>
      <c r="J66" s="178"/>
      <c r="K66" s="178"/>
      <c r="L66" s="178"/>
      <c r="M66" s="178"/>
      <c r="N66" s="178"/>
      <c r="O66" s="178"/>
      <c r="P66" s="171"/>
      <c r="Q66" s="198"/>
      <c r="R66" s="198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</row>
    <row r="67">
      <c r="A67" s="181" t="s">
        <v>274</v>
      </c>
      <c r="B67" s="181" t="s">
        <v>131</v>
      </c>
      <c r="C67" s="183">
        <v>0.635</v>
      </c>
      <c r="D67" s="192">
        <f t="shared" si="77"/>
        <v>1.454545455</v>
      </c>
      <c r="E67" s="193">
        <v>1.6</v>
      </c>
      <c r="F67" s="158">
        <f t="shared" si="78"/>
        <v>0.8195454545</v>
      </c>
      <c r="G67" s="175">
        <f t="shared" si="79"/>
        <v>56.34375</v>
      </c>
      <c r="H67" s="175">
        <f t="shared" si="80"/>
        <v>43.65625</v>
      </c>
      <c r="I67" s="197"/>
      <c r="J67" s="178"/>
      <c r="K67" s="178"/>
      <c r="L67" s="178"/>
      <c r="M67" s="178"/>
      <c r="N67" s="178"/>
      <c r="O67" s="178"/>
      <c r="P67" s="171"/>
      <c r="Q67" s="198"/>
      <c r="R67" s="198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</row>
    <row r="68">
      <c r="A68" s="181" t="s">
        <v>274</v>
      </c>
      <c r="B68" s="181" t="s">
        <v>132</v>
      </c>
      <c r="C68" s="183">
        <v>0.635</v>
      </c>
      <c r="D68" s="192">
        <f t="shared" si="77"/>
        <v>1.454545455</v>
      </c>
      <c r="E68" s="193">
        <v>1.6</v>
      </c>
      <c r="F68" s="158">
        <f t="shared" si="78"/>
        <v>0.8195454545</v>
      </c>
      <c r="G68" s="175">
        <f t="shared" si="79"/>
        <v>56.34375</v>
      </c>
      <c r="H68" s="175">
        <f t="shared" si="80"/>
        <v>43.65625</v>
      </c>
      <c r="I68" s="197"/>
      <c r="J68" s="178"/>
      <c r="K68" s="178"/>
      <c r="L68" s="178"/>
      <c r="M68" s="178"/>
      <c r="N68" s="178"/>
      <c r="O68" s="178"/>
      <c r="P68" s="171"/>
      <c r="Q68" s="198"/>
      <c r="R68" s="198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</row>
    <row r="69">
      <c r="A69" s="171"/>
      <c r="B69" s="171"/>
      <c r="C69" s="179"/>
      <c r="D69" s="171"/>
      <c r="E69" s="171"/>
      <c r="F69" s="171"/>
      <c r="G69" s="171"/>
      <c r="H69" s="171"/>
      <c r="I69" s="197"/>
      <c r="J69" s="178"/>
      <c r="K69" s="178"/>
      <c r="L69" s="178"/>
      <c r="M69" s="178"/>
      <c r="N69" s="178"/>
      <c r="O69" s="178"/>
      <c r="P69" s="171"/>
      <c r="Q69" s="198"/>
      <c r="R69" s="198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</row>
    <row r="70">
      <c r="A70" s="171"/>
      <c r="B70" s="171"/>
      <c r="C70" s="171"/>
      <c r="D70" s="171"/>
      <c r="E70" s="171"/>
      <c r="F70" s="171"/>
      <c r="G70" s="171"/>
      <c r="H70" s="171"/>
      <c r="I70" s="197"/>
      <c r="J70" s="178"/>
      <c r="K70" s="178"/>
      <c r="L70" s="178"/>
      <c r="M70" s="178"/>
      <c r="N70" s="178"/>
      <c r="O70" s="178"/>
      <c r="P70" s="171"/>
      <c r="Q70" s="198"/>
      <c r="R70" s="198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</row>
    <row r="71">
      <c r="A71" s="181" t="s">
        <v>275</v>
      </c>
      <c r="B71" s="162" t="s">
        <v>201</v>
      </c>
      <c r="C71" s="183">
        <f>'TARROS SALSA'!L6</f>
        <v>0.1918767105</v>
      </c>
      <c r="D71" s="192">
        <f>'TARROS SALSA'!L8</f>
        <v>0.4545454545</v>
      </c>
      <c r="E71" s="193">
        <f>'TARROS SALSA'!L7</f>
        <v>0.5</v>
      </c>
      <c r="F71" s="158">
        <f t="shared" ref="F71:F81" si="81">D71-C71</f>
        <v>0.262668744</v>
      </c>
      <c r="G71" s="175">
        <f t="shared" ref="G71:G81" si="82">100-H71</f>
        <v>57.78712368</v>
      </c>
      <c r="H71" s="175">
        <f t="shared" ref="H71:H81" si="83">C71/D71*100</f>
        <v>42.21287632</v>
      </c>
      <c r="I71" s="197"/>
      <c r="J71" s="178"/>
      <c r="K71" s="178"/>
      <c r="L71" s="178"/>
      <c r="M71" s="178"/>
      <c r="N71" s="178"/>
      <c r="O71" s="178"/>
      <c r="P71" s="171"/>
      <c r="Q71" s="198"/>
      <c r="R71" s="198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</row>
    <row r="72">
      <c r="A72" s="181" t="s">
        <v>275</v>
      </c>
      <c r="B72" s="162" t="s">
        <v>202</v>
      </c>
      <c r="C72" s="183">
        <f>'TARROS SALSA'!L17</f>
        <v>0.13715</v>
      </c>
      <c r="D72" s="192">
        <f>'TARROS SALSA'!L19</f>
        <v>0.4545454545</v>
      </c>
      <c r="E72" s="193">
        <f>'TARROS SALSA'!L18</f>
        <v>0.5</v>
      </c>
      <c r="F72" s="158">
        <f t="shared" si="81"/>
        <v>0.3173954545</v>
      </c>
      <c r="G72" s="175">
        <f t="shared" si="82"/>
        <v>69.827</v>
      </c>
      <c r="H72" s="175">
        <f t="shared" si="83"/>
        <v>30.173</v>
      </c>
      <c r="I72" s="197"/>
      <c r="J72" s="178"/>
      <c r="K72" s="178"/>
      <c r="L72" s="178"/>
      <c r="M72" s="178"/>
      <c r="N72" s="178"/>
      <c r="O72" s="178"/>
      <c r="P72" s="171"/>
      <c r="Q72" s="198"/>
      <c r="R72" s="198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</row>
    <row r="73">
      <c r="A73" s="181" t="s">
        <v>275</v>
      </c>
      <c r="B73" s="162" t="s">
        <v>203</v>
      </c>
      <c r="C73" s="183">
        <f>'TARROS SALSA'!L37</f>
        <v>0.1044052569</v>
      </c>
      <c r="D73" s="192">
        <f>'TARROS SALSA'!L39</f>
        <v>0.4545454545</v>
      </c>
      <c r="E73" s="193">
        <f t="shared" ref="E73:E81" si="84">D73*1.1</f>
        <v>0.5</v>
      </c>
      <c r="F73" s="158">
        <f t="shared" si="81"/>
        <v>0.3501401977</v>
      </c>
      <c r="G73" s="175">
        <f t="shared" si="82"/>
        <v>77.03084349</v>
      </c>
      <c r="H73" s="175">
        <f t="shared" si="83"/>
        <v>22.96915651</v>
      </c>
      <c r="I73" s="197"/>
      <c r="J73" s="178"/>
      <c r="K73" s="178"/>
      <c r="L73" s="178"/>
      <c r="M73" s="178"/>
      <c r="N73" s="178"/>
      <c r="O73" s="178"/>
      <c r="P73" s="171"/>
      <c r="Q73" s="198"/>
      <c r="R73" s="198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</row>
    <row r="74">
      <c r="A74" s="181" t="s">
        <v>275</v>
      </c>
      <c r="B74" s="162" t="s">
        <v>210</v>
      </c>
      <c r="C74" s="183">
        <f>'TARROS SALSA'!L95</f>
        <v>0.1500689189</v>
      </c>
      <c r="D74" s="192">
        <f>'TARROS SALSA'!L97</f>
        <v>0.4545454545</v>
      </c>
      <c r="E74" s="193">
        <f t="shared" si="84"/>
        <v>0.5</v>
      </c>
      <c r="F74" s="158">
        <f t="shared" si="81"/>
        <v>0.3044765356</v>
      </c>
      <c r="G74" s="175">
        <f t="shared" si="82"/>
        <v>66.98483784</v>
      </c>
      <c r="H74" s="175">
        <f t="shared" si="83"/>
        <v>33.01516216</v>
      </c>
      <c r="I74" s="197"/>
      <c r="J74" s="178"/>
      <c r="K74" s="178"/>
      <c r="L74" s="178"/>
      <c r="M74" s="178"/>
      <c r="N74" s="178"/>
      <c r="O74" s="178"/>
      <c r="P74" s="171"/>
      <c r="Q74" s="198"/>
      <c r="R74" s="198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</row>
    <row r="75">
      <c r="A75" s="181" t="s">
        <v>275</v>
      </c>
      <c r="B75" s="162" t="s">
        <v>207</v>
      </c>
      <c r="C75" s="183">
        <f>'TARROS SALSA'!L56</f>
        <v>0.1849337838</v>
      </c>
      <c r="D75" s="192">
        <f>'TARROS SALSA'!L58</f>
        <v>0.4545454545</v>
      </c>
      <c r="E75" s="193">
        <f t="shared" si="84"/>
        <v>0.5</v>
      </c>
      <c r="F75" s="158">
        <f t="shared" si="81"/>
        <v>0.2696116708</v>
      </c>
      <c r="G75" s="175">
        <f t="shared" si="82"/>
        <v>59.31456757</v>
      </c>
      <c r="H75" s="175">
        <f t="shared" si="83"/>
        <v>40.68543243</v>
      </c>
      <c r="I75" s="197"/>
      <c r="J75" s="178"/>
      <c r="K75" s="178"/>
      <c r="L75" s="178"/>
      <c r="M75" s="178"/>
      <c r="N75" s="178"/>
      <c r="O75" s="178"/>
      <c r="P75" s="171"/>
      <c r="Q75" s="198"/>
      <c r="R75" s="198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</row>
    <row r="76">
      <c r="A76" s="181" t="s">
        <v>275</v>
      </c>
      <c r="B76" s="162" t="s">
        <v>204</v>
      </c>
      <c r="C76" s="183">
        <f>'TARROS SALSA'!L27</f>
        <v>0.1817008511</v>
      </c>
      <c r="D76" s="192">
        <f>'TARROS SALSA'!L29</f>
        <v>0.4545454545</v>
      </c>
      <c r="E76" s="193">
        <f t="shared" si="84"/>
        <v>0.5</v>
      </c>
      <c r="F76" s="158">
        <f t="shared" si="81"/>
        <v>0.2728446035</v>
      </c>
      <c r="G76" s="175">
        <f t="shared" si="82"/>
        <v>60.02581276</v>
      </c>
      <c r="H76" s="175">
        <f t="shared" si="83"/>
        <v>39.97418724</v>
      </c>
      <c r="I76" s="197"/>
      <c r="J76" s="178"/>
      <c r="K76" s="178"/>
      <c r="L76" s="178"/>
      <c r="M76" s="178"/>
      <c r="N76" s="178"/>
      <c r="O76" s="178"/>
      <c r="P76" s="171"/>
      <c r="Q76" s="198"/>
      <c r="R76" s="198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</row>
    <row r="77">
      <c r="A77" s="181" t="s">
        <v>275</v>
      </c>
      <c r="B77" s="162" t="s">
        <v>205</v>
      </c>
      <c r="C77" s="183">
        <f>'TARROS SALSA'!L66</f>
        <v>0.251575</v>
      </c>
      <c r="D77" s="192">
        <f>'TARROS SALSA'!L68</f>
        <v>0.9090909091</v>
      </c>
      <c r="E77" s="193">
        <f t="shared" si="84"/>
        <v>1</v>
      </c>
      <c r="F77" s="158">
        <f t="shared" si="81"/>
        <v>0.6575159091</v>
      </c>
      <c r="G77" s="175">
        <f t="shared" si="82"/>
        <v>72.32675</v>
      </c>
      <c r="H77" s="175">
        <f t="shared" si="83"/>
        <v>27.67325</v>
      </c>
      <c r="I77" s="197"/>
      <c r="J77" s="178"/>
      <c r="K77" s="178"/>
      <c r="L77" s="178"/>
      <c r="M77" s="178"/>
      <c r="N77" s="178"/>
      <c r="O77" s="178"/>
      <c r="P77" s="171"/>
      <c r="Q77" s="198"/>
      <c r="R77" s="198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</row>
    <row r="78">
      <c r="A78" s="181" t="s">
        <v>275</v>
      </c>
      <c r="B78" s="162" t="s">
        <v>206</v>
      </c>
      <c r="C78" s="183">
        <f>'TARROS SALSA'!L85</f>
        <v>0.1611167511</v>
      </c>
      <c r="D78" s="192">
        <f>'TARROS SALSA'!L87</f>
        <v>1.090909091</v>
      </c>
      <c r="E78" s="193">
        <f t="shared" si="84"/>
        <v>1.2</v>
      </c>
      <c r="F78" s="158">
        <f t="shared" si="81"/>
        <v>0.9297923398</v>
      </c>
      <c r="G78" s="175">
        <f t="shared" si="82"/>
        <v>85.23096448</v>
      </c>
      <c r="H78" s="175">
        <f t="shared" si="83"/>
        <v>14.76903552</v>
      </c>
      <c r="I78" s="197"/>
      <c r="J78" s="178"/>
      <c r="K78" s="178"/>
      <c r="L78" s="178"/>
      <c r="M78" s="178"/>
      <c r="N78" s="178"/>
      <c r="O78" s="178"/>
      <c r="P78" s="171"/>
      <c r="Q78" s="198"/>
      <c r="R78" s="198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</row>
    <row r="79">
      <c r="A79" s="181" t="s">
        <v>275</v>
      </c>
      <c r="B79" s="162" t="s">
        <v>209</v>
      </c>
      <c r="C79" s="183">
        <f>'TARROS SALSA'!L75</f>
        <v>0.126628677</v>
      </c>
      <c r="D79" s="192">
        <f>'TARROS SALSA'!L77</f>
        <v>1.090909091</v>
      </c>
      <c r="E79" s="193">
        <f t="shared" si="84"/>
        <v>1.2</v>
      </c>
      <c r="F79" s="158">
        <f t="shared" si="81"/>
        <v>0.9642804139</v>
      </c>
      <c r="G79" s="175">
        <f t="shared" si="82"/>
        <v>88.39237127</v>
      </c>
      <c r="H79" s="175">
        <f t="shared" si="83"/>
        <v>11.60762873</v>
      </c>
      <c r="I79" s="197"/>
      <c r="J79" s="178"/>
      <c r="K79" s="178"/>
      <c r="L79" s="178"/>
      <c r="M79" s="178"/>
      <c r="N79" s="178"/>
      <c r="O79" s="178"/>
      <c r="P79" s="171"/>
      <c r="Q79" s="198"/>
      <c r="R79" s="198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</row>
    <row r="80">
      <c r="A80" s="181" t="s">
        <v>275</v>
      </c>
      <c r="B80" s="162" t="s">
        <v>211</v>
      </c>
      <c r="C80" s="183">
        <f>'TARROS SALSA'!L106</f>
        <v>0.2782181818</v>
      </c>
      <c r="D80" s="192">
        <f>'TARROS SALSA'!L108</f>
        <v>1.090909091</v>
      </c>
      <c r="E80" s="193">
        <f t="shared" si="84"/>
        <v>1.2</v>
      </c>
      <c r="F80" s="158">
        <f t="shared" si="81"/>
        <v>0.8126909091</v>
      </c>
      <c r="G80" s="175">
        <f t="shared" si="82"/>
        <v>74.49666667</v>
      </c>
      <c r="H80" s="175">
        <f t="shared" si="83"/>
        <v>25.50333333</v>
      </c>
      <c r="I80" s="197"/>
      <c r="J80" s="178"/>
      <c r="K80" s="178"/>
      <c r="L80" s="178"/>
      <c r="M80" s="178"/>
      <c r="N80" s="178"/>
      <c r="O80" s="178"/>
      <c r="P80" s="171"/>
      <c r="Q80" s="198"/>
      <c r="R80" s="198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</row>
    <row r="81">
      <c r="A81" s="181" t="s">
        <v>275</v>
      </c>
      <c r="B81" s="162" t="s">
        <v>208</v>
      </c>
      <c r="C81" s="183">
        <f>'TARROS SALSA'!L46</f>
        <v>0.5774513699</v>
      </c>
      <c r="D81" s="192">
        <f>'TARROS SALSA'!L48</f>
        <v>1.818181818</v>
      </c>
      <c r="E81" s="193">
        <f t="shared" si="84"/>
        <v>2</v>
      </c>
      <c r="F81" s="158">
        <f t="shared" si="81"/>
        <v>1.240730448</v>
      </c>
      <c r="G81" s="175">
        <f t="shared" si="82"/>
        <v>68.24017466</v>
      </c>
      <c r="H81" s="175">
        <f t="shared" si="83"/>
        <v>31.75982534</v>
      </c>
      <c r="I81" s="197"/>
      <c r="J81" s="178"/>
      <c r="K81" s="178"/>
      <c r="L81" s="178"/>
      <c r="M81" s="178"/>
      <c r="N81" s="178"/>
      <c r="O81" s="178"/>
      <c r="P81" s="171"/>
      <c r="Q81" s="198"/>
      <c r="R81" s="198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  <c r="AG190" s="171"/>
      <c r="AH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1"/>
      <c r="AH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  <c r="AG330" s="171"/>
      <c r="AH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  <c r="AF331" s="171"/>
      <c r="AG331" s="171"/>
      <c r="AH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1"/>
      <c r="AH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  <c r="AG336" s="171"/>
      <c r="AH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  <c r="AG337" s="171"/>
      <c r="AH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1"/>
      <c r="AH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  <c r="AG343" s="171"/>
      <c r="AH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/>
      <c r="AH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  <c r="AG353" s="171"/>
      <c r="AH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  <c r="AG354" s="171"/>
      <c r="AH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/>
      <c r="AH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  <c r="AF360" s="171"/>
      <c r="AG360" s="171"/>
      <c r="AH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  <c r="AF361" s="171"/>
      <c r="AG361" s="171"/>
      <c r="AH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  <c r="AF362" s="171"/>
      <c r="AG362" s="171"/>
      <c r="AH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  <c r="AG368" s="171"/>
      <c r="AH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  <c r="AG375" s="171"/>
      <c r="AH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  <c r="AF376" s="171"/>
      <c r="AG376" s="171"/>
      <c r="AH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/>
      <c r="AH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  <c r="AG379" s="171"/>
      <c r="AH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1"/>
      <c r="AD380" s="171"/>
      <c r="AE380" s="171"/>
      <c r="AF380" s="171"/>
      <c r="AG380" s="171"/>
      <c r="AH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  <c r="AE382" s="171"/>
      <c r="AF382" s="171"/>
      <c r="AG382" s="171"/>
      <c r="AH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  <c r="AE383" s="171"/>
      <c r="AF383" s="171"/>
      <c r="AG383" s="171"/>
      <c r="AH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  <c r="AG384" s="171"/>
      <c r="AH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  <c r="AF385" s="171"/>
      <c r="AG385" s="171"/>
      <c r="AH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1"/>
      <c r="AH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  <c r="AE387" s="171"/>
      <c r="AF387" s="171"/>
      <c r="AG387" s="171"/>
      <c r="AH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  <c r="AG389" s="171"/>
      <c r="AH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  <c r="AE390" s="171"/>
      <c r="AF390" s="171"/>
      <c r="AG390" s="171"/>
      <c r="AH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  <c r="AG391" s="171"/>
      <c r="AH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  <c r="AF392" s="171"/>
      <c r="AG392" s="171"/>
      <c r="AH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  <c r="AF393" s="171"/>
      <c r="AG393" s="171"/>
      <c r="AH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  <c r="AE394" s="171"/>
      <c r="AF394" s="171"/>
      <c r="AG394" s="171"/>
      <c r="AH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  <c r="AF395" s="171"/>
      <c r="AG395" s="171"/>
      <c r="AH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/>
      <c r="AE396" s="171"/>
      <c r="AF396" s="171"/>
      <c r="AG396" s="171"/>
      <c r="AH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1"/>
      <c r="AD397" s="171"/>
      <c r="AE397" s="171"/>
      <c r="AF397" s="171"/>
      <c r="AG397" s="171"/>
      <c r="AH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  <c r="AE398" s="171"/>
      <c r="AF398" s="171"/>
      <c r="AG398" s="171"/>
      <c r="AH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  <c r="AF399" s="171"/>
      <c r="AG399" s="171"/>
      <c r="AH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  <c r="AE400" s="171"/>
      <c r="AF400" s="171"/>
      <c r="AG400" s="171"/>
      <c r="AH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  <c r="AF401" s="171"/>
      <c r="AG401" s="171"/>
      <c r="AH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  <c r="AE402" s="171"/>
      <c r="AF402" s="171"/>
      <c r="AG402" s="171"/>
      <c r="AH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  <c r="AF403" s="171"/>
      <c r="AG403" s="171"/>
      <c r="AH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  <c r="AE404" s="171"/>
      <c r="AF404" s="171"/>
      <c r="AG404" s="171"/>
      <c r="AH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  <c r="AF405" s="171"/>
      <c r="AG405" s="171"/>
      <c r="AH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  <c r="AC406" s="171"/>
      <c r="AD406" s="171"/>
      <c r="AE406" s="171"/>
      <c r="AF406" s="171"/>
      <c r="AG406" s="171"/>
      <c r="AH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1"/>
      <c r="AD407" s="171"/>
      <c r="AE407" s="171"/>
      <c r="AF407" s="171"/>
      <c r="AG407" s="171"/>
      <c r="AH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1"/>
      <c r="AD408" s="171"/>
      <c r="AE408" s="171"/>
      <c r="AF408" s="171"/>
      <c r="AG408" s="171"/>
      <c r="AH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  <c r="AC409" s="171"/>
      <c r="AD409" s="171"/>
      <c r="AE409" s="171"/>
      <c r="AF409" s="171"/>
      <c r="AG409" s="171"/>
      <c r="AH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  <c r="AE410" s="171"/>
      <c r="AF410" s="171"/>
      <c r="AG410" s="171"/>
      <c r="AH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  <c r="AE411" s="171"/>
      <c r="AF411" s="171"/>
      <c r="AG411" s="171"/>
      <c r="AH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  <c r="AF412" s="171"/>
      <c r="AG412" s="171"/>
      <c r="AH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  <c r="AF413" s="171"/>
      <c r="AG413" s="171"/>
      <c r="AH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71"/>
      <c r="AF414" s="171"/>
      <c r="AG414" s="171"/>
      <c r="AH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  <c r="AE415" s="171"/>
      <c r="AF415" s="171"/>
      <c r="AG415" s="171"/>
      <c r="AH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  <c r="AE416" s="171"/>
      <c r="AF416" s="171"/>
      <c r="AG416" s="171"/>
      <c r="AH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  <c r="AE417" s="171"/>
      <c r="AF417" s="171"/>
      <c r="AG417" s="171"/>
      <c r="AH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  <c r="AE418" s="171"/>
      <c r="AF418" s="171"/>
      <c r="AG418" s="171"/>
      <c r="AH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1"/>
      <c r="AG419" s="171"/>
      <c r="AH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1"/>
      <c r="AG420" s="171"/>
      <c r="AH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  <c r="AF421" s="171"/>
      <c r="AG421" s="171"/>
      <c r="AH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  <c r="AE422" s="171"/>
      <c r="AF422" s="171"/>
      <c r="AG422" s="171"/>
      <c r="AH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  <c r="AE423" s="171"/>
      <c r="AF423" s="171"/>
      <c r="AG423" s="171"/>
      <c r="AH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  <c r="AE424" s="171"/>
      <c r="AF424" s="171"/>
      <c r="AG424" s="171"/>
      <c r="AH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  <c r="AF425" s="171"/>
      <c r="AG425" s="171"/>
      <c r="AH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  <c r="AF426" s="171"/>
      <c r="AG426" s="171"/>
      <c r="AH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1"/>
      <c r="AH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  <c r="AE428" s="171"/>
      <c r="AF428" s="171"/>
      <c r="AG428" s="171"/>
      <c r="AH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1"/>
      <c r="AH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  <c r="AF430" s="171"/>
      <c r="AG430" s="171"/>
      <c r="AH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1"/>
      <c r="AH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  <c r="AF432" s="171"/>
      <c r="AG432" s="171"/>
      <c r="AH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  <c r="AF433" s="171"/>
      <c r="AG433" s="171"/>
      <c r="AH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  <c r="AF434" s="171"/>
      <c r="AG434" s="171"/>
      <c r="AH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1"/>
      <c r="AH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  <c r="AE436" s="171"/>
      <c r="AF436" s="171"/>
      <c r="AG436" s="171"/>
      <c r="AH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1"/>
      <c r="AH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  <c r="AE438" s="171"/>
      <c r="AF438" s="171"/>
      <c r="AG438" s="171"/>
      <c r="AH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  <c r="AF439" s="171"/>
      <c r="AG439" s="171"/>
      <c r="AH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  <c r="AC440" s="171"/>
      <c r="AD440" s="171"/>
      <c r="AE440" s="171"/>
      <c r="AF440" s="171"/>
      <c r="AG440" s="171"/>
      <c r="AH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  <c r="AF441" s="171"/>
      <c r="AG441" s="171"/>
      <c r="AH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  <c r="AE442" s="171"/>
      <c r="AF442" s="171"/>
      <c r="AG442" s="171"/>
      <c r="AH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  <c r="AF443" s="171"/>
      <c r="AG443" s="171"/>
      <c r="AH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  <c r="AE444" s="171"/>
      <c r="AF444" s="171"/>
      <c r="AG444" s="171"/>
      <c r="AH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  <c r="AE445" s="171"/>
      <c r="AF445" s="171"/>
      <c r="AG445" s="171"/>
      <c r="AH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  <c r="AE446" s="171"/>
      <c r="AF446" s="171"/>
      <c r="AG446" s="171"/>
      <c r="AH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/>
      <c r="AF447" s="171"/>
      <c r="AG447" s="171"/>
      <c r="AH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1"/>
      <c r="AD448" s="171"/>
      <c r="AE448" s="171"/>
      <c r="AF448" s="171"/>
      <c r="AG448" s="171"/>
      <c r="AH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  <c r="AF449" s="171"/>
      <c r="AG449" s="171"/>
      <c r="AH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1"/>
      <c r="AD450" s="171"/>
      <c r="AE450" s="171"/>
      <c r="AF450" s="171"/>
      <c r="AG450" s="171"/>
      <c r="AH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  <c r="AF451" s="171"/>
      <c r="AG451" s="171"/>
      <c r="AH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  <c r="AE452" s="171"/>
      <c r="AF452" s="171"/>
      <c r="AG452" s="171"/>
      <c r="AH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  <c r="AE453" s="171"/>
      <c r="AF453" s="171"/>
      <c r="AG453" s="171"/>
      <c r="AH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1"/>
      <c r="AD454" s="171"/>
      <c r="AE454" s="171"/>
      <c r="AF454" s="171"/>
      <c r="AG454" s="171"/>
      <c r="AH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  <c r="AF455" s="171"/>
      <c r="AG455" s="171"/>
      <c r="AH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  <c r="AE456" s="171"/>
      <c r="AF456" s="171"/>
      <c r="AG456" s="171"/>
      <c r="AH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  <c r="AF457" s="171"/>
      <c r="AG457" s="171"/>
      <c r="AH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  <c r="AE458" s="171"/>
      <c r="AF458" s="171"/>
      <c r="AG458" s="171"/>
      <c r="AH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  <c r="AF459" s="171"/>
      <c r="AG459" s="171"/>
      <c r="AH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  <c r="AE460" s="171"/>
      <c r="AF460" s="171"/>
      <c r="AG460" s="171"/>
      <c r="AH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  <c r="AF461" s="171"/>
      <c r="AG461" s="171"/>
      <c r="AH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  <c r="AE462" s="171"/>
      <c r="AF462" s="171"/>
      <c r="AG462" s="171"/>
      <c r="AH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  <c r="AF463" s="171"/>
      <c r="AG463" s="171"/>
      <c r="AH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  <c r="AE464" s="171"/>
      <c r="AF464" s="171"/>
      <c r="AG464" s="171"/>
      <c r="AH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  <c r="AF465" s="171"/>
      <c r="AG465" s="171"/>
      <c r="AH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1"/>
      <c r="AD466" s="171"/>
      <c r="AE466" s="171"/>
      <c r="AF466" s="171"/>
      <c r="AG466" s="171"/>
      <c r="AH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  <c r="AF467" s="171"/>
      <c r="AG467" s="171"/>
      <c r="AH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  <c r="AE468" s="171"/>
      <c r="AF468" s="171"/>
      <c r="AG468" s="171"/>
      <c r="AH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  <c r="AF469" s="171"/>
      <c r="AG469" s="171"/>
      <c r="AH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  <c r="AE470" s="171"/>
      <c r="AF470" s="171"/>
      <c r="AG470" s="171"/>
      <c r="AH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1"/>
      <c r="AG471" s="171"/>
      <c r="AH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1"/>
      <c r="AG472" s="171"/>
      <c r="AH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  <c r="AE474" s="171"/>
      <c r="AF474" s="171"/>
      <c r="AG474" s="171"/>
      <c r="AH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  <c r="AF475" s="171"/>
      <c r="AG475" s="171"/>
      <c r="AH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  <c r="AE476" s="171"/>
      <c r="AF476" s="171"/>
      <c r="AG476" s="171"/>
      <c r="AH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1"/>
      <c r="AD478" s="171"/>
      <c r="AE478" s="171"/>
      <c r="AF478" s="171"/>
      <c r="AG478" s="171"/>
      <c r="AH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1"/>
      <c r="AD480" s="171"/>
      <c r="AE480" s="171"/>
      <c r="AF480" s="171"/>
      <c r="AG480" s="171"/>
      <c r="AH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  <c r="AF482" s="171"/>
      <c r="AG482" s="171"/>
      <c r="AH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  <c r="AE483" s="171"/>
      <c r="AF483" s="171"/>
      <c r="AG483" s="171"/>
      <c r="AH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  <c r="AE484" s="171"/>
      <c r="AF484" s="171"/>
      <c r="AG484" s="171"/>
      <c r="AH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  <c r="AF485" s="171"/>
      <c r="AG485" s="171"/>
      <c r="AH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  <c r="AE486" s="171"/>
      <c r="AF486" s="171"/>
      <c r="AG486" s="171"/>
      <c r="AH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  <c r="AE487" s="171"/>
      <c r="AF487" s="171"/>
      <c r="AG487" s="171"/>
      <c r="AH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  <c r="AF488" s="171"/>
      <c r="AG488" s="171"/>
      <c r="AH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  <c r="AF490" s="171"/>
      <c r="AG490" s="171"/>
      <c r="AH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1"/>
      <c r="AD492" s="171"/>
      <c r="AE492" s="171"/>
      <c r="AF492" s="171"/>
      <c r="AG492" s="171"/>
      <c r="AH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  <c r="AF493" s="171"/>
      <c r="AG493" s="171"/>
      <c r="AH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  <c r="AE494" s="171"/>
      <c r="AF494" s="171"/>
      <c r="AG494" s="171"/>
      <c r="AH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  <c r="AE495" s="171"/>
      <c r="AF495" s="171"/>
      <c r="AG495" s="171"/>
      <c r="AH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1"/>
      <c r="AD496" s="171"/>
      <c r="AE496" s="171"/>
      <c r="AF496" s="171"/>
      <c r="AG496" s="171"/>
      <c r="AH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  <c r="AE497" s="171"/>
      <c r="AF497" s="171"/>
      <c r="AG497" s="171"/>
      <c r="AH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  <c r="AF498" s="171"/>
      <c r="AG498" s="171"/>
      <c r="AH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  <c r="AF499" s="171"/>
      <c r="AG499" s="171"/>
      <c r="AH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  <c r="AF500" s="171"/>
      <c r="AG500" s="171"/>
      <c r="AH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  <c r="AF501" s="171"/>
      <c r="AG501" s="171"/>
      <c r="AH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  <c r="AE502" s="171"/>
      <c r="AF502" s="171"/>
      <c r="AG502" s="171"/>
      <c r="AH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  <c r="AF503" s="171"/>
      <c r="AG503" s="171"/>
      <c r="AH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  <c r="AE504" s="171"/>
      <c r="AF504" s="171"/>
      <c r="AG504" s="171"/>
      <c r="AH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  <c r="AF505" s="171"/>
      <c r="AG505" s="171"/>
      <c r="AH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  <c r="AE506" s="171"/>
      <c r="AF506" s="171"/>
      <c r="AG506" s="171"/>
      <c r="AH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  <c r="AF507" s="171"/>
      <c r="AG507" s="171"/>
      <c r="AH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  <c r="AE508" s="171"/>
      <c r="AF508" s="171"/>
      <c r="AG508" s="171"/>
      <c r="AH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/>
      <c r="AG509" s="171"/>
      <c r="AH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  <c r="AE510" s="171"/>
      <c r="AF510" s="171"/>
      <c r="AG510" s="171"/>
      <c r="AH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  <c r="AF511" s="171"/>
      <c r="AG511" s="171"/>
      <c r="AH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  <c r="AE512" s="171"/>
      <c r="AF512" s="171"/>
      <c r="AG512" s="171"/>
      <c r="AH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  <c r="AF513" s="171"/>
      <c r="AG513" s="171"/>
      <c r="AH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1"/>
      <c r="AD514" s="171"/>
      <c r="AE514" s="171"/>
      <c r="AF514" s="171"/>
      <c r="AG514" s="171"/>
      <c r="AH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  <c r="AF515" s="171"/>
      <c r="AG515" s="171"/>
      <c r="AH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1"/>
      <c r="AD516" s="171"/>
      <c r="AE516" s="171"/>
      <c r="AF516" s="171"/>
      <c r="AG516" s="171"/>
      <c r="AH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  <c r="AE517" s="171"/>
      <c r="AF517" s="171"/>
      <c r="AG517" s="171"/>
      <c r="AH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  <c r="AE518" s="171"/>
      <c r="AF518" s="171"/>
      <c r="AG518" s="171"/>
      <c r="AH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  <c r="AE519" s="171"/>
      <c r="AF519" s="171"/>
      <c r="AG519" s="171"/>
      <c r="AH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1"/>
      <c r="AD520" s="171"/>
      <c r="AE520" s="171"/>
      <c r="AF520" s="171"/>
      <c r="AG520" s="171"/>
      <c r="AH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  <c r="AE521" s="171"/>
      <c r="AF521" s="171"/>
      <c r="AG521" s="171"/>
      <c r="AH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  <c r="AE522" s="171"/>
      <c r="AF522" s="171"/>
      <c r="AG522" s="171"/>
      <c r="AH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1"/>
      <c r="AG523" s="171"/>
      <c r="AH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1"/>
      <c r="AG524" s="171"/>
      <c r="AH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/>
      <c r="AH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  <c r="AE526" s="171"/>
      <c r="AF526" s="171"/>
      <c r="AG526" s="171"/>
      <c r="AH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  <c r="AF527" s="171"/>
      <c r="AG527" s="171"/>
      <c r="AH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  <c r="AE528" s="171"/>
      <c r="AF528" s="171"/>
      <c r="AG528" s="171"/>
      <c r="AH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  <c r="AF529" s="171"/>
      <c r="AG529" s="171"/>
      <c r="AH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  <c r="AE530" s="171"/>
      <c r="AF530" s="171"/>
      <c r="AG530" s="171"/>
      <c r="AH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  <c r="AF531" s="171"/>
      <c r="AG531" s="171"/>
      <c r="AH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71"/>
      <c r="AF532" s="171"/>
      <c r="AG532" s="171"/>
      <c r="AH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  <c r="AF533" s="171"/>
      <c r="AG533" s="171"/>
      <c r="AH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1"/>
      <c r="AD534" s="171"/>
      <c r="AE534" s="171"/>
      <c r="AF534" s="171"/>
      <c r="AG534" s="171"/>
      <c r="AH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  <c r="AE535" s="171"/>
      <c r="AF535" s="171"/>
      <c r="AG535" s="171"/>
      <c r="AH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1"/>
      <c r="AD536" s="171"/>
      <c r="AE536" s="171"/>
      <c r="AF536" s="171"/>
      <c r="AG536" s="171"/>
      <c r="AH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  <c r="AF537" s="171"/>
      <c r="AG537" s="171"/>
      <c r="AH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/>
      <c r="AE538" s="171"/>
      <c r="AF538" s="171"/>
      <c r="AG538" s="171"/>
      <c r="AH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  <c r="AE539" s="171"/>
      <c r="AF539" s="171"/>
      <c r="AG539" s="171"/>
      <c r="AH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  <c r="AE540" s="171"/>
      <c r="AF540" s="171"/>
      <c r="AG540" s="171"/>
      <c r="AH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  <c r="AF541" s="171"/>
      <c r="AG541" s="171"/>
      <c r="AH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  <c r="AF542" s="171"/>
      <c r="AG542" s="171"/>
      <c r="AH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  <c r="AF543" s="171"/>
      <c r="AG543" s="171"/>
      <c r="AH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  <c r="AF544" s="171"/>
      <c r="AG544" s="171"/>
      <c r="AH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  <c r="AF545" s="171"/>
      <c r="AG545" s="171"/>
      <c r="AH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  <c r="AF546" s="171"/>
      <c r="AG546" s="171"/>
      <c r="AH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1"/>
      <c r="AD547" s="171"/>
      <c r="AE547" s="171"/>
      <c r="AF547" s="171"/>
      <c r="AG547" s="171"/>
      <c r="AH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/>
      <c r="AD548" s="171"/>
      <c r="AE548" s="171"/>
      <c r="AF548" s="171"/>
      <c r="AG548" s="171"/>
      <c r="AH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1"/>
      <c r="AD549" s="171"/>
      <c r="AE549" s="171"/>
      <c r="AF549" s="171"/>
      <c r="AG549" s="171"/>
      <c r="AH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  <c r="AF550" s="171"/>
      <c r="AG550" s="171"/>
      <c r="AH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1"/>
      <c r="AD551" s="171"/>
      <c r="AE551" s="171"/>
      <c r="AF551" s="171"/>
      <c r="AG551" s="171"/>
      <c r="AH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1"/>
      <c r="AD552" s="171"/>
      <c r="AE552" s="171"/>
      <c r="AF552" s="171"/>
      <c r="AG552" s="171"/>
      <c r="AH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  <c r="AE553" s="171"/>
      <c r="AF553" s="171"/>
      <c r="AG553" s="171"/>
      <c r="AH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  <c r="AF554" s="171"/>
      <c r="AG554" s="171"/>
      <c r="AH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1"/>
      <c r="AD555" s="171"/>
      <c r="AE555" s="171"/>
      <c r="AF555" s="171"/>
      <c r="AG555" s="171"/>
      <c r="AH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  <c r="AF556" s="171"/>
      <c r="AG556" s="171"/>
      <c r="AH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  <c r="AE557" s="171"/>
      <c r="AF557" s="171"/>
      <c r="AG557" s="171"/>
      <c r="AH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  <c r="AF558" s="171"/>
      <c r="AG558" s="171"/>
      <c r="AH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  <c r="AE559" s="171"/>
      <c r="AF559" s="171"/>
      <c r="AG559" s="171"/>
      <c r="AH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  <c r="AF560" s="171"/>
      <c r="AG560" s="171"/>
      <c r="AH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  <c r="AE561" s="171"/>
      <c r="AF561" s="171"/>
      <c r="AG561" s="171"/>
      <c r="AH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  <c r="AF562" s="171"/>
      <c r="AG562" s="171"/>
      <c r="AH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1"/>
      <c r="AD563" s="171"/>
      <c r="AE563" s="171"/>
      <c r="AF563" s="171"/>
      <c r="AG563" s="171"/>
      <c r="AH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  <c r="AE564" s="171"/>
      <c r="AF564" s="171"/>
      <c r="AG564" s="171"/>
      <c r="AH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/>
      <c r="AD565" s="171"/>
      <c r="AE565" s="171"/>
      <c r="AF565" s="171"/>
      <c r="AG565" s="171"/>
      <c r="AH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  <c r="AE566" s="171"/>
      <c r="AF566" s="171"/>
      <c r="AG566" s="171"/>
      <c r="AH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1"/>
      <c r="AD567" s="171"/>
      <c r="AE567" s="171"/>
      <c r="AF567" s="171"/>
      <c r="AG567" s="171"/>
      <c r="AH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  <c r="AF568" s="171"/>
      <c r="AG568" s="171"/>
      <c r="AH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  <c r="AE569" s="171"/>
      <c r="AF569" s="171"/>
      <c r="AG569" s="171"/>
      <c r="AH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  <c r="AF570" s="171"/>
      <c r="AG570" s="171"/>
      <c r="AH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  <c r="AE571" s="171"/>
      <c r="AF571" s="171"/>
      <c r="AG571" s="171"/>
      <c r="AH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  <c r="AF572" s="171"/>
      <c r="AG572" s="171"/>
      <c r="AH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  <c r="AE573" s="171"/>
      <c r="AF573" s="171"/>
      <c r="AG573" s="171"/>
      <c r="AH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  <c r="AE574" s="171"/>
      <c r="AF574" s="171"/>
      <c r="AG574" s="171"/>
      <c r="AH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1"/>
      <c r="AD575" s="171"/>
      <c r="AE575" s="171"/>
      <c r="AF575" s="171"/>
      <c r="AG575" s="171"/>
      <c r="AH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  <c r="AF576" s="171"/>
      <c r="AG576" s="171"/>
      <c r="AH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  <c r="AE577" s="171"/>
      <c r="AF577" s="171"/>
      <c r="AG577" s="171"/>
      <c r="AH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  <c r="AF578" s="171"/>
      <c r="AG578" s="171"/>
      <c r="AH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1"/>
      <c r="AD579" s="171"/>
      <c r="AE579" s="171"/>
      <c r="AF579" s="171"/>
      <c r="AG579" s="171"/>
      <c r="AH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  <c r="AE580" s="171"/>
      <c r="AF580" s="171"/>
      <c r="AG580" s="171"/>
      <c r="AH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  <c r="AF581" s="171"/>
      <c r="AG581" s="171"/>
      <c r="AH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  <c r="AE582" s="171"/>
      <c r="AF582" s="171"/>
      <c r="AG582" s="171"/>
      <c r="AH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  <c r="AE583" s="171"/>
      <c r="AF583" s="171"/>
      <c r="AG583" s="171"/>
      <c r="AH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1"/>
      <c r="AD584" s="171"/>
      <c r="AE584" s="171"/>
      <c r="AF584" s="171"/>
      <c r="AG584" s="171"/>
      <c r="AH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  <c r="AF585" s="171"/>
      <c r="AG585" s="171"/>
      <c r="AH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  <c r="AE586" s="171"/>
      <c r="AF586" s="171"/>
      <c r="AG586" s="171"/>
      <c r="AH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  <c r="AF587" s="171"/>
      <c r="AG587" s="171"/>
      <c r="AH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  <c r="AE588" s="171"/>
      <c r="AF588" s="171"/>
      <c r="AG588" s="171"/>
      <c r="AH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  <c r="AE589" s="171"/>
      <c r="AF589" s="171"/>
      <c r="AG589" s="171"/>
      <c r="AH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71"/>
      <c r="AF590" s="171"/>
      <c r="AG590" s="171"/>
      <c r="AH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  <c r="AF591" s="171"/>
      <c r="AG591" s="171"/>
      <c r="AH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  <c r="AE592" s="171"/>
      <c r="AF592" s="171"/>
      <c r="AG592" s="171"/>
      <c r="AH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1"/>
      <c r="AD593" s="171"/>
      <c r="AE593" s="171"/>
      <c r="AF593" s="171"/>
      <c r="AG593" s="171"/>
      <c r="AH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  <c r="AE594" s="171"/>
      <c r="AF594" s="171"/>
      <c r="AG594" s="171"/>
      <c r="AH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  <c r="AF595" s="171"/>
      <c r="AG595" s="171"/>
      <c r="AH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  <c r="AE596" s="171"/>
      <c r="AF596" s="171"/>
      <c r="AG596" s="171"/>
      <c r="AH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  <c r="AF597" s="171"/>
      <c r="AG597" s="171"/>
      <c r="AH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  <c r="AE598" s="171"/>
      <c r="AF598" s="171"/>
      <c r="AG598" s="171"/>
      <c r="AH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  <c r="AF599" s="171"/>
      <c r="AG599" s="171"/>
      <c r="AH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  <c r="AE600" s="171"/>
      <c r="AF600" s="171"/>
      <c r="AG600" s="171"/>
      <c r="AH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  <c r="AF601" s="171"/>
      <c r="AG601" s="171"/>
      <c r="AH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  <c r="AE602" s="171"/>
      <c r="AF602" s="171"/>
      <c r="AG602" s="171"/>
      <c r="AH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  <c r="AE603" s="171"/>
      <c r="AF603" s="171"/>
      <c r="AG603" s="171"/>
      <c r="AH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1"/>
      <c r="AD604" s="171"/>
      <c r="AE604" s="171"/>
      <c r="AF604" s="171"/>
      <c r="AG604" s="171"/>
      <c r="AH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1"/>
      <c r="AD605" s="171"/>
      <c r="AE605" s="171"/>
      <c r="AF605" s="171"/>
      <c r="AG605" s="171"/>
      <c r="AH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  <c r="AF606" s="171"/>
      <c r="AG606" s="171"/>
      <c r="AH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  <c r="AE607" s="171"/>
      <c r="AF607" s="171"/>
      <c r="AG607" s="171"/>
      <c r="AH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/>
      <c r="AD608" s="171"/>
      <c r="AE608" s="171"/>
      <c r="AF608" s="171"/>
      <c r="AG608" s="171"/>
      <c r="AH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  <c r="AF609" s="171"/>
      <c r="AG609" s="171"/>
      <c r="AH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1"/>
      <c r="AH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  <c r="AF611" s="171"/>
      <c r="AG611" s="171"/>
      <c r="AH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  <c r="AF612" s="171"/>
      <c r="AG612" s="171"/>
      <c r="AH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  <c r="AF613" s="171"/>
      <c r="AG613" s="171"/>
      <c r="AH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1"/>
      <c r="AH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  <c r="AE615" s="171"/>
      <c r="AF615" s="171"/>
      <c r="AG615" s="171"/>
      <c r="AH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  <c r="AF616" s="171"/>
      <c r="AG616" s="171"/>
      <c r="AH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  <c r="AE617" s="171"/>
      <c r="AF617" s="171"/>
      <c r="AG617" s="171"/>
      <c r="AH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  <c r="AF619" s="171"/>
      <c r="AG619" s="171"/>
      <c r="AH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  <c r="AF620" s="171"/>
      <c r="AG620" s="171"/>
      <c r="AH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  <c r="AE621" s="171"/>
      <c r="AF621" s="171"/>
      <c r="AG621" s="171"/>
      <c r="AH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  <c r="AF622" s="171"/>
      <c r="AG622" s="171"/>
      <c r="AH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  <c r="AE623" s="171"/>
      <c r="AF623" s="171"/>
      <c r="AG623" s="171"/>
      <c r="AH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  <c r="AE624" s="171"/>
      <c r="AF624" s="171"/>
      <c r="AG624" s="171"/>
      <c r="AH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1"/>
      <c r="AH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  <c r="AE626" s="171"/>
      <c r="AF626" s="171"/>
      <c r="AG626" s="171"/>
      <c r="AH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  <c r="AF627" s="171"/>
      <c r="AG627" s="171"/>
      <c r="AH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  <c r="AE628" s="171"/>
      <c r="AF628" s="171"/>
      <c r="AG628" s="171"/>
      <c r="AH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  <c r="AF629" s="171"/>
      <c r="AG629" s="171"/>
      <c r="AH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/>
      <c r="AE630" s="171"/>
      <c r="AF630" s="171"/>
      <c r="AG630" s="171"/>
      <c r="AH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  <c r="AF631" s="171"/>
      <c r="AG631" s="171"/>
      <c r="AH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  <c r="AE632" s="171"/>
      <c r="AF632" s="171"/>
      <c r="AG632" s="171"/>
      <c r="AH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  <c r="AF633" s="171"/>
      <c r="AG633" s="171"/>
      <c r="AH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1"/>
      <c r="AD634" s="171"/>
      <c r="AE634" s="171"/>
      <c r="AF634" s="171"/>
      <c r="AG634" s="171"/>
      <c r="AH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  <c r="AE635" s="171"/>
      <c r="AF635" s="171"/>
      <c r="AG635" s="171"/>
      <c r="AH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  <c r="AE636" s="171"/>
      <c r="AF636" s="171"/>
      <c r="AG636" s="171"/>
      <c r="AH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  <c r="AF637" s="171"/>
      <c r="AG637" s="171"/>
      <c r="AH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1"/>
      <c r="AD638" s="171"/>
      <c r="AE638" s="171"/>
      <c r="AF638" s="171"/>
      <c r="AG638" s="171"/>
      <c r="AH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  <c r="AE639" s="171"/>
      <c r="AF639" s="171"/>
      <c r="AG639" s="171"/>
      <c r="AH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1"/>
      <c r="AD640" s="171"/>
      <c r="AE640" s="171"/>
      <c r="AF640" s="171"/>
      <c r="AG640" s="171"/>
      <c r="AH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  <c r="AE641" s="171"/>
      <c r="AF641" s="171"/>
      <c r="AG641" s="171"/>
      <c r="AH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  <c r="AE643" s="171"/>
      <c r="AF643" s="171"/>
      <c r="AG643" s="171"/>
      <c r="AH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1"/>
      <c r="AD644" s="171"/>
      <c r="AE644" s="171"/>
      <c r="AF644" s="171"/>
      <c r="AG644" s="171"/>
      <c r="AH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  <c r="AE645" s="171"/>
      <c r="AF645" s="171"/>
      <c r="AG645" s="171"/>
      <c r="AH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1"/>
      <c r="AD646" s="171"/>
      <c r="AE646" s="171"/>
      <c r="AF646" s="171"/>
      <c r="AG646" s="171"/>
      <c r="AH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  <c r="AE647" s="171"/>
      <c r="AF647" s="171"/>
      <c r="AG647" s="171"/>
      <c r="AH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  <c r="AE648" s="171"/>
      <c r="AF648" s="171"/>
      <c r="AG648" s="171"/>
      <c r="AH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  <c r="AE649" s="171"/>
      <c r="AF649" s="171"/>
      <c r="AG649" s="171"/>
      <c r="AH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1"/>
      <c r="AD650" s="171"/>
      <c r="AE650" s="171"/>
      <c r="AF650" s="171"/>
      <c r="AG650" s="171"/>
      <c r="AH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1"/>
      <c r="AD651" s="171"/>
      <c r="AE651" s="171"/>
      <c r="AF651" s="171"/>
      <c r="AG651" s="171"/>
      <c r="AH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1"/>
      <c r="AD652" s="171"/>
      <c r="AE652" s="171"/>
      <c r="AF652" s="171"/>
      <c r="AG652" s="171"/>
      <c r="AH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  <c r="AE653" s="171"/>
      <c r="AF653" s="171"/>
      <c r="AG653" s="171"/>
      <c r="AH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1"/>
      <c r="AD654" s="171"/>
      <c r="AE654" s="171"/>
      <c r="AF654" s="171"/>
      <c r="AG654" s="171"/>
      <c r="AH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1"/>
      <c r="AD655" s="171"/>
      <c r="AE655" s="171"/>
      <c r="AF655" s="171"/>
      <c r="AG655" s="171"/>
      <c r="AH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1"/>
      <c r="AD656" s="171"/>
      <c r="AE656" s="171"/>
      <c r="AF656" s="171"/>
      <c r="AG656" s="171"/>
      <c r="AH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1"/>
      <c r="AD657" s="171"/>
      <c r="AE657" s="171"/>
      <c r="AF657" s="171"/>
      <c r="AG657" s="171"/>
      <c r="AH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  <c r="AC658" s="171"/>
      <c r="AD658" s="171"/>
      <c r="AE658" s="171"/>
      <c r="AF658" s="171"/>
      <c r="AG658" s="171"/>
      <c r="AH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1"/>
      <c r="AD659" s="171"/>
      <c r="AE659" s="171"/>
      <c r="AF659" s="171"/>
      <c r="AG659" s="171"/>
      <c r="AH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  <c r="AC660" s="171"/>
      <c r="AD660" s="171"/>
      <c r="AE660" s="171"/>
      <c r="AF660" s="171"/>
      <c r="AG660" s="171"/>
      <c r="AH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1"/>
      <c r="AD661" s="171"/>
      <c r="AE661" s="171"/>
      <c r="AF661" s="171"/>
      <c r="AG661" s="171"/>
      <c r="AH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1"/>
      <c r="AD662" s="171"/>
      <c r="AE662" s="171"/>
      <c r="AF662" s="171"/>
      <c r="AG662" s="171"/>
      <c r="AH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  <c r="AC663" s="171"/>
      <c r="AD663" s="171"/>
      <c r="AE663" s="171"/>
      <c r="AF663" s="171"/>
      <c r="AG663" s="171"/>
      <c r="AH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1"/>
      <c r="AD664" s="171"/>
      <c r="AE664" s="171"/>
      <c r="AF664" s="171"/>
      <c r="AG664" s="171"/>
      <c r="AH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  <c r="AC665" s="171"/>
      <c r="AD665" s="171"/>
      <c r="AE665" s="171"/>
      <c r="AF665" s="171"/>
      <c r="AG665" s="171"/>
      <c r="AH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1"/>
      <c r="AD666" s="171"/>
      <c r="AE666" s="171"/>
      <c r="AF666" s="171"/>
      <c r="AG666" s="171"/>
      <c r="AH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  <c r="AC667" s="171"/>
      <c r="AD667" s="171"/>
      <c r="AE667" s="171"/>
      <c r="AF667" s="171"/>
      <c r="AG667" s="171"/>
      <c r="AH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1"/>
      <c r="AD668" s="171"/>
      <c r="AE668" s="171"/>
      <c r="AF668" s="171"/>
      <c r="AG668" s="171"/>
      <c r="AH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  <c r="AC669" s="171"/>
      <c r="AD669" s="171"/>
      <c r="AE669" s="171"/>
      <c r="AF669" s="171"/>
      <c r="AG669" s="171"/>
      <c r="AH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1"/>
      <c r="AD670" s="171"/>
      <c r="AE670" s="171"/>
      <c r="AF670" s="171"/>
      <c r="AG670" s="171"/>
      <c r="AH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  <c r="AC671" s="171"/>
      <c r="AD671" s="171"/>
      <c r="AE671" s="171"/>
      <c r="AF671" s="171"/>
      <c r="AG671" s="171"/>
      <c r="AH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1"/>
      <c r="AD672" s="171"/>
      <c r="AE672" s="171"/>
      <c r="AF672" s="171"/>
      <c r="AG672" s="171"/>
      <c r="AH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  <c r="AC673" s="171"/>
      <c r="AD673" s="171"/>
      <c r="AE673" s="171"/>
      <c r="AF673" s="171"/>
      <c r="AG673" s="171"/>
      <c r="AH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  <c r="AE674" s="171"/>
      <c r="AF674" s="171"/>
      <c r="AG674" s="171"/>
      <c r="AH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  <c r="AC675" s="171"/>
      <c r="AD675" s="171"/>
      <c r="AE675" s="171"/>
      <c r="AF675" s="171"/>
      <c r="AG675" s="171"/>
      <c r="AH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1"/>
      <c r="AD676" s="171"/>
      <c r="AE676" s="171"/>
      <c r="AF676" s="171"/>
      <c r="AG676" s="171"/>
      <c r="AH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  <c r="AC677" s="171"/>
      <c r="AD677" s="171"/>
      <c r="AE677" s="171"/>
      <c r="AF677" s="171"/>
      <c r="AG677" s="171"/>
      <c r="AH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1"/>
      <c r="AD678" s="171"/>
      <c r="AE678" s="171"/>
      <c r="AF678" s="171"/>
      <c r="AG678" s="171"/>
      <c r="AH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  <c r="AC679" s="171"/>
      <c r="AD679" s="171"/>
      <c r="AE679" s="171"/>
      <c r="AF679" s="171"/>
      <c r="AG679" s="171"/>
      <c r="AH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  <c r="AC680" s="171"/>
      <c r="AD680" s="171"/>
      <c r="AE680" s="171"/>
      <c r="AF680" s="171"/>
      <c r="AG680" s="171"/>
      <c r="AH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1"/>
      <c r="AD681" s="171"/>
      <c r="AE681" s="171"/>
      <c r="AF681" s="171"/>
      <c r="AG681" s="171"/>
      <c r="AH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  <c r="AC682" s="171"/>
      <c r="AD682" s="171"/>
      <c r="AE682" s="171"/>
      <c r="AF682" s="171"/>
      <c r="AG682" s="171"/>
      <c r="AH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1"/>
      <c r="AD683" s="171"/>
      <c r="AE683" s="171"/>
      <c r="AF683" s="171"/>
      <c r="AG683" s="171"/>
      <c r="AH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  <c r="AC684" s="171"/>
      <c r="AD684" s="171"/>
      <c r="AE684" s="171"/>
      <c r="AF684" s="171"/>
      <c r="AG684" s="171"/>
      <c r="AH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1"/>
      <c r="AD685" s="171"/>
      <c r="AE685" s="171"/>
      <c r="AF685" s="171"/>
      <c r="AG685" s="171"/>
      <c r="AH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  <c r="AC686" s="171"/>
      <c r="AD686" s="171"/>
      <c r="AE686" s="171"/>
      <c r="AF686" s="171"/>
      <c r="AG686" s="171"/>
      <c r="AH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1"/>
      <c r="AD687" s="171"/>
      <c r="AE687" s="171"/>
      <c r="AF687" s="171"/>
      <c r="AG687" s="171"/>
      <c r="AH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  <c r="AC688" s="171"/>
      <c r="AD688" s="171"/>
      <c r="AE688" s="171"/>
      <c r="AF688" s="171"/>
      <c r="AG688" s="171"/>
      <c r="AH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1"/>
      <c r="AD689" s="171"/>
      <c r="AE689" s="171"/>
      <c r="AF689" s="171"/>
      <c r="AG689" s="171"/>
      <c r="AH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  <c r="AC690" s="171"/>
      <c r="AD690" s="171"/>
      <c r="AE690" s="171"/>
      <c r="AF690" s="171"/>
      <c r="AG690" s="171"/>
      <c r="AH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1"/>
      <c r="AD691" s="171"/>
      <c r="AE691" s="171"/>
      <c r="AF691" s="171"/>
      <c r="AG691" s="171"/>
      <c r="AH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  <c r="AC692" s="171"/>
      <c r="AD692" s="171"/>
      <c r="AE692" s="171"/>
      <c r="AF692" s="171"/>
      <c r="AG692" s="171"/>
      <c r="AH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1"/>
      <c r="AD693" s="171"/>
      <c r="AE693" s="171"/>
      <c r="AF693" s="171"/>
      <c r="AG693" s="171"/>
      <c r="AH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1"/>
      <c r="AD694" s="171"/>
      <c r="AE694" s="171"/>
      <c r="AF694" s="171"/>
      <c r="AG694" s="171"/>
      <c r="AH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1"/>
      <c r="AD695" s="171"/>
      <c r="AE695" s="171"/>
      <c r="AF695" s="171"/>
      <c r="AG695" s="171"/>
      <c r="AH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  <c r="AC696" s="171"/>
      <c r="AD696" s="171"/>
      <c r="AE696" s="171"/>
      <c r="AF696" s="171"/>
      <c r="AG696" s="171"/>
      <c r="AH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  <c r="AC697" s="171"/>
      <c r="AD697" s="171"/>
      <c r="AE697" s="171"/>
      <c r="AF697" s="171"/>
      <c r="AG697" s="171"/>
      <c r="AH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  <c r="AC698" s="171"/>
      <c r="AD698" s="171"/>
      <c r="AE698" s="171"/>
      <c r="AF698" s="171"/>
      <c r="AG698" s="171"/>
      <c r="AH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1"/>
      <c r="AD699" s="171"/>
      <c r="AE699" s="171"/>
      <c r="AF699" s="171"/>
      <c r="AG699" s="171"/>
      <c r="AH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  <c r="AC700" s="171"/>
      <c r="AD700" s="171"/>
      <c r="AE700" s="171"/>
      <c r="AF700" s="171"/>
      <c r="AG700" s="171"/>
      <c r="AH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1"/>
      <c r="AD701" s="171"/>
      <c r="AE701" s="171"/>
      <c r="AF701" s="171"/>
      <c r="AG701" s="171"/>
      <c r="AH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  <c r="AC702" s="171"/>
      <c r="AD702" s="171"/>
      <c r="AE702" s="171"/>
      <c r="AF702" s="171"/>
      <c r="AG702" s="171"/>
      <c r="AH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  <c r="AC703" s="171"/>
      <c r="AD703" s="171"/>
      <c r="AE703" s="171"/>
      <c r="AF703" s="171"/>
      <c r="AG703" s="171"/>
      <c r="AH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  <c r="AC704" s="171"/>
      <c r="AD704" s="171"/>
      <c r="AE704" s="171"/>
      <c r="AF704" s="171"/>
      <c r="AG704" s="171"/>
      <c r="AH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1"/>
      <c r="AD705" s="171"/>
      <c r="AE705" s="171"/>
      <c r="AF705" s="171"/>
      <c r="AG705" s="171"/>
      <c r="AH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  <c r="AF706" s="171"/>
      <c r="AG706" s="171"/>
      <c r="AH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  <c r="AC707" s="171"/>
      <c r="AD707" s="171"/>
      <c r="AE707" s="171"/>
      <c r="AF707" s="171"/>
      <c r="AG707" s="171"/>
      <c r="AH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  <c r="AC708" s="171"/>
      <c r="AD708" s="171"/>
      <c r="AE708" s="171"/>
      <c r="AF708" s="171"/>
      <c r="AG708" s="171"/>
      <c r="AH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  <c r="AC709" s="171"/>
      <c r="AD709" s="171"/>
      <c r="AE709" s="171"/>
      <c r="AF709" s="171"/>
      <c r="AG709" s="171"/>
      <c r="AH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  <c r="AC710" s="171"/>
      <c r="AD710" s="171"/>
      <c r="AE710" s="171"/>
      <c r="AF710" s="171"/>
      <c r="AG710" s="171"/>
      <c r="AH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  <c r="AC711" s="171"/>
      <c r="AD711" s="171"/>
      <c r="AE711" s="171"/>
      <c r="AF711" s="171"/>
      <c r="AG711" s="171"/>
      <c r="AH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1"/>
      <c r="AD712" s="171"/>
      <c r="AE712" s="171"/>
      <c r="AF712" s="171"/>
      <c r="AG712" s="171"/>
      <c r="AH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1"/>
      <c r="AD713" s="171"/>
      <c r="AE713" s="171"/>
      <c r="AF713" s="171"/>
      <c r="AG713" s="171"/>
      <c r="AH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  <c r="AC714" s="171"/>
      <c r="AD714" s="171"/>
      <c r="AE714" s="171"/>
      <c r="AF714" s="171"/>
      <c r="AG714" s="171"/>
      <c r="AH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1"/>
      <c r="AD715" s="171"/>
      <c r="AE715" s="171"/>
      <c r="AF715" s="171"/>
      <c r="AG715" s="171"/>
      <c r="AH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  <c r="AC716" s="171"/>
      <c r="AD716" s="171"/>
      <c r="AE716" s="171"/>
      <c r="AF716" s="171"/>
      <c r="AG716" s="171"/>
      <c r="AH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  <c r="AC717" s="171"/>
      <c r="AD717" s="171"/>
      <c r="AE717" s="171"/>
      <c r="AF717" s="171"/>
      <c r="AG717" s="171"/>
      <c r="AH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  <c r="AC718" s="171"/>
      <c r="AD718" s="171"/>
      <c r="AE718" s="171"/>
      <c r="AF718" s="171"/>
      <c r="AG718" s="171"/>
      <c r="AH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  <c r="AC719" s="171"/>
      <c r="AD719" s="171"/>
      <c r="AE719" s="171"/>
      <c r="AF719" s="171"/>
      <c r="AG719" s="171"/>
      <c r="AH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  <c r="AC720" s="171"/>
      <c r="AD720" s="171"/>
      <c r="AE720" s="171"/>
      <c r="AF720" s="171"/>
      <c r="AG720" s="171"/>
      <c r="AH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  <c r="AE721" s="171"/>
      <c r="AF721" s="171"/>
      <c r="AG721" s="171"/>
      <c r="AH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  <c r="AC722" s="171"/>
      <c r="AD722" s="171"/>
      <c r="AE722" s="171"/>
      <c r="AF722" s="171"/>
      <c r="AG722" s="171"/>
      <c r="AH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1"/>
      <c r="AD723" s="171"/>
      <c r="AE723" s="171"/>
      <c r="AF723" s="171"/>
      <c r="AG723" s="171"/>
      <c r="AH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  <c r="AC724" s="171"/>
      <c r="AD724" s="171"/>
      <c r="AE724" s="171"/>
      <c r="AF724" s="171"/>
      <c r="AG724" s="171"/>
      <c r="AH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1"/>
      <c r="AD725" s="171"/>
      <c r="AE725" s="171"/>
      <c r="AF725" s="171"/>
      <c r="AG725" s="171"/>
      <c r="AH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  <c r="AC726" s="171"/>
      <c r="AD726" s="171"/>
      <c r="AE726" s="171"/>
      <c r="AF726" s="171"/>
      <c r="AG726" s="171"/>
      <c r="AH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  <c r="AC727" s="171"/>
      <c r="AD727" s="171"/>
      <c r="AE727" s="171"/>
      <c r="AF727" s="171"/>
      <c r="AG727" s="171"/>
      <c r="AH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  <c r="AC728" s="171"/>
      <c r="AD728" s="171"/>
      <c r="AE728" s="171"/>
      <c r="AF728" s="171"/>
      <c r="AG728" s="171"/>
      <c r="AH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1"/>
      <c r="AD729" s="171"/>
      <c r="AE729" s="171"/>
      <c r="AF729" s="171"/>
      <c r="AG729" s="171"/>
      <c r="AH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  <c r="AC730" s="171"/>
      <c r="AD730" s="171"/>
      <c r="AE730" s="171"/>
      <c r="AF730" s="171"/>
      <c r="AG730" s="171"/>
      <c r="AH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1"/>
      <c r="AD731" s="171"/>
      <c r="AE731" s="171"/>
      <c r="AF731" s="171"/>
      <c r="AG731" s="171"/>
      <c r="AH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  <c r="AC732" s="171"/>
      <c r="AD732" s="171"/>
      <c r="AE732" s="171"/>
      <c r="AF732" s="171"/>
      <c r="AG732" s="171"/>
      <c r="AH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1"/>
      <c r="AD733" s="171"/>
      <c r="AE733" s="171"/>
      <c r="AF733" s="171"/>
      <c r="AG733" s="171"/>
      <c r="AH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  <c r="AC734" s="171"/>
      <c r="AD734" s="171"/>
      <c r="AE734" s="171"/>
      <c r="AF734" s="171"/>
      <c r="AG734" s="171"/>
      <c r="AH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1"/>
      <c r="AD735" s="171"/>
      <c r="AE735" s="171"/>
      <c r="AF735" s="171"/>
      <c r="AG735" s="171"/>
      <c r="AH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  <c r="AC736" s="171"/>
      <c r="AD736" s="171"/>
      <c r="AE736" s="171"/>
      <c r="AF736" s="171"/>
      <c r="AG736" s="171"/>
      <c r="AH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1"/>
      <c r="AD737" s="171"/>
      <c r="AE737" s="171"/>
      <c r="AF737" s="171"/>
      <c r="AG737" s="171"/>
      <c r="AH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1"/>
      <c r="AD738" s="171"/>
      <c r="AE738" s="171"/>
      <c r="AF738" s="171"/>
      <c r="AG738" s="171"/>
      <c r="AH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1"/>
      <c r="AD739" s="171"/>
      <c r="AE739" s="171"/>
      <c r="AF739" s="171"/>
      <c r="AG739" s="171"/>
      <c r="AH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  <c r="AC740" s="171"/>
      <c r="AD740" s="171"/>
      <c r="AE740" s="171"/>
      <c r="AF740" s="171"/>
      <c r="AG740" s="171"/>
      <c r="AH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1"/>
      <c r="AD741" s="171"/>
      <c r="AE741" s="171"/>
      <c r="AF741" s="171"/>
      <c r="AG741" s="171"/>
      <c r="AH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1"/>
      <c r="AD742" s="171"/>
      <c r="AE742" s="171"/>
      <c r="AF742" s="171"/>
      <c r="AG742" s="171"/>
      <c r="AH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  <c r="AC743" s="171"/>
      <c r="AD743" s="171"/>
      <c r="AE743" s="171"/>
      <c r="AF743" s="171"/>
      <c r="AG743" s="171"/>
      <c r="AH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  <c r="AC744" s="171"/>
      <c r="AD744" s="171"/>
      <c r="AE744" s="171"/>
      <c r="AF744" s="171"/>
      <c r="AG744" s="171"/>
      <c r="AH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  <c r="AC745" s="171"/>
      <c r="AD745" s="171"/>
      <c r="AE745" s="171"/>
      <c r="AF745" s="171"/>
      <c r="AG745" s="171"/>
      <c r="AH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1"/>
      <c r="AD746" s="171"/>
      <c r="AE746" s="171"/>
      <c r="AF746" s="171"/>
      <c r="AG746" s="171"/>
      <c r="AH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  <c r="AC747" s="171"/>
      <c r="AD747" s="171"/>
      <c r="AE747" s="171"/>
      <c r="AF747" s="171"/>
      <c r="AG747" s="171"/>
      <c r="AH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  <c r="AC748" s="171"/>
      <c r="AD748" s="171"/>
      <c r="AE748" s="171"/>
      <c r="AF748" s="171"/>
      <c r="AG748" s="171"/>
      <c r="AH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  <c r="AC749" s="171"/>
      <c r="AD749" s="171"/>
      <c r="AE749" s="171"/>
      <c r="AF749" s="171"/>
      <c r="AG749" s="171"/>
      <c r="AH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1"/>
      <c r="AD750" s="171"/>
      <c r="AE750" s="171"/>
      <c r="AF750" s="171"/>
      <c r="AG750" s="171"/>
      <c r="AH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  <c r="AC751" s="171"/>
      <c r="AD751" s="171"/>
      <c r="AE751" s="171"/>
      <c r="AF751" s="171"/>
      <c r="AG751" s="171"/>
      <c r="AH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  <c r="AC752" s="171"/>
      <c r="AD752" s="171"/>
      <c r="AE752" s="171"/>
      <c r="AF752" s="171"/>
      <c r="AG752" s="171"/>
      <c r="AH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1"/>
      <c r="AD753" s="171"/>
      <c r="AE753" s="171"/>
      <c r="AF753" s="171"/>
      <c r="AG753" s="171"/>
      <c r="AH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  <c r="AC754" s="171"/>
      <c r="AD754" s="171"/>
      <c r="AE754" s="171"/>
      <c r="AF754" s="171"/>
      <c r="AG754" s="171"/>
      <c r="AH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  <c r="AC755" s="171"/>
      <c r="AD755" s="171"/>
      <c r="AE755" s="171"/>
      <c r="AF755" s="171"/>
      <c r="AG755" s="171"/>
      <c r="AH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  <c r="AC756" s="171"/>
      <c r="AD756" s="171"/>
      <c r="AE756" s="171"/>
      <c r="AF756" s="171"/>
      <c r="AG756" s="171"/>
      <c r="AH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/>
      <c r="AD757" s="171"/>
      <c r="AE757" s="171"/>
      <c r="AF757" s="171"/>
      <c r="AG757" s="171"/>
      <c r="AH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  <c r="AC758" s="171"/>
      <c r="AD758" s="171"/>
      <c r="AE758" s="171"/>
      <c r="AF758" s="171"/>
      <c r="AG758" s="171"/>
      <c r="AH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1"/>
      <c r="AD759" s="171"/>
      <c r="AE759" s="171"/>
      <c r="AF759" s="171"/>
      <c r="AG759" s="171"/>
      <c r="AH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1"/>
      <c r="AD760" s="171"/>
      <c r="AE760" s="171"/>
      <c r="AF760" s="171"/>
      <c r="AG760" s="171"/>
      <c r="AH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1"/>
      <c r="AD761" s="171"/>
      <c r="AE761" s="171"/>
      <c r="AF761" s="171"/>
      <c r="AG761" s="171"/>
      <c r="AH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  <c r="AC762" s="171"/>
      <c r="AD762" s="171"/>
      <c r="AE762" s="171"/>
      <c r="AF762" s="171"/>
      <c r="AG762" s="171"/>
      <c r="AH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  <c r="AC763" s="171"/>
      <c r="AD763" s="171"/>
      <c r="AE763" s="171"/>
      <c r="AF763" s="171"/>
      <c r="AG763" s="171"/>
      <c r="AH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  <c r="AC764" s="171"/>
      <c r="AD764" s="171"/>
      <c r="AE764" s="171"/>
      <c r="AF764" s="171"/>
      <c r="AG764" s="171"/>
      <c r="AH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  <c r="AC765" s="171"/>
      <c r="AD765" s="171"/>
      <c r="AE765" s="171"/>
      <c r="AF765" s="171"/>
      <c r="AG765" s="171"/>
      <c r="AH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  <c r="AC766" s="171"/>
      <c r="AD766" s="171"/>
      <c r="AE766" s="171"/>
      <c r="AF766" s="171"/>
      <c r="AG766" s="171"/>
      <c r="AH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  <c r="AE767" s="171"/>
      <c r="AF767" s="171"/>
      <c r="AG767" s="171"/>
      <c r="AH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  <c r="AC768" s="171"/>
      <c r="AD768" s="171"/>
      <c r="AE768" s="171"/>
      <c r="AF768" s="171"/>
      <c r="AG768" s="171"/>
      <c r="AH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1"/>
      <c r="AD769" s="171"/>
      <c r="AE769" s="171"/>
      <c r="AF769" s="171"/>
      <c r="AG769" s="171"/>
      <c r="AH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  <c r="AF770" s="171"/>
      <c r="AG770" s="171"/>
      <c r="AH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1"/>
      <c r="AD771" s="171"/>
      <c r="AE771" s="171"/>
      <c r="AF771" s="171"/>
      <c r="AG771" s="171"/>
      <c r="AH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  <c r="AC772" s="171"/>
      <c r="AD772" s="171"/>
      <c r="AE772" s="171"/>
      <c r="AF772" s="171"/>
      <c r="AG772" s="171"/>
      <c r="AH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  <c r="AC773" s="171"/>
      <c r="AD773" s="171"/>
      <c r="AE773" s="171"/>
      <c r="AF773" s="171"/>
      <c r="AG773" s="171"/>
      <c r="AH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1"/>
      <c r="AD774" s="171"/>
      <c r="AE774" s="171"/>
      <c r="AF774" s="171"/>
      <c r="AG774" s="171"/>
      <c r="AH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  <c r="AC775" s="171"/>
      <c r="AD775" s="171"/>
      <c r="AE775" s="171"/>
      <c r="AF775" s="171"/>
      <c r="AG775" s="171"/>
      <c r="AH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1"/>
      <c r="AD776" s="171"/>
      <c r="AE776" s="171"/>
      <c r="AF776" s="171"/>
      <c r="AG776" s="171"/>
      <c r="AH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  <c r="AC777" s="171"/>
      <c r="AD777" s="171"/>
      <c r="AE777" s="171"/>
      <c r="AF777" s="171"/>
      <c r="AG777" s="171"/>
      <c r="AH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1"/>
      <c r="AD778" s="171"/>
      <c r="AE778" s="171"/>
      <c r="AF778" s="171"/>
      <c r="AG778" s="171"/>
      <c r="AH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  <c r="AC779" s="171"/>
      <c r="AD779" s="171"/>
      <c r="AE779" s="171"/>
      <c r="AF779" s="171"/>
      <c r="AG779" s="171"/>
      <c r="AH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/>
      <c r="AD780" s="171"/>
      <c r="AE780" s="171"/>
      <c r="AF780" s="171"/>
      <c r="AG780" s="171"/>
      <c r="AH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1"/>
      <c r="AD781" s="171"/>
      <c r="AE781" s="171"/>
      <c r="AF781" s="171"/>
      <c r="AG781" s="171"/>
      <c r="AH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  <c r="AC782" s="171"/>
      <c r="AD782" s="171"/>
      <c r="AE782" s="171"/>
      <c r="AF782" s="171"/>
      <c r="AG782" s="171"/>
      <c r="AH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  <c r="AC783" s="171"/>
      <c r="AD783" s="171"/>
      <c r="AE783" s="171"/>
      <c r="AF783" s="171"/>
      <c r="AG783" s="171"/>
      <c r="AH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1"/>
      <c r="AD784" s="171"/>
      <c r="AE784" s="171"/>
      <c r="AF784" s="171"/>
      <c r="AG784" s="171"/>
      <c r="AH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1"/>
      <c r="AD785" s="171"/>
      <c r="AE785" s="171"/>
      <c r="AF785" s="171"/>
      <c r="AG785" s="171"/>
      <c r="AH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1"/>
      <c r="AD786" s="171"/>
      <c r="AE786" s="171"/>
      <c r="AF786" s="171"/>
      <c r="AG786" s="171"/>
      <c r="AH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  <c r="AC787" s="171"/>
      <c r="AD787" s="171"/>
      <c r="AE787" s="171"/>
      <c r="AF787" s="171"/>
      <c r="AG787" s="171"/>
      <c r="AH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1"/>
      <c r="AD788" s="171"/>
      <c r="AE788" s="171"/>
      <c r="AF788" s="171"/>
      <c r="AG788" s="171"/>
      <c r="AH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  <c r="AC789" s="171"/>
      <c r="AD789" s="171"/>
      <c r="AE789" s="171"/>
      <c r="AF789" s="171"/>
      <c r="AG789" s="171"/>
      <c r="AH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1"/>
      <c r="AD790" s="171"/>
      <c r="AE790" s="171"/>
      <c r="AF790" s="171"/>
      <c r="AG790" s="171"/>
      <c r="AH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  <c r="AC791" s="171"/>
      <c r="AD791" s="171"/>
      <c r="AE791" s="171"/>
      <c r="AF791" s="171"/>
      <c r="AG791" s="171"/>
      <c r="AH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1"/>
      <c r="AD792" s="171"/>
      <c r="AE792" s="171"/>
      <c r="AF792" s="171"/>
      <c r="AG792" s="171"/>
      <c r="AH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  <c r="AC793" s="171"/>
      <c r="AD793" s="171"/>
      <c r="AE793" s="171"/>
      <c r="AF793" s="171"/>
      <c r="AG793" s="171"/>
      <c r="AH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  <c r="AE794" s="171"/>
      <c r="AF794" s="171"/>
      <c r="AG794" s="171"/>
      <c r="AH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1"/>
      <c r="AD795" s="171"/>
      <c r="AE795" s="171"/>
      <c r="AF795" s="171"/>
      <c r="AG795" s="171"/>
      <c r="AH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1"/>
      <c r="AD796" s="171"/>
      <c r="AE796" s="171"/>
      <c r="AF796" s="171"/>
      <c r="AG796" s="171"/>
      <c r="AH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  <c r="AC797" s="171"/>
      <c r="AD797" s="171"/>
      <c r="AE797" s="171"/>
      <c r="AF797" s="171"/>
      <c r="AG797" s="171"/>
      <c r="AH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  <c r="AC798" s="171"/>
      <c r="AD798" s="171"/>
      <c r="AE798" s="171"/>
      <c r="AF798" s="171"/>
      <c r="AG798" s="171"/>
      <c r="AH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  <c r="AC799" s="171"/>
      <c r="AD799" s="171"/>
      <c r="AE799" s="171"/>
      <c r="AF799" s="171"/>
      <c r="AG799" s="171"/>
      <c r="AH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1"/>
      <c r="AD800" s="171"/>
      <c r="AE800" s="171"/>
      <c r="AF800" s="171"/>
      <c r="AG800" s="171"/>
      <c r="AH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  <c r="AC801" s="171"/>
      <c r="AD801" s="171"/>
      <c r="AE801" s="171"/>
      <c r="AF801" s="171"/>
      <c r="AG801" s="171"/>
      <c r="AH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1"/>
      <c r="AD802" s="171"/>
      <c r="AE802" s="171"/>
      <c r="AF802" s="171"/>
      <c r="AG802" s="171"/>
      <c r="AH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  <c r="AC803" s="171"/>
      <c r="AD803" s="171"/>
      <c r="AE803" s="171"/>
      <c r="AF803" s="171"/>
      <c r="AG803" s="171"/>
      <c r="AH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1"/>
      <c r="AD804" s="171"/>
      <c r="AE804" s="171"/>
      <c r="AF804" s="171"/>
      <c r="AG804" s="171"/>
      <c r="AH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  <c r="AC805" s="171"/>
      <c r="AD805" s="171"/>
      <c r="AE805" s="171"/>
      <c r="AF805" s="171"/>
      <c r="AG805" s="171"/>
      <c r="AH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1"/>
      <c r="AD806" s="171"/>
      <c r="AE806" s="171"/>
      <c r="AF806" s="171"/>
      <c r="AG806" s="171"/>
      <c r="AH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  <c r="AC807" s="171"/>
      <c r="AD807" s="171"/>
      <c r="AE807" s="171"/>
      <c r="AF807" s="171"/>
      <c r="AG807" s="171"/>
      <c r="AH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1"/>
      <c r="AD808" s="171"/>
      <c r="AE808" s="171"/>
      <c r="AF808" s="171"/>
      <c r="AG808" s="171"/>
      <c r="AH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  <c r="AC809" s="171"/>
      <c r="AD809" s="171"/>
      <c r="AE809" s="171"/>
      <c r="AF809" s="171"/>
      <c r="AG809" s="171"/>
      <c r="AH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  <c r="AC810" s="171"/>
      <c r="AD810" s="171"/>
      <c r="AE810" s="171"/>
      <c r="AF810" s="171"/>
      <c r="AG810" s="171"/>
      <c r="AH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  <c r="AC811" s="171"/>
      <c r="AD811" s="171"/>
      <c r="AE811" s="171"/>
      <c r="AF811" s="171"/>
      <c r="AG811" s="171"/>
      <c r="AH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1"/>
      <c r="AD812" s="171"/>
      <c r="AE812" s="171"/>
      <c r="AF812" s="171"/>
      <c r="AG812" s="171"/>
      <c r="AH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  <c r="AC813" s="171"/>
      <c r="AD813" s="171"/>
      <c r="AE813" s="171"/>
      <c r="AF813" s="171"/>
      <c r="AG813" s="171"/>
      <c r="AH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  <c r="AC814" s="171"/>
      <c r="AD814" s="171"/>
      <c r="AE814" s="171"/>
      <c r="AF814" s="171"/>
      <c r="AG814" s="171"/>
      <c r="AH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1"/>
      <c r="AD815" s="171"/>
      <c r="AE815" s="171"/>
      <c r="AF815" s="171"/>
      <c r="AG815" s="171"/>
      <c r="AH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  <c r="AC816" s="171"/>
      <c r="AD816" s="171"/>
      <c r="AE816" s="171"/>
      <c r="AF816" s="171"/>
      <c r="AG816" s="171"/>
      <c r="AH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1"/>
      <c r="AD817" s="171"/>
      <c r="AE817" s="171"/>
      <c r="AF817" s="171"/>
      <c r="AG817" s="171"/>
      <c r="AH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  <c r="AC818" s="171"/>
      <c r="AD818" s="171"/>
      <c r="AE818" s="171"/>
      <c r="AF818" s="171"/>
      <c r="AG818" s="171"/>
      <c r="AH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  <c r="AC819" s="171"/>
      <c r="AD819" s="171"/>
      <c r="AE819" s="171"/>
      <c r="AF819" s="171"/>
      <c r="AG819" s="171"/>
      <c r="AH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  <c r="AC820" s="171"/>
      <c r="AD820" s="171"/>
      <c r="AE820" s="171"/>
      <c r="AF820" s="171"/>
      <c r="AG820" s="171"/>
      <c r="AH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  <c r="AC821" s="171"/>
      <c r="AD821" s="171"/>
      <c r="AE821" s="171"/>
      <c r="AF821" s="171"/>
      <c r="AG821" s="171"/>
      <c r="AH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1"/>
      <c r="AD822" s="171"/>
      <c r="AE822" s="171"/>
      <c r="AF822" s="171"/>
      <c r="AG822" s="171"/>
      <c r="AH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1"/>
      <c r="AD823" s="171"/>
      <c r="AE823" s="171"/>
      <c r="AF823" s="171"/>
      <c r="AG823" s="171"/>
      <c r="AH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  <c r="AC824" s="171"/>
      <c r="AD824" s="171"/>
      <c r="AE824" s="171"/>
      <c r="AF824" s="171"/>
      <c r="AG824" s="171"/>
      <c r="AH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1"/>
      <c r="AD825" s="171"/>
      <c r="AE825" s="171"/>
      <c r="AF825" s="171"/>
      <c r="AG825" s="171"/>
      <c r="AH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  <c r="AC826" s="171"/>
      <c r="AD826" s="171"/>
      <c r="AE826" s="171"/>
      <c r="AF826" s="171"/>
      <c r="AG826" s="171"/>
      <c r="AH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1"/>
      <c r="AD827" s="171"/>
      <c r="AE827" s="171"/>
      <c r="AF827" s="171"/>
      <c r="AG827" s="171"/>
      <c r="AH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  <c r="AC828" s="171"/>
      <c r="AD828" s="171"/>
      <c r="AE828" s="171"/>
      <c r="AF828" s="171"/>
      <c r="AG828" s="171"/>
      <c r="AH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1"/>
      <c r="AD829" s="171"/>
      <c r="AE829" s="171"/>
      <c r="AF829" s="171"/>
      <c r="AG829" s="171"/>
      <c r="AH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  <c r="AC830" s="171"/>
      <c r="AD830" s="171"/>
      <c r="AE830" s="171"/>
      <c r="AF830" s="171"/>
      <c r="AG830" s="171"/>
      <c r="AH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1"/>
      <c r="AD831" s="171"/>
      <c r="AE831" s="171"/>
      <c r="AF831" s="171"/>
      <c r="AG831" s="171"/>
      <c r="AH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  <c r="AC832" s="171"/>
      <c r="AD832" s="171"/>
      <c r="AE832" s="171"/>
      <c r="AF832" s="171"/>
      <c r="AG832" s="171"/>
      <c r="AH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/>
      <c r="AD833" s="171"/>
      <c r="AE833" s="171"/>
      <c r="AF833" s="171"/>
      <c r="AG833" s="171"/>
      <c r="AH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  <c r="AC834" s="171"/>
      <c r="AD834" s="171"/>
      <c r="AE834" s="171"/>
      <c r="AF834" s="171"/>
      <c r="AG834" s="171"/>
      <c r="AH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1"/>
      <c r="AD835" s="171"/>
      <c r="AE835" s="171"/>
      <c r="AF835" s="171"/>
      <c r="AG835" s="171"/>
      <c r="AH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  <c r="AC836" s="171"/>
      <c r="AD836" s="171"/>
      <c r="AE836" s="171"/>
      <c r="AF836" s="171"/>
      <c r="AG836" s="171"/>
      <c r="AH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1"/>
      <c r="AD837" s="171"/>
      <c r="AE837" s="171"/>
      <c r="AF837" s="171"/>
      <c r="AG837" s="171"/>
      <c r="AH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  <c r="AC838" s="171"/>
      <c r="AD838" s="171"/>
      <c r="AE838" s="171"/>
      <c r="AF838" s="171"/>
      <c r="AG838" s="171"/>
      <c r="AH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1"/>
      <c r="AD839" s="171"/>
      <c r="AE839" s="171"/>
      <c r="AF839" s="171"/>
      <c r="AG839" s="171"/>
      <c r="AH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  <c r="AC840" s="171"/>
      <c r="AD840" s="171"/>
      <c r="AE840" s="171"/>
      <c r="AF840" s="171"/>
      <c r="AG840" s="171"/>
      <c r="AH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1"/>
      <c r="AD841" s="171"/>
      <c r="AE841" s="171"/>
      <c r="AF841" s="171"/>
      <c r="AG841" s="171"/>
      <c r="AH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  <c r="AC842" s="171"/>
      <c r="AD842" s="171"/>
      <c r="AE842" s="171"/>
      <c r="AF842" s="171"/>
      <c r="AG842" s="171"/>
      <c r="AH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1"/>
      <c r="AD843" s="171"/>
      <c r="AE843" s="171"/>
      <c r="AF843" s="171"/>
      <c r="AG843" s="171"/>
      <c r="AH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  <c r="AC844" s="171"/>
      <c r="AD844" s="171"/>
      <c r="AE844" s="171"/>
      <c r="AF844" s="171"/>
      <c r="AG844" s="171"/>
      <c r="AH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1"/>
      <c r="AD845" s="171"/>
      <c r="AE845" s="171"/>
      <c r="AF845" s="171"/>
      <c r="AG845" s="171"/>
      <c r="AH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  <c r="AC846" s="171"/>
      <c r="AD846" s="171"/>
      <c r="AE846" s="171"/>
      <c r="AF846" s="171"/>
      <c r="AG846" s="171"/>
      <c r="AH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1"/>
      <c r="AD847" s="171"/>
      <c r="AE847" s="171"/>
      <c r="AF847" s="171"/>
      <c r="AG847" s="171"/>
      <c r="AH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171"/>
      <c r="AD848" s="171"/>
      <c r="AE848" s="171"/>
      <c r="AF848" s="171"/>
      <c r="AG848" s="171"/>
      <c r="AH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1"/>
      <c r="AD849" s="171"/>
      <c r="AE849" s="171"/>
      <c r="AF849" s="171"/>
      <c r="AG849" s="171"/>
      <c r="AH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  <c r="AC850" s="171"/>
      <c r="AD850" s="171"/>
      <c r="AE850" s="171"/>
      <c r="AF850" s="171"/>
      <c r="AG850" s="171"/>
      <c r="AH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  <c r="AE851" s="171"/>
      <c r="AF851" s="171"/>
      <c r="AG851" s="171"/>
      <c r="AH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  <c r="AC852" s="171"/>
      <c r="AD852" s="171"/>
      <c r="AE852" s="171"/>
      <c r="AF852" s="171"/>
      <c r="AG852" s="171"/>
      <c r="AH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  <c r="AC853" s="171"/>
      <c r="AD853" s="171"/>
      <c r="AE853" s="171"/>
      <c r="AF853" s="171"/>
      <c r="AG853" s="171"/>
      <c r="AH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  <c r="AC854" s="171"/>
      <c r="AD854" s="171"/>
      <c r="AE854" s="171"/>
      <c r="AF854" s="171"/>
      <c r="AG854" s="171"/>
      <c r="AH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1"/>
      <c r="AD855" s="171"/>
      <c r="AE855" s="171"/>
      <c r="AF855" s="171"/>
      <c r="AG855" s="171"/>
      <c r="AH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  <c r="AC856" s="171"/>
      <c r="AD856" s="171"/>
      <c r="AE856" s="171"/>
      <c r="AF856" s="171"/>
      <c r="AG856" s="171"/>
      <c r="AH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1"/>
      <c r="AD857" s="171"/>
      <c r="AE857" s="171"/>
      <c r="AF857" s="171"/>
      <c r="AG857" s="171"/>
      <c r="AH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  <c r="AC858" s="171"/>
      <c r="AD858" s="171"/>
      <c r="AE858" s="171"/>
      <c r="AF858" s="171"/>
      <c r="AG858" s="171"/>
      <c r="AH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1"/>
      <c r="AD859" s="171"/>
      <c r="AE859" s="171"/>
      <c r="AF859" s="171"/>
      <c r="AG859" s="171"/>
      <c r="AH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  <c r="AC860" s="171"/>
      <c r="AD860" s="171"/>
      <c r="AE860" s="171"/>
      <c r="AF860" s="171"/>
      <c r="AG860" s="171"/>
      <c r="AH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1"/>
      <c r="AD861" s="171"/>
      <c r="AE861" s="171"/>
      <c r="AF861" s="171"/>
      <c r="AG861" s="171"/>
      <c r="AH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1"/>
      <c r="AD862" s="171"/>
      <c r="AE862" s="171"/>
      <c r="AF862" s="171"/>
      <c r="AG862" s="171"/>
      <c r="AH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1"/>
      <c r="AD863" s="171"/>
      <c r="AE863" s="171"/>
      <c r="AF863" s="171"/>
      <c r="AG863" s="171"/>
      <c r="AH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  <c r="AC864" s="171"/>
      <c r="AD864" s="171"/>
      <c r="AE864" s="171"/>
      <c r="AF864" s="171"/>
      <c r="AG864" s="171"/>
      <c r="AH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1"/>
      <c r="AD865" s="171"/>
      <c r="AE865" s="171"/>
      <c r="AF865" s="171"/>
      <c r="AG865" s="171"/>
      <c r="AH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  <c r="AC866" s="171"/>
      <c r="AD866" s="171"/>
      <c r="AE866" s="171"/>
      <c r="AF866" s="171"/>
      <c r="AG866" s="171"/>
      <c r="AH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  <c r="AE867" s="171"/>
      <c r="AF867" s="171"/>
      <c r="AG867" s="171"/>
      <c r="AH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  <c r="AC868" s="171"/>
      <c r="AD868" s="171"/>
      <c r="AE868" s="171"/>
      <c r="AF868" s="171"/>
      <c r="AG868" s="171"/>
      <c r="AH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1"/>
      <c r="AD869" s="171"/>
      <c r="AE869" s="171"/>
      <c r="AF869" s="171"/>
      <c r="AG869" s="171"/>
      <c r="AH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  <c r="AC870" s="171"/>
      <c r="AD870" s="171"/>
      <c r="AE870" s="171"/>
      <c r="AF870" s="171"/>
      <c r="AG870" s="171"/>
      <c r="AH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1"/>
      <c r="AD871" s="171"/>
      <c r="AE871" s="171"/>
      <c r="AF871" s="171"/>
      <c r="AG871" s="171"/>
      <c r="AH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  <c r="AC872" s="171"/>
      <c r="AD872" s="171"/>
      <c r="AE872" s="171"/>
      <c r="AF872" s="171"/>
      <c r="AG872" s="171"/>
      <c r="AH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1"/>
      <c r="AD873" s="171"/>
      <c r="AE873" s="171"/>
      <c r="AF873" s="171"/>
      <c r="AG873" s="171"/>
      <c r="AH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  <c r="AC874" s="171"/>
      <c r="AD874" s="171"/>
      <c r="AE874" s="171"/>
      <c r="AF874" s="171"/>
      <c r="AG874" s="171"/>
      <c r="AH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1"/>
      <c r="AD875" s="171"/>
      <c r="AE875" s="171"/>
      <c r="AF875" s="171"/>
      <c r="AG875" s="171"/>
      <c r="AH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  <c r="AC876" s="171"/>
      <c r="AD876" s="171"/>
      <c r="AE876" s="171"/>
      <c r="AF876" s="171"/>
      <c r="AG876" s="171"/>
      <c r="AH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  <c r="AC877" s="171"/>
      <c r="AD877" s="171"/>
      <c r="AE877" s="171"/>
      <c r="AF877" s="171"/>
      <c r="AG877" s="171"/>
      <c r="AH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  <c r="AC878" s="171"/>
      <c r="AD878" s="171"/>
      <c r="AE878" s="171"/>
      <c r="AF878" s="171"/>
      <c r="AG878" s="171"/>
      <c r="AH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  <c r="AC879" s="171"/>
      <c r="AD879" s="171"/>
      <c r="AE879" s="171"/>
      <c r="AF879" s="171"/>
      <c r="AG879" s="171"/>
      <c r="AH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  <c r="AC880" s="171"/>
      <c r="AD880" s="171"/>
      <c r="AE880" s="171"/>
      <c r="AF880" s="171"/>
      <c r="AG880" s="171"/>
      <c r="AH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  <c r="AC881" s="171"/>
      <c r="AD881" s="171"/>
      <c r="AE881" s="171"/>
      <c r="AF881" s="171"/>
      <c r="AG881" s="171"/>
      <c r="AH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  <c r="AC882" s="171"/>
      <c r="AD882" s="171"/>
      <c r="AE882" s="171"/>
      <c r="AF882" s="171"/>
      <c r="AG882" s="171"/>
      <c r="AH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  <c r="AC883" s="171"/>
      <c r="AD883" s="171"/>
      <c r="AE883" s="171"/>
      <c r="AF883" s="171"/>
      <c r="AG883" s="171"/>
      <c r="AH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  <c r="AC884" s="171"/>
      <c r="AD884" s="171"/>
      <c r="AE884" s="171"/>
      <c r="AF884" s="171"/>
      <c r="AG884" s="171"/>
      <c r="AH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  <c r="AC885" s="171"/>
      <c r="AD885" s="171"/>
      <c r="AE885" s="171"/>
      <c r="AF885" s="171"/>
      <c r="AG885" s="171"/>
      <c r="AH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  <c r="AC886" s="171"/>
      <c r="AD886" s="171"/>
      <c r="AE886" s="171"/>
      <c r="AF886" s="171"/>
      <c r="AG886" s="171"/>
      <c r="AH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  <c r="AC887" s="171"/>
      <c r="AD887" s="171"/>
      <c r="AE887" s="171"/>
      <c r="AF887" s="171"/>
      <c r="AG887" s="171"/>
      <c r="AH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  <c r="AC888" s="171"/>
      <c r="AD888" s="171"/>
      <c r="AE888" s="171"/>
      <c r="AF888" s="171"/>
      <c r="AG888" s="171"/>
      <c r="AH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  <c r="AC889" s="171"/>
      <c r="AD889" s="171"/>
      <c r="AE889" s="171"/>
      <c r="AF889" s="171"/>
      <c r="AG889" s="171"/>
      <c r="AH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  <c r="AC890" s="171"/>
      <c r="AD890" s="171"/>
      <c r="AE890" s="171"/>
      <c r="AF890" s="171"/>
      <c r="AG890" s="171"/>
      <c r="AH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  <c r="AC891" s="171"/>
      <c r="AD891" s="171"/>
      <c r="AE891" s="171"/>
      <c r="AF891" s="171"/>
      <c r="AG891" s="171"/>
      <c r="AH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  <c r="AC892" s="171"/>
      <c r="AD892" s="171"/>
      <c r="AE892" s="171"/>
      <c r="AF892" s="171"/>
      <c r="AG892" s="171"/>
      <c r="AH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  <c r="AC893" s="171"/>
      <c r="AD893" s="171"/>
      <c r="AE893" s="171"/>
      <c r="AF893" s="171"/>
      <c r="AG893" s="171"/>
      <c r="AH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  <c r="AC894" s="171"/>
      <c r="AD894" s="171"/>
      <c r="AE894" s="171"/>
      <c r="AF894" s="171"/>
      <c r="AG894" s="171"/>
      <c r="AH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  <c r="AC895" s="171"/>
      <c r="AD895" s="171"/>
      <c r="AE895" s="171"/>
      <c r="AF895" s="171"/>
      <c r="AG895" s="171"/>
      <c r="AH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  <c r="AC896" s="171"/>
      <c r="AD896" s="171"/>
      <c r="AE896" s="171"/>
      <c r="AF896" s="171"/>
      <c r="AG896" s="171"/>
      <c r="AH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  <c r="AC897" s="171"/>
      <c r="AD897" s="171"/>
      <c r="AE897" s="171"/>
      <c r="AF897" s="171"/>
      <c r="AG897" s="171"/>
      <c r="AH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  <c r="AC898" s="171"/>
      <c r="AD898" s="171"/>
      <c r="AE898" s="171"/>
      <c r="AF898" s="171"/>
      <c r="AG898" s="171"/>
      <c r="AH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  <c r="AC899" s="171"/>
      <c r="AD899" s="171"/>
      <c r="AE899" s="171"/>
      <c r="AF899" s="171"/>
      <c r="AG899" s="171"/>
      <c r="AH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  <c r="AC900" s="171"/>
      <c r="AD900" s="171"/>
      <c r="AE900" s="171"/>
      <c r="AF900" s="171"/>
      <c r="AG900" s="171"/>
      <c r="AH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  <c r="AC901" s="171"/>
      <c r="AD901" s="171"/>
      <c r="AE901" s="171"/>
      <c r="AF901" s="171"/>
      <c r="AG901" s="171"/>
      <c r="AH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  <c r="AC902" s="171"/>
      <c r="AD902" s="171"/>
      <c r="AE902" s="171"/>
      <c r="AF902" s="171"/>
      <c r="AG902" s="171"/>
      <c r="AH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  <c r="AC903" s="171"/>
      <c r="AD903" s="171"/>
      <c r="AE903" s="171"/>
      <c r="AF903" s="171"/>
      <c r="AG903" s="171"/>
      <c r="AH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  <c r="AC904" s="171"/>
      <c r="AD904" s="171"/>
      <c r="AE904" s="171"/>
      <c r="AF904" s="171"/>
      <c r="AG904" s="171"/>
      <c r="AH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  <c r="AC905" s="171"/>
      <c r="AD905" s="171"/>
      <c r="AE905" s="171"/>
      <c r="AF905" s="171"/>
      <c r="AG905" s="171"/>
      <c r="AH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  <c r="AC906" s="171"/>
      <c r="AD906" s="171"/>
      <c r="AE906" s="171"/>
      <c r="AF906" s="171"/>
      <c r="AG906" s="171"/>
      <c r="AH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  <c r="AC907" s="171"/>
      <c r="AD907" s="171"/>
      <c r="AE907" s="171"/>
      <c r="AF907" s="171"/>
      <c r="AG907" s="171"/>
      <c r="AH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  <c r="AC908" s="171"/>
      <c r="AD908" s="171"/>
      <c r="AE908" s="171"/>
      <c r="AF908" s="171"/>
      <c r="AG908" s="171"/>
      <c r="AH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  <c r="AC909" s="171"/>
      <c r="AD909" s="171"/>
      <c r="AE909" s="171"/>
      <c r="AF909" s="171"/>
      <c r="AG909" s="171"/>
      <c r="AH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  <c r="AC910" s="171"/>
      <c r="AD910" s="171"/>
      <c r="AE910" s="171"/>
      <c r="AF910" s="171"/>
      <c r="AG910" s="171"/>
      <c r="AH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171"/>
      <c r="AD911" s="171"/>
      <c r="AE911" s="171"/>
      <c r="AF911" s="171"/>
      <c r="AG911" s="171"/>
      <c r="AH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  <c r="AC912" s="171"/>
      <c r="AD912" s="171"/>
      <c r="AE912" s="171"/>
      <c r="AF912" s="171"/>
      <c r="AG912" s="171"/>
      <c r="AH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  <c r="AC913" s="171"/>
      <c r="AD913" s="171"/>
      <c r="AE913" s="171"/>
      <c r="AF913" s="171"/>
      <c r="AG913" s="171"/>
      <c r="AH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  <c r="AC914" s="171"/>
      <c r="AD914" s="171"/>
      <c r="AE914" s="171"/>
      <c r="AF914" s="171"/>
      <c r="AG914" s="171"/>
      <c r="AH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  <c r="AC915" s="171"/>
      <c r="AD915" s="171"/>
      <c r="AE915" s="171"/>
      <c r="AF915" s="171"/>
      <c r="AG915" s="171"/>
      <c r="AH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  <c r="AC916" s="171"/>
      <c r="AD916" s="171"/>
      <c r="AE916" s="171"/>
      <c r="AF916" s="171"/>
      <c r="AG916" s="171"/>
      <c r="AH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  <c r="AC917" s="171"/>
      <c r="AD917" s="171"/>
      <c r="AE917" s="171"/>
      <c r="AF917" s="171"/>
      <c r="AG917" s="171"/>
      <c r="AH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  <c r="AC918" s="171"/>
      <c r="AD918" s="171"/>
      <c r="AE918" s="171"/>
      <c r="AF918" s="171"/>
      <c r="AG918" s="171"/>
      <c r="AH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  <c r="AC919" s="171"/>
      <c r="AD919" s="171"/>
      <c r="AE919" s="171"/>
      <c r="AF919" s="171"/>
      <c r="AG919" s="171"/>
      <c r="AH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  <c r="AC920" s="171"/>
      <c r="AD920" s="171"/>
      <c r="AE920" s="171"/>
      <c r="AF920" s="171"/>
      <c r="AG920" s="171"/>
      <c r="AH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  <c r="AC921" s="171"/>
      <c r="AD921" s="171"/>
      <c r="AE921" s="171"/>
      <c r="AF921" s="171"/>
      <c r="AG921" s="171"/>
      <c r="AH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  <c r="AC922" s="171"/>
      <c r="AD922" s="171"/>
      <c r="AE922" s="171"/>
      <c r="AF922" s="171"/>
      <c r="AG922" s="171"/>
      <c r="AH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  <c r="AC923" s="171"/>
      <c r="AD923" s="171"/>
      <c r="AE923" s="171"/>
      <c r="AF923" s="171"/>
      <c r="AG923" s="171"/>
      <c r="AH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  <c r="AC924" s="171"/>
      <c r="AD924" s="171"/>
      <c r="AE924" s="171"/>
      <c r="AF924" s="171"/>
      <c r="AG924" s="171"/>
      <c r="AH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  <c r="AC925" s="171"/>
      <c r="AD925" s="171"/>
      <c r="AE925" s="171"/>
      <c r="AF925" s="171"/>
      <c r="AG925" s="171"/>
      <c r="AH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1"/>
      <c r="AD926" s="171"/>
      <c r="AE926" s="171"/>
      <c r="AF926" s="171"/>
      <c r="AG926" s="171"/>
      <c r="AH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  <c r="AC927" s="171"/>
      <c r="AD927" s="171"/>
      <c r="AE927" s="171"/>
      <c r="AF927" s="171"/>
      <c r="AG927" s="171"/>
      <c r="AH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  <c r="AC928" s="171"/>
      <c r="AD928" s="171"/>
      <c r="AE928" s="171"/>
      <c r="AF928" s="171"/>
      <c r="AG928" s="171"/>
      <c r="AH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  <c r="AC929" s="171"/>
      <c r="AD929" s="171"/>
      <c r="AE929" s="171"/>
      <c r="AF929" s="171"/>
      <c r="AG929" s="171"/>
      <c r="AH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  <c r="AC930" s="171"/>
      <c r="AD930" s="171"/>
      <c r="AE930" s="171"/>
      <c r="AF930" s="171"/>
      <c r="AG930" s="171"/>
      <c r="AH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  <c r="AC931" s="171"/>
      <c r="AD931" s="171"/>
      <c r="AE931" s="171"/>
      <c r="AF931" s="171"/>
      <c r="AG931" s="171"/>
      <c r="AH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  <c r="AC932" s="171"/>
      <c r="AD932" s="171"/>
      <c r="AE932" s="171"/>
      <c r="AF932" s="171"/>
      <c r="AG932" s="171"/>
      <c r="AH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  <c r="AC933" s="171"/>
      <c r="AD933" s="171"/>
      <c r="AE933" s="171"/>
      <c r="AF933" s="171"/>
      <c r="AG933" s="171"/>
      <c r="AH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  <c r="AC934" s="171"/>
      <c r="AD934" s="171"/>
      <c r="AE934" s="171"/>
      <c r="AF934" s="171"/>
      <c r="AG934" s="171"/>
      <c r="AH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  <c r="AC935" s="171"/>
      <c r="AD935" s="171"/>
      <c r="AE935" s="171"/>
      <c r="AF935" s="171"/>
      <c r="AG935" s="171"/>
      <c r="AH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  <c r="AC936" s="171"/>
      <c r="AD936" s="171"/>
      <c r="AE936" s="171"/>
      <c r="AF936" s="171"/>
      <c r="AG936" s="171"/>
      <c r="AH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  <c r="AF937" s="171"/>
      <c r="AG937" s="171"/>
      <c r="AH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  <c r="AC938" s="171"/>
      <c r="AD938" s="171"/>
      <c r="AE938" s="171"/>
      <c r="AF938" s="171"/>
      <c r="AG938" s="171"/>
      <c r="AH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  <c r="AC939" s="171"/>
      <c r="AD939" s="171"/>
      <c r="AE939" s="171"/>
      <c r="AF939" s="171"/>
      <c r="AG939" s="171"/>
      <c r="AH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  <c r="AC940" s="171"/>
      <c r="AD940" s="171"/>
      <c r="AE940" s="171"/>
      <c r="AF940" s="171"/>
      <c r="AG940" s="171"/>
      <c r="AH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  <c r="AC941" s="171"/>
      <c r="AD941" s="171"/>
      <c r="AE941" s="171"/>
      <c r="AF941" s="171"/>
      <c r="AG941" s="171"/>
      <c r="AH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  <c r="AC942" s="171"/>
      <c r="AD942" s="171"/>
      <c r="AE942" s="171"/>
      <c r="AF942" s="171"/>
      <c r="AG942" s="171"/>
      <c r="AH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  <c r="AC943" s="171"/>
      <c r="AD943" s="171"/>
      <c r="AE943" s="171"/>
      <c r="AF943" s="171"/>
      <c r="AG943" s="171"/>
      <c r="AH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  <c r="AC944" s="171"/>
      <c r="AD944" s="171"/>
      <c r="AE944" s="171"/>
      <c r="AF944" s="171"/>
      <c r="AG944" s="171"/>
      <c r="AH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  <c r="AC945" s="171"/>
      <c r="AD945" s="171"/>
      <c r="AE945" s="171"/>
      <c r="AF945" s="171"/>
      <c r="AG945" s="171"/>
      <c r="AH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  <c r="AC946" s="171"/>
      <c r="AD946" s="171"/>
      <c r="AE946" s="171"/>
      <c r="AF946" s="171"/>
      <c r="AG946" s="171"/>
      <c r="AH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  <c r="AC947" s="171"/>
      <c r="AD947" s="171"/>
      <c r="AE947" s="171"/>
      <c r="AF947" s="171"/>
      <c r="AG947" s="171"/>
      <c r="AH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  <c r="AC948" s="171"/>
      <c r="AD948" s="171"/>
      <c r="AE948" s="171"/>
      <c r="AF948" s="171"/>
      <c r="AG948" s="171"/>
      <c r="AH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  <c r="AC949" s="171"/>
      <c r="AD949" s="171"/>
      <c r="AE949" s="171"/>
      <c r="AF949" s="171"/>
      <c r="AG949" s="171"/>
      <c r="AH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  <c r="AC950" s="171"/>
      <c r="AD950" s="171"/>
      <c r="AE950" s="171"/>
      <c r="AF950" s="171"/>
      <c r="AG950" s="171"/>
      <c r="AH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  <c r="AC951" s="171"/>
      <c r="AD951" s="171"/>
      <c r="AE951" s="171"/>
      <c r="AF951" s="171"/>
      <c r="AG951" s="171"/>
      <c r="AH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  <c r="AC952" s="171"/>
      <c r="AD952" s="171"/>
      <c r="AE952" s="171"/>
      <c r="AF952" s="171"/>
      <c r="AG952" s="171"/>
      <c r="AH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  <c r="AC953" s="171"/>
      <c r="AD953" s="171"/>
      <c r="AE953" s="171"/>
      <c r="AF953" s="171"/>
      <c r="AG953" s="171"/>
      <c r="AH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  <c r="AC954" s="171"/>
      <c r="AD954" s="171"/>
      <c r="AE954" s="171"/>
      <c r="AF954" s="171"/>
      <c r="AG954" s="171"/>
      <c r="AH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  <c r="AC955" s="171"/>
      <c r="AD955" s="171"/>
      <c r="AE955" s="171"/>
      <c r="AF955" s="171"/>
      <c r="AG955" s="171"/>
      <c r="AH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  <c r="AC956" s="171"/>
      <c r="AD956" s="171"/>
      <c r="AE956" s="171"/>
      <c r="AF956" s="171"/>
      <c r="AG956" s="171"/>
      <c r="AH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  <c r="AC957" s="171"/>
      <c r="AD957" s="171"/>
      <c r="AE957" s="171"/>
      <c r="AF957" s="171"/>
      <c r="AG957" s="171"/>
      <c r="AH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  <c r="AC958" s="171"/>
      <c r="AD958" s="171"/>
      <c r="AE958" s="171"/>
      <c r="AF958" s="171"/>
      <c r="AG958" s="171"/>
      <c r="AH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  <c r="AC959" s="171"/>
      <c r="AD959" s="171"/>
      <c r="AE959" s="171"/>
      <c r="AF959" s="171"/>
      <c r="AG959" s="171"/>
      <c r="AH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  <c r="AC960" s="171"/>
      <c r="AD960" s="171"/>
      <c r="AE960" s="171"/>
      <c r="AF960" s="171"/>
      <c r="AG960" s="171"/>
      <c r="AH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  <c r="AC961" s="171"/>
      <c r="AD961" s="171"/>
      <c r="AE961" s="171"/>
      <c r="AF961" s="171"/>
      <c r="AG961" s="171"/>
      <c r="AH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  <c r="AC962" s="171"/>
      <c r="AD962" s="171"/>
      <c r="AE962" s="171"/>
      <c r="AF962" s="171"/>
      <c r="AG962" s="171"/>
      <c r="AH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  <c r="AC963" s="171"/>
      <c r="AD963" s="171"/>
      <c r="AE963" s="171"/>
      <c r="AF963" s="171"/>
      <c r="AG963" s="171"/>
      <c r="AH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  <c r="AC964" s="171"/>
      <c r="AD964" s="171"/>
      <c r="AE964" s="171"/>
      <c r="AF964" s="171"/>
      <c r="AG964" s="171"/>
      <c r="AH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  <c r="AC965" s="171"/>
      <c r="AD965" s="171"/>
      <c r="AE965" s="171"/>
      <c r="AF965" s="171"/>
      <c r="AG965" s="171"/>
      <c r="AH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  <c r="AC966" s="171"/>
      <c r="AD966" s="171"/>
      <c r="AE966" s="171"/>
      <c r="AF966" s="171"/>
      <c r="AG966" s="171"/>
      <c r="AH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  <c r="AC967" s="171"/>
      <c r="AD967" s="171"/>
      <c r="AE967" s="171"/>
      <c r="AF967" s="171"/>
      <c r="AG967" s="171"/>
      <c r="AH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  <c r="AC968" s="171"/>
      <c r="AD968" s="171"/>
      <c r="AE968" s="171"/>
      <c r="AF968" s="171"/>
      <c r="AG968" s="171"/>
      <c r="AH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  <c r="AC969" s="171"/>
      <c r="AD969" s="171"/>
      <c r="AE969" s="171"/>
      <c r="AF969" s="171"/>
      <c r="AG969" s="171"/>
      <c r="AH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  <c r="AC970" s="171"/>
      <c r="AD970" s="171"/>
      <c r="AE970" s="171"/>
      <c r="AF970" s="171"/>
      <c r="AG970" s="171"/>
      <c r="AH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  <c r="AC971" s="171"/>
      <c r="AD971" s="171"/>
      <c r="AE971" s="171"/>
      <c r="AF971" s="171"/>
      <c r="AG971" s="171"/>
      <c r="AH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  <c r="AC972" s="171"/>
      <c r="AD972" s="171"/>
      <c r="AE972" s="171"/>
      <c r="AF972" s="171"/>
      <c r="AG972" s="171"/>
      <c r="AH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  <c r="AC973" s="171"/>
      <c r="AD973" s="171"/>
      <c r="AE973" s="171"/>
      <c r="AF973" s="171"/>
      <c r="AG973" s="171"/>
      <c r="AH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  <c r="AC974" s="171"/>
      <c r="AD974" s="171"/>
      <c r="AE974" s="171"/>
      <c r="AF974" s="171"/>
      <c r="AG974" s="171"/>
      <c r="AH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171"/>
      <c r="AD975" s="171"/>
      <c r="AE975" s="171"/>
      <c r="AF975" s="171"/>
      <c r="AG975" s="171"/>
      <c r="AH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  <c r="AC976" s="171"/>
      <c r="AD976" s="171"/>
      <c r="AE976" s="171"/>
      <c r="AF976" s="171"/>
      <c r="AG976" s="171"/>
      <c r="AH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  <c r="AC977" s="171"/>
      <c r="AD977" s="171"/>
      <c r="AE977" s="171"/>
      <c r="AF977" s="171"/>
      <c r="AG977" s="171"/>
      <c r="AH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  <c r="AC978" s="171"/>
      <c r="AD978" s="171"/>
      <c r="AE978" s="171"/>
      <c r="AF978" s="171"/>
      <c r="AG978" s="171"/>
      <c r="AH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  <c r="AC979" s="171"/>
      <c r="AD979" s="171"/>
      <c r="AE979" s="171"/>
      <c r="AF979" s="171"/>
      <c r="AG979" s="171"/>
      <c r="AH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  <c r="AC980" s="171"/>
      <c r="AD980" s="171"/>
      <c r="AE980" s="171"/>
      <c r="AF980" s="171"/>
      <c r="AG980" s="171"/>
      <c r="AH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  <c r="AC981" s="171"/>
      <c r="AD981" s="171"/>
      <c r="AE981" s="171"/>
      <c r="AF981" s="171"/>
      <c r="AG981" s="171"/>
      <c r="AH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  <c r="AC982" s="171"/>
      <c r="AD982" s="171"/>
      <c r="AE982" s="171"/>
      <c r="AF982" s="171"/>
      <c r="AG982" s="171"/>
      <c r="AH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  <c r="AC983" s="171"/>
      <c r="AD983" s="171"/>
      <c r="AE983" s="171"/>
      <c r="AF983" s="171"/>
      <c r="AG983" s="171"/>
      <c r="AH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  <c r="AC984" s="171"/>
      <c r="AD984" s="171"/>
      <c r="AE984" s="171"/>
      <c r="AF984" s="171"/>
      <c r="AG984" s="171"/>
      <c r="AH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1"/>
      <c r="AD985" s="171"/>
      <c r="AE985" s="171"/>
      <c r="AF985" s="171"/>
      <c r="AG985" s="171"/>
      <c r="AH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  <c r="AC986" s="171"/>
      <c r="AD986" s="171"/>
      <c r="AE986" s="171"/>
      <c r="AF986" s="171"/>
      <c r="AG986" s="171"/>
      <c r="AH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  <c r="AC987" s="171"/>
      <c r="AD987" s="171"/>
      <c r="AE987" s="171"/>
      <c r="AF987" s="171"/>
      <c r="AG987" s="171"/>
      <c r="AH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  <c r="AC988" s="171"/>
      <c r="AD988" s="171"/>
      <c r="AE988" s="171"/>
      <c r="AF988" s="171"/>
      <c r="AG988" s="171"/>
      <c r="AH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  <c r="AC989" s="171"/>
      <c r="AD989" s="171"/>
      <c r="AE989" s="171"/>
      <c r="AF989" s="171"/>
      <c r="AG989" s="171"/>
      <c r="AH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  <c r="AC990" s="171"/>
      <c r="AD990" s="171"/>
      <c r="AE990" s="171"/>
      <c r="AF990" s="171"/>
      <c r="AG990" s="171"/>
      <c r="AH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  <c r="AC991" s="171"/>
      <c r="AD991" s="171"/>
      <c r="AE991" s="171"/>
      <c r="AF991" s="171"/>
      <c r="AG991" s="171"/>
      <c r="AH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  <c r="AC992" s="171"/>
      <c r="AD992" s="171"/>
      <c r="AE992" s="171"/>
      <c r="AF992" s="171"/>
      <c r="AG992" s="171"/>
      <c r="AH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  <c r="AC993" s="171"/>
      <c r="AD993" s="171"/>
      <c r="AE993" s="171"/>
      <c r="AF993" s="171"/>
      <c r="AG993" s="171"/>
      <c r="AH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  <c r="AC994" s="171"/>
      <c r="AD994" s="171"/>
      <c r="AE994" s="171"/>
      <c r="AF994" s="171"/>
      <c r="AG994" s="171"/>
      <c r="AH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  <c r="AC995" s="171"/>
      <c r="AD995" s="171"/>
      <c r="AE995" s="171"/>
      <c r="AF995" s="171"/>
      <c r="AG995" s="171"/>
      <c r="AH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  <c r="AC996" s="171"/>
      <c r="AD996" s="171"/>
      <c r="AE996" s="171"/>
      <c r="AF996" s="171"/>
      <c r="AG996" s="171"/>
      <c r="AH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  <c r="AC997" s="171"/>
      <c r="AD997" s="171"/>
      <c r="AE997" s="171"/>
      <c r="AF997" s="171"/>
      <c r="AG997" s="171"/>
      <c r="AH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  <c r="AC998" s="171"/>
      <c r="AD998" s="171"/>
      <c r="AE998" s="171"/>
      <c r="AF998" s="171"/>
      <c r="AG998" s="171"/>
      <c r="AH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  <c r="AC999" s="171"/>
      <c r="AD999" s="171"/>
      <c r="AE999" s="171"/>
      <c r="AF999" s="171"/>
      <c r="AG999" s="171"/>
      <c r="AH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  <c r="AC1000" s="171"/>
      <c r="AD1000" s="171"/>
      <c r="AE1000" s="171"/>
      <c r="AF1000" s="171"/>
      <c r="AG1000" s="171"/>
      <c r="AH1000" s="171"/>
    </row>
    <row r="1001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  <c r="AC1001" s="171"/>
      <c r="AD1001" s="171"/>
      <c r="AE1001" s="171"/>
      <c r="AF1001" s="171"/>
      <c r="AG1001" s="171"/>
      <c r="AH1001" s="171"/>
    </row>
    <row r="1002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  <c r="AA1002" s="171"/>
      <c r="AB1002" s="171"/>
      <c r="AC1002" s="171"/>
      <c r="AD1002" s="171"/>
      <c r="AE1002" s="171"/>
      <c r="AF1002" s="171"/>
      <c r="AG1002" s="171"/>
      <c r="AH1002" s="171"/>
    </row>
    <row r="1003">
      <c r="A1003" s="171"/>
      <c r="B1003" s="171"/>
      <c r="C1003" s="171"/>
      <c r="D1003" s="171"/>
      <c r="E1003" s="171"/>
      <c r="F1003" s="171"/>
      <c r="G1003" s="171"/>
      <c r="H1003" s="171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  <c r="W1003" s="171"/>
      <c r="X1003" s="171"/>
      <c r="Y1003" s="171"/>
      <c r="Z1003" s="171"/>
      <c r="AA1003" s="171"/>
      <c r="AB1003" s="171"/>
      <c r="AC1003" s="171"/>
      <c r="AD1003" s="171"/>
      <c r="AE1003" s="171"/>
      <c r="AF1003" s="171"/>
      <c r="AG1003" s="171"/>
      <c r="AH1003" s="171"/>
    </row>
    <row r="1004">
      <c r="A1004" s="171"/>
      <c r="B1004" s="171"/>
      <c r="C1004" s="171"/>
      <c r="D1004" s="171"/>
      <c r="E1004" s="171"/>
      <c r="F1004" s="171"/>
      <c r="G1004" s="171"/>
      <c r="H1004" s="171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1"/>
      <c r="V1004" s="171"/>
      <c r="W1004" s="171"/>
      <c r="X1004" s="171"/>
      <c r="Y1004" s="171"/>
      <c r="Z1004" s="171"/>
      <c r="AA1004" s="171"/>
      <c r="AB1004" s="171"/>
      <c r="AC1004" s="171"/>
      <c r="AD1004" s="171"/>
      <c r="AE1004" s="171"/>
      <c r="AF1004" s="171"/>
      <c r="AG1004" s="171"/>
      <c r="AH1004" s="171"/>
    </row>
    <row r="1005">
      <c r="A1005" s="171"/>
      <c r="B1005" s="171"/>
      <c r="C1005" s="171"/>
      <c r="D1005" s="171"/>
      <c r="E1005" s="171"/>
      <c r="F1005" s="171"/>
      <c r="G1005" s="171"/>
      <c r="H1005" s="171"/>
      <c r="I1005" s="171"/>
      <c r="J1005" s="171"/>
      <c r="K1005" s="171"/>
      <c r="L1005" s="171"/>
      <c r="M1005" s="171"/>
      <c r="N1005" s="171"/>
      <c r="O1005" s="171"/>
      <c r="P1005" s="171"/>
      <c r="Q1005" s="171"/>
      <c r="R1005" s="171"/>
      <c r="S1005" s="171"/>
      <c r="T1005" s="171"/>
      <c r="U1005" s="171"/>
      <c r="V1005" s="171"/>
      <c r="W1005" s="171"/>
      <c r="X1005" s="171"/>
      <c r="Y1005" s="171"/>
      <c r="Z1005" s="171"/>
      <c r="AA1005" s="171"/>
      <c r="AB1005" s="171"/>
      <c r="AC1005" s="171"/>
      <c r="AD1005" s="171"/>
      <c r="AE1005" s="171"/>
      <c r="AF1005" s="171"/>
      <c r="AG1005" s="171"/>
      <c r="AH1005" s="171"/>
    </row>
    <row r="1006">
      <c r="A1006" s="171"/>
      <c r="B1006" s="171"/>
      <c r="C1006" s="171"/>
      <c r="D1006" s="171"/>
      <c r="E1006" s="171"/>
      <c r="F1006" s="171"/>
      <c r="G1006" s="171"/>
      <c r="H1006" s="171"/>
      <c r="I1006" s="171"/>
      <c r="J1006" s="171"/>
      <c r="K1006" s="171"/>
      <c r="L1006" s="171"/>
      <c r="M1006" s="171"/>
      <c r="N1006" s="171"/>
      <c r="O1006" s="171"/>
      <c r="P1006" s="171"/>
      <c r="Q1006" s="171"/>
      <c r="R1006" s="171"/>
      <c r="S1006" s="171"/>
      <c r="T1006" s="171"/>
      <c r="U1006" s="171"/>
      <c r="V1006" s="171"/>
      <c r="W1006" s="171"/>
      <c r="X1006" s="171"/>
      <c r="Y1006" s="171"/>
      <c r="Z1006" s="171"/>
      <c r="AA1006" s="171"/>
      <c r="AB1006" s="171"/>
      <c r="AC1006" s="171"/>
      <c r="AD1006" s="171"/>
      <c r="AE1006" s="171"/>
      <c r="AF1006" s="171"/>
      <c r="AG1006" s="171"/>
      <c r="AH1006" s="171"/>
    </row>
  </sheetData>
  <conditionalFormatting sqref="H3:H58 H60:H68 H71:H81">
    <cfRule type="cellIs" dxfId="5" priority="1" operator="lessThan">
      <formula>30</formula>
    </cfRule>
  </conditionalFormatting>
  <conditionalFormatting sqref="H3:H58 H60:H68 H71:H81">
    <cfRule type="cellIs" dxfId="6" priority="2" operator="between">
      <formula>31</formula>
      <formula>35</formula>
    </cfRule>
  </conditionalFormatting>
  <conditionalFormatting sqref="H3:H58 H60:H68 H71:H81">
    <cfRule type="cellIs" dxfId="7" priority="3" operator="greaterThan">
      <formula>36</formula>
    </cfRule>
  </conditionalFormatting>
  <conditionalFormatting sqref="R3:R58">
    <cfRule type="cellIs" dxfId="5" priority="4" operator="greaterThan">
      <formula>0.1</formula>
    </cfRule>
  </conditionalFormatting>
  <conditionalFormatting sqref="R3:R58">
    <cfRule type="cellIs" dxfId="7" priority="5" operator="lessThan">
      <formula>-0.1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0"/>
  </cols>
  <sheetData>
    <row r="3">
      <c r="B3" s="206" t="s">
        <v>303</v>
      </c>
      <c r="C3" s="207"/>
    </row>
    <row r="4">
      <c r="B4" s="171" t="s">
        <v>223</v>
      </c>
      <c r="C4" s="175">
        <v>26.81405594405594</v>
      </c>
    </row>
    <row r="5">
      <c r="B5" s="180" t="s">
        <v>224</v>
      </c>
      <c r="C5" s="175">
        <v>29.509</v>
      </c>
    </row>
    <row r="6">
      <c r="B6" s="180" t="s">
        <v>225</v>
      </c>
      <c r="C6" s="175">
        <v>28.035</v>
      </c>
    </row>
    <row r="7">
      <c r="B7" s="171" t="s">
        <v>227</v>
      </c>
      <c r="C7" s="175">
        <v>23.169431952662727</v>
      </c>
    </row>
    <row r="8">
      <c r="B8" s="171" t="s">
        <v>228</v>
      </c>
      <c r="C8" s="175">
        <v>28.9018</v>
      </c>
    </row>
    <row r="9">
      <c r="B9" s="171" t="s">
        <v>229</v>
      </c>
      <c r="C9" s="175">
        <v>29.231800000000007</v>
      </c>
    </row>
    <row r="10">
      <c r="B10" s="171" t="s">
        <v>231</v>
      </c>
      <c r="C10" s="175">
        <v>23.946185714285715</v>
      </c>
      <c r="D10" s="171"/>
      <c r="E10" s="176"/>
      <c r="F10" s="158"/>
      <c r="G10" s="171"/>
      <c r="H10" s="175"/>
    </row>
    <row r="11">
      <c r="B11" s="171" t="s">
        <v>232</v>
      </c>
      <c r="C11" s="175">
        <v>25.0119125</v>
      </c>
      <c r="D11" s="171"/>
      <c r="E11" s="176"/>
      <c r="F11" s="158"/>
      <c r="G11" s="171"/>
      <c r="H11" s="175"/>
    </row>
    <row r="12">
      <c r="B12" s="171" t="s">
        <v>233</v>
      </c>
      <c r="C12" s="175">
        <v>23.738757142857143</v>
      </c>
      <c r="D12" s="171"/>
      <c r="E12" s="176"/>
      <c r="F12" s="158"/>
      <c r="G12" s="171"/>
      <c r="H12" s="175"/>
    </row>
    <row r="15">
      <c r="B15" s="182" t="s">
        <v>235</v>
      </c>
      <c r="C15" s="175">
        <v>26.512</v>
      </c>
    </row>
    <row r="16">
      <c r="B16" s="182" t="s">
        <v>236</v>
      </c>
      <c r="C16" s="175">
        <v>29.830500000000004</v>
      </c>
    </row>
    <row r="17">
      <c r="B17" s="182" t="s">
        <v>237</v>
      </c>
      <c r="C17" s="175">
        <v>26.501585798816567</v>
      </c>
    </row>
    <row r="18">
      <c r="B18" s="182" t="s">
        <v>238</v>
      </c>
      <c r="C18" s="175">
        <v>23.565428571428576</v>
      </c>
    </row>
    <row r="19">
      <c r="B19" s="184" t="s">
        <v>304</v>
      </c>
      <c r="C19" s="175">
        <v>24.513177083333336</v>
      </c>
    </row>
    <row r="21">
      <c r="B21" s="185" t="s">
        <v>242</v>
      </c>
      <c r="C21" s="175">
        <v>25.73935294117647</v>
      </c>
    </row>
    <row r="22">
      <c r="B22" s="185" t="s">
        <v>243</v>
      </c>
      <c r="C22" s="175">
        <v>26.945416722487618</v>
      </c>
    </row>
    <row r="23">
      <c r="B23" s="185" t="s">
        <v>244</v>
      </c>
      <c r="C23" s="175">
        <v>27.131502412280707</v>
      </c>
    </row>
    <row r="24">
      <c r="B24" s="185" t="s">
        <v>246</v>
      </c>
      <c r="C24" s="175">
        <v>27.225624999999997</v>
      </c>
    </row>
    <row r="27">
      <c r="B27" s="185" t="s">
        <v>248</v>
      </c>
      <c r="C27" s="175">
        <v>25.581818327702706</v>
      </c>
      <c r="D27" s="208"/>
      <c r="E27" s="176"/>
      <c r="F27" s="158"/>
      <c r="G27" s="171"/>
      <c r="H27" s="175"/>
    </row>
    <row r="28">
      <c r="B28" s="185" t="s">
        <v>249</v>
      </c>
      <c r="C28" s="175">
        <v>24.043708333333335</v>
      </c>
      <c r="D28" s="208"/>
      <c r="E28" s="176"/>
      <c r="F28" s="158"/>
      <c r="G28" s="171"/>
      <c r="H28" s="175"/>
    </row>
    <row r="29">
      <c r="B29" s="185" t="s">
        <v>250</v>
      </c>
      <c r="C29" s="175">
        <v>24.503303872053873</v>
      </c>
      <c r="D29" s="208"/>
      <c r="E29" s="176"/>
      <c r="F29" s="158"/>
      <c r="G29" s="171"/>
      <c r="H29" s="175"/>
    </row>
    <row r="30">
      <c r="B30" s="185" t="s">
        <v>251</v>
      </c>
      <c r="C30" s="175">
        <v>23.6514334878712</v>
      </c>
      <c r="D30" s="208"/>
      <c r="E30" s="176"/>
      <c r="F30" s="158"/>
      <c r="G30" s="171"/>
      <c r="H30" s="175"/>
    </row>
    <row r="31">
      <c r="B31" s="185" t="s">
        <v>252</v>
      </c>
      <c r="C31" s="175">
        <v>25.89573812485291</v>
      </c>
      <c r="D31" s="208"/>
      <c r="E31" s="176"/>
      <c r="F31" s="158"/>
      <c r="G31" s="171"/>
      <c r="H31" s="175"/>
    </row>
    <row r="32">
      <c r="B32" s="189" t="s">
        <v>257</v>
      </c>
      <c r="C32" s="175">
        <v>27.479027068934965</v>
      </c>
      <c r="D32" s="208"/>
      <c r="E32" s="187"/>
      <c r="F32" s="209"/>
      <c r="G32" s="187"/>
      <c r="H32" s="187"/>
    </row>
    <row r="34">
      <c r="B34" s="188" t="s">
        <v>260</v>
      </c>
      <c r="C34" s="175">
        <v>28.579956359649124</v>
      </c>
      <c r="D34" s="171"/>
      <c r="E34" s="176"/>
      <c r="F34" s="158"/>
      <c r="G34" s="171"/>
      <c r="H34" s="175"/>
    </row>
    <row r="35">
      <c r="B35" s="188" t="s">
        <v>262</v>
      </c>
      <c r="C35" s="175">
        <v>20.1659352631579</v>
      </c>
      <c r="D35" s="171"/>
      <c r="E35" s="176"/>
      <c r="F35" s="158"/>
      <c r="G35" s="171"/>
      <c r="H35" s="175"/>
    </row>
    <row r="36">
      <c r="B36" s="188" t="s">
        <v>263</v>
      </c>
      <c r="C36" s="175">
        <v>21.624776126126125</v>
      </c>
      <c r="D36" s="171"/>
      <c r="E36" s="176"/>
      <c r="F36" s="158"/>
      <c r="G36" s="171"/>
      <c r="H36" s="175"/>
    </row>
    <row r="37">
      <c r="B37" s="188" t="s">
        <v>264</v>
      </c>
      <c r="C37" s="175">
        <v>14.522291666666664</v>
      </c>
      <c r="D37" s="171"/>
      <c r="E37" s="176"/>
      <c r="F37" s="158"/>
      <c r="G37" s="171"/>
      <c r="H37" s="175"/>
    </row>
    <row r="38">
      <c r="D38" s="171"/>
      <c r="E38" s="176"/>
      <c r="F38" s="158"/>
      <c r="G38" s="171"/>
      <c r="H38" s="175"/>
    </row>
    <row r="40">
      <c r="B40" s="181" t="s">
        <v>267</v>
      </c>
      <c r="C40" s="175">
        <v>26.216666666666665</v>
      </c>
    </row>
    <row r="43">
      <c r="B43" s="162"/>
      <c r="C43" s="175"/>
    </row>
    <row r="44">
      <c r="B44" s="162"/>
      <c r="C44" s="175"/>
    </row>
    <row r="45">
      <c r="B45" s="162" t="s">
        <v>203</v>
      </c>
      <c r="C45" s="175">
        <v>22.969156507852013</v>
      </c>
    </row>
    <row r="46">
      <c r="B46" s="162" t="s">
        <v>205</v>
      </c>
      <c r="C46" s="175">
        <v>27.67325</v>
      </c>
    </row>
    <row r="47">
      <c r="B47" s="162" t="s">
        <v>206</v>
      </c>
      <c r="C47" s="175">
        <v>14.769035516130957</v>
      </c>
    </row>
    <row r="48">
      <c r="B48" s="162" t="s">
        <v>209</v>
      </c>
      <c r="C48" s="175">
        <v>11.60762872871343</v>
      </c>
    </row>
    <row r="49">
      <c r="B49" s="162" t="s">
        <v>211</v>
      </c>
      <c r="C49" s="175">
        <v>25.503333333333334</v>
      </c>
    </row>
    <row r="53">
      <c r="B53" s="162"/>
      <c r="C53" s="175"/>
    </row>
  </sheetData>
  <conditionalFormatting sqref="C4:C12 H10:H12 C15:C19 C21:C24 C27:C32 H27:H31 C34:C38 H34:H38 C40 C43:C53">
    <cfRule type="cellIs" dxfId="5" priority="1" operator="lessThan">
      <formula>30</formula>
    </cfRule>
  </conditionalFormatting>
  <conditionalFormatting sqref="C4:C12 H10:H12 C15:C19 C21:C24 C27:C32 H27:H31 C34:C38 H34:H38 C40 C43:C53">
    <cfRule type="cellIs" dxfId="6" priority="2" operator="between">
      <formula>31</formula>
      <formula>35</formula>
    </cfRule>
  </conditionalFormatting>
  <conditionalFormatting sqref="C4:C12 H10:H12 C15:C19 C21:C24 C27:C32 H27:H31 C34:C38 H34:H38 C40 C43:C53">
    <cfRule type="cellIs" dxfId="7" priority="3" operator="greaterThan">
      <formula>36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37.75"/>
  </cols>
  <sheetData>
    <row r="1">
      <c r="A1" s="165"/>
      <c r="B1" s="165"/>
      <c r="C1" s="166"/>
      <c r="D1" s="167"/>
      <c r="E1" s="167"/>
      <c r="F1" s="168"/>
      <c r="G1" s="168"/>
      <c r="H1" s="169"/>
      <c r="I1" s="170">
        <f>SUM(I3:I59)</f>
        <v>464</v>
      </c>
      <c r="J1" s="170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</row>
    <row r="2">
      <c r="A2" s="165" t="s">
        <v>212</v>
      </c>
      <c r="B2" s="172" t="s">
        <v>213</v>
      </c>
      <c r="C2" s="173" t="s">
        <v>214</v>
      </c>
      <c r="D2" s="167" t="s">
        <v>215</v>
      </c>
      <c r="E2" s="167" t="s">
        <v>216</v>
      </c>
      <c r="F2" s="195" t="s">
        <v>305</v>
      </c>
      <c r="G2" s="168" t="s">
        <v>218</v>
      </c>
      <c r="H2" s="174" t="s">
        <v>219</v>
      </c>
      <c r="I2" s="170" t="s">
        <v>220</v>
      </c>
      <c r="J2" s="170" t="s">
        <v>221</v>
      </c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</row>
    <row r="3" hidden="1">
      <c r="A3" s="210" t="s">
        <v>222</v>
      </c>
      <c r="B3" s="211" t="str">
        <f>BOCATAS!D2</f>
        <v>SIMPLE DE POLLO </v>
      </c>
      <c r="C3" s="212">
        <f>BOCATAS!L6</f>
        <v>1.401818182</v>
      </c>
      <c r="D3" s="212">
        <f>BOCATAS!L8</f>
        <v>3.636363636</v>
      </c>
      <c r="E3" s="213">
        <f t="shared" ref="E3:E14" si="1">D3*1.1</f>
        <v>4</v>
      </c>
      <c r="F3" s="214">
        <f t="shared" ref="F3:F7" si="2">D3-C3</f>
        <v>2.234545455</v>
      </c>
      <c r="G3" s="214">
        <f>BOCATAS!L11</f>
        <v>61.45</v>
      </c>
      <c r="H3" s="214">
        <f>BOCATAS!L10</f>
        <v>38.55</v>
      </c>
      <c r="I3" s="215">
        <v>163.0</v>
      </c>
      <c r="J3" s="216">
        <f t="shared" ref="J3:J14" si="3">I3/SUM($I$3:I201)*100</f>
        <v>35.12931034</v>
      </c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</row>
    <row r="4" hidden="1">
      <c r="A4" s="210" t="s">
        <v>222</v>
      </c>
      <c r="B4" s="210" t="s">
        <v>223</v>
      </c>
      <c r="C4" s="217">
        <f>BOCATAS!L34</f>
        <v>1.340702797</v>
      </c>
      <c r="D4" s="217">
        <f>BOCATAS!L36</f>
        <v>5</v>
      </c>
      <c r="E4" s="213">
        <f t="shared" si="1"/>
        <v>5.5</v>
      </c>
      <c r="F4" s="214">
        <f t="shared" si="2"/>
        <v>3.659297203</v>
      </c>
      <c r="G4" s="211">
        <f t="shared" ref="G4:G7" si="4">100-H4</f>
        <v>73.18594406</v>
      </c>
      <c r="H4" s="211">
        <f t="shared" ref="H4:H7" si="5">C4/D4*100</f>
        <v>26.81405594</v>
      </c>
      <c r="I4" s="215">
        <v>33.0</v>
      </c>
      <c r="J4" s="216">
        <f t="shared" si="3"/>
        <v>7.112068966</v>
      </c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</row>
    <row r="5" hidden="1">
      <c r="A5" s="210" t="s">
        <v>222</v>
      </c>
      <c r="B5" s="218" t="s">
        <v>224</v>
      </c>
      <c r="C5" s="217">
        <f>BOCATAS!L20</f>
        <v>1.341318182</v>
      </c>
      <c r="D5" s="217">
        <f>BOCATAS!L22</f>
        <v>4.545454545</v>
      </c>
      <c r="E5" s="213">
        <f t="shared" si="1"/>
        <v>5</v>
      </c>
      <c r="F5" s="214">
        <f t="shared" si="2"/>
        <v>3.204136364</v>
      </c>
      <c r="G5" s="211">
        <f t="shared" si="4"/>
        <v>70.491</v>
      </c>
      <c r="H5" s="211">
        <f t="shared" si="5"/>
        <v>29.509</v>
      </c>
      <c r="I5" s="215">
        <v>31.0</v>
      </c>
      <c r="J5" s="216">
        <f t="shared" si="3"/>
        <v>6.681034483</v>
      </c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</row>
    <row r="6" hidden="1">
      <c r="A6" s="210" t="s">
        <v>222</v>
      </c>
      <c r="B6" s="218" t="s">
        <v>225</v>
      </c>
      <c r="C6" s="217">
        <f>BOCATAS!L48</f>
        <v>1.274318182</v>
      </c>
      <c r="D6" s="217">
        <f>BOCATAS!L50</f>
        <v>4.545454545</v>
      </c>
      <c r="E6" s="213">
        <f t="shared" si="1"/>
        <v>5</v>
      </c>
      <c r="F6" s="214">
        <f t="shared" si="2"/>
        <v>3.271136364</v>
      </c>
      <c r="G6" s="211">
        <f t="shared" si="4"/>
        <v>71.965</v>
      </c>
      <c r="H6" s="211">
        <f t="shared" si="5"/>
        <v>28.035</v>
      </c>
      <c r="I6" s="215">
        <v>19.0</v>
      </c>
      <c r="J6" s="216">
        <f t="shared" si="3"/>
        <v>4.094827586</v>
      </c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</row>
    <row r="7" hidden="1">
      <c r="A7" s="210" t="s">
        <v>222</v>
      </c>
      <c r="B7" s="210" t="s">
        <v>226</v>
      </c>
      <c r="C7" s="217">
        <f>BOCATAS!L63</f>
        <v>1.368718182</v>
      </c>
      <c r="D7" s="217">
        <f>BOCATAS!P97</f>
        <v>6.272727273</v>
      </c>
      <c r="E7" s="213">
        <f t="shared" si="1"/>
        <v>6.9</v>
      </c>
      <c r="F7" s="214">
        <f t="shared" si="2"/>
        <v>4.904009091</v>
      </c>
      <c r="G7" s="211">
        <f t="shared" si="4"/>
        <v>78.17985507</v>
      </c>
      <c r="H7" s="211">
        <f t="shared" si="5"/>
        <v>21.82014493</v>
      </c>
      <c r="I7" s="215">
        <v>218.0</v>
      </c>
      <c r="J7" s="216">
        <f t="shared" si="3"/>
        <v>46.98275862</v>
      </c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</row>
    <row r="8">
      <c r="A8" s="171" t="s">
        <v>222</v>
      </c>
      <c r="B8" s="171" t="s">
        <v>227</v>
      </c>
      <c r="C8" s="179">
        <f>BOCATAS!L95</f>
        <v>1.369102797</v>
      </c>
      <c r="D8" s="179">
        <f>BOCATAS!P97</f>
        <v>6.272727273</v>
      </c>
      <c r="E8" s="219">
        <f t="shared" si="1"/>
        <v>6.9</v>
      </c>
      <c r="F8" s="158">
        <f t="shared" ref="F8:F9" si="6">D8-C8-(E8*0.2)</f>
        <v>3.523624476</v>
      </c>
      <c r="G8" s="178">
        <f t="shared" ref="G8:G9" si="7">F8/D8*100</f>
        <v>56.17372352</v>
      </c>
      <c r="H8" s="175">
        <f t="shared" ref="H8:H9" si="8">100-G8</f>
        <v>43.82627648</v>
      </c>
      <c r="J8" s="178">
        <f t="shared" si="3"/>
        <v>0</v>
      </c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</row>
    <row r="9">
      <c r="A9" s="171" t="s">
        <v>222</v>
      </c>
      <c r="B9" s="171" t="s">
        <v>228</v>
      </c>
      <c r="C9" s="179">
        <f>BOCATAS!L113</f>
        <v>1.313718182</v>
      </c>
      <c r="D9" s="179">
        <f>BOCATAS!P115</f>
        <v>6.363636364</v>
      </c>
      <c r="E9" s="219">
        <f t="shared" si="1"/>
        <v>7</v>
      </c>
      <c r="F9" s="158">
        <f t="shared" si="6"/>
        <v>3.649918182</v>
      </c>
      <c r="G9" s="178">
        <f t="shared" si="7"/>
        <v>57.35585714</v>
      </c>
      <c r="H9" s="175">
        <f t="shared" si="8"/>
        <v>42.64414286</v>
      </c>
      <c r="J9" s="178">
        <f t="shared" si="3"/>
        <v>0</v>
      </c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</row>
    <row r="10" hidden="1">
      <c r="A10" s="210" t="s">
        <v>222</v>
      </c>
      <c r="B10" s="210" t="s">
        <v>229</v>
      </c>
      <c r="C10" s="217">
        <f>BOCATAS!L79</f>
        <v>1.328718182</v>
      </c>
      <c r="D10" s="217">
        <f>BOCATAS!L81</f>
        <v>4.545454545</v>
      </c>
      <c r="E10" s="213">
        <f t="shared" si="1"/>
        <v>5</v>
      </c>
      <c r="F10" s="214">
        <f t="shared" ref="F10:F12" si="9">D10-C10</f>
        <v>3.216736364</v>
      </c>
      <c r="G10" s="211">
        <f t="shared" ref="G10:G12" si="10">100-H10</f>
        <v>70.7682</v>
      </c>
      <c r="H10" s="211">
        <f t="shared" ref="H10:H12" si="11">C10/D10*100</f>
        <v>29.2318</v>
      </c>
      <c r="I10" s="215"/>
      <c r="J10" s="216">
        <f t="shared" si="3"/>
        <v>0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</row>
    <row r="11" hidden="1">
      <c r="A11" s="210" t="s">
        <v>222</v>
      </c>
      <c r="B11" s="210" t="s">
        <v>230</v>
      </c>
      <c r="C11" s="217">
        <f>BOCATAS!L131</f>
        <v>1.715318182</v>
      </c>
      <c r="D11" s="217">
        <f>BOCATAS!L133</f>
        <v>4.545454545</v>
      </c>
      <c r="E11" s="213">
        <f t="shared" si="1"/>
        <v>5</v>
      </c>
      <c r="F11" s="214">
        <f t="shared" si="9"/>
        <v>2.830136364</v>
      </c>
      <c r="G11" s="211">
        <f t="shared" si="10"/>
        <v>62.263</v>
      </c>
      <c r="H11" s="211">
        <f t="shared" si="11"/>
        <v>37.737</v>
      </c>
      <c r="I11" s="215"/>
      <c r="J11" s="216">
        <f t="shared" si="3"/>
        <v>0</v>
      </c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</row>
    <row r="12" hidden="1">
      <c r="A12" s="210" t="s">
        <v>222</v>
      </c>
      <c r="B12" s="210" t="s">
        <v>231</v>
      </c>
      <c r="C12" s="217">
        <f>BOCATAS!L147</f>
        <v>1.523848182</v>
      </c>
      <c r="D12" s="217">
        <f>BOCATAS!L149</f>
        <v>6.363636364</v>
      </c>
      <c r="E12" s="213">
        <f t="shared" si="1"/>
        <v>7</v>
      </c>
      <c r="F12" s="214">
        <f t="shared" si="9"/>
        <v>4.839788182</v>
      </c>
      <c r="G12" s="211">
        <f t="shared" si="10"/>
        <v>76.05381429</v>
      </c>
      <c r="H12" s="211">
        <f t="shared" si="11"/>
        <v>23.94618571</v>
      </c>
      <c r="I12" s="215"/>
      <c r="J12" s="216">
        <f t="shared" si="3"/>
        <v>0</v>
      </c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</row>
    <row r="13">
      <c r="A13" s="171" t="s">
        <v>222</v>
      </c>
      <c r="B13" s="171" t="s">
        <v>232</v>
      </c>
      <c r="C13" s="179">
        <f>BOCATAS!L185</f>
        <v>1.819048182</v>
      </c>
      <c r="D13" s="179">
        <f>BOCATAS!P187</f>
        <v>8.181818182</v>
      </c>
      <c r="E13" s="219">
        <f t="shared" si="1"/>
        <v>9</v>
      </c>
      <c r="F13" s="158">
        <f t="shared" ref="F13:F14" si="12">D13-C13-(E13*0.2)</f>
        <v>4.56277</v>
      </c>
      <c r="G13" s="178">
        <f t="shared" ref="G13:G14" si="13">F13/D13*100</f>
        <v>55.76718889</v>
      </c>
      <c r="H13" s="175">
        <f t="shared" ref="H13:H14" si="14">100-G13</f>
        <v>44.23281111</v>
      </c>
      <c r="J13" s="178">
        <f t="shared" si="3"/>
        <v>0</v>
      </c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</row>
    <row r="14">
      <c r="A14" s="171" t="s">
        <v>222</v>
      </c>
      <c r="B14" s="171" t="s">
        <v>233</v>
      </c>
      <c r="C14" s="179">
        <f>BOCATAS!L166</f>
        <v>1.510648182</v>
      </c>
      <c r="D14" s="179">
        <f>BOCATAS!P168</f>
        <v>8.090909091</v>
      </c>
      <c r="E14" s="219">
        <f t="shared" si="1"/>
        <v>8.9</v>
      </c>
      <c r="F14" s="158">
        <f t="shared" si="12"/>
        <v>4.800260909</v>
      </c>
      <c r="G14" s="178">
        <f t="shared" si="13"/>
        <v>59.32906742</v>
      </c>
      <c r="H14" s="175">
        <f t="shared" si="14"/>
        <v>40.67093258</v>
      </c>
      <c r="J14" s="178">
        <f t="shared" si="3"/>
        <v>0</v>
      </c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</row>
    <row r="15">
      <c r="A15" s="171"/>
      <c r="B15" s="171"/>
      <c r="C15" s="171"/>
      <c r="D15" s="171"/>
      <c r="E15" s="176"/>
      <c r="F15" s="158"/>
      <c r="G15" s="171"/>
      <c r="H15" s="175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</row>
    <row r="16">
      <c r="A16" s="181" t="s">
        <v>234</v>
      </c>
      <c r="B16" s="182" t="s">
        <v>235</v>
      </c>
      <c r="C16" s="183">
        <f>SERRANOS!L34</f>
        <v>1.566618182</v>
      </c>
      <c r="D16" s="183">
        <f>SERRANOS!P36</f>
        <v>8.363636364</v>
      </c>
      <c r="E16" s="219">
        <f t="shared" ref="E16:E20" si="15">D16*1.1</f>
        <v>9.2</v>
      </c>
      <c r="F16" s="158">
        <f t="shared" ref="F16:F20" si="16">D16-C16-(E16*0.2)</f>
        <v>4.957018182</v>
      </c>
      <c r="G16" s="178">
        <f t="shared" ref="G16:G20" si="17">F16/D16*100</f>
        <v>59.26869565</v>
      </c>
      <c r="H16" s="175">
        <f t="shared" ref="H16:H20" si="18">100-G16</f>
        <v>40.73130435</v>
      </c>
      <c r="J16" s="178">
        <f t="shared" ref="J16:J20" si="19">I16/SUM($I$3:I214)*100</f>
        <v>0</v>
      </c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</row>
    <row r="17">
      <c r="A17" s="181" t="s">
        <v>234</v>
      </c>
      <c r="B17" s="182" t="s">
        <v>236</v>
      </c>
      <c r="C17" s="183">
        <f>SERRANOS!L6</f>
        <v>1.627118182</v>
      </c>
      <c r="D17" s="183">
        <f>SERRANOS!P8</f>
        <v>7.454545455</v>
      </c>
      <c r="E17" s="219">
        <f t="shared" si="15"/>
        <v>8.2</v>
      </c>
      <c r="F17" s="158">
        <f t="shared" si="16"/>
        <v>4.187427273</v>
      </c>
      <c r="G17" s="178">
        <f t="shared" si="17"/>
        <v>56.17280488</v>
      </c>
      <c r="H17" s="175">
        <f t="shared" si="18"/>
        <v>43.82719512</v>
      </c>
      <c r="J17" s="178">
        <f t="shared" si="19"/>
        <v>0</v>
      </c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</row>
    <row r="18">
      <c r="A18" s="181" t="s">
        <v>234</v>
      </c>
      <c r="B18" s="182" t="s">
        <v>237</v>
      </c>
      <c r="C18" s="183">
        <f>SERRANOS!L63</f>
        <v>1.566002797</v>
      </c>
      <c r="D18" s="183">
        <f>SERRANOS!P65</f>
        <v>8.363636364</v>
      </c>
      <c r="E18" s="219">
        <f t="shared" si="15"/>
        <v>9.2</v>
      </c>
      <c r="F18" s="158">
        <f t="shared" si="16"/>
        <v>4.957633566</v>
      </c>
      <c r="G18" s="178">
        <f t="shared" si="17"/>
        <v>59.27605351</v>
      </c>
      <c r="H18" s="175">
        <f t="shared" si="18"/>
        <v>40.72394649</v>
      </c>
      <c r="J18" s="178">
        <f t="shared" si="19"/>
        <v>0</v>
      </c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</row>
    <row r="19">
      <c r="A19" s="181" t="s">
        <v>234</v>
      </c>
      <c r="B19" s="182" t="s">
        <v>238</v>
      </c>
      <c r="C19" s="183">
        <f>SERRANOS!L92</f>
        <v>1.499618182</v>
      </c>
      <c r="D19" s="183">
        <f>SERRANOS!P94</f>
        <v>8.363636364</v>
      </c>
      <c r="E19" s="219">
        <f t="shared" si="15"/>
        <v>9.2</v>
      </c>
      <c r="F19" s="158">
        <f t="shared" si="16"/>
        <v>5.024018182</v>
      </c>
      <c r="G19" s="178">
        <f t="shared" si="17"/>
        <v>60.06978261</v>
      </c>
      <c r="H19" s="175">
        <f t="shared" si="18"/>
        <v>39.93021739</v>
      </c>
      <c r="J19" s="178">
        <f t="shared" si="19"/>
        <v>0</v>
      </c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</row>
    <row r="20">
      <c r="A20" s="181" t="s">
        <v>234</v>
      </c>
      <c r="B20" s="184" t="s">
        <v>306</v>
      </c>
      <c r="C20" s="179">
        <f>SERRANOS!L121</f>
        <v>1.782776515</v>
      </c>
      <c r="D20" s="179">
        <f>SERRANOS!P123</f>
        <v>8.363636364</v>
      </c>
      <c r="E20" s="219">
        <f t="shared" si="15"/>
        <v>9.2</v>
      </c>
      <c r="F20" s="158">
        <f t="shared" si="16"/>
        <v>4.740859848</v>
      </c>
      <c r="G20" s="178">
        <f t="shared" si="17"/>
        <v>56.68419384</v>
      </c>
      <c r="H20" s="175">
        <f t="shared" si="18"/>
        <v>43.31580616</v>
      </c>
      <c r="J20" s="178">
        <f t="shared" si="19"/>
        <v>0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</row>
    <row r="21">
      <c r="A21" s="171"/>
      <c r="B21" s="171"/>
      <c r="C21" s="171"/>
      <c r="D21" s="171"/>
      <c r="E21" s="171"/>
      <c r="F21" s="171"/>
      <c r="G21" s="171"/>
      <c r="H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</row>
    <row r="22">
      <c r="A22" s="210" t="s">
        <v>240</v>
      </c>
      <c r="B22" s="220" t="s">
        <v>241</v>
      </c>
      <c r="C22" s="221">
        <f>'BRIOCH-SUBS'!L177</f>
        <v>2.097758219</v>
      </c>
      <c r="D22" s="221">
        <f>'BRIOCH-SUBS'!L179</f>
        <v>9</v>
      </c>
      <c r="E22" s="222">
        <f t="shared" ref="E22:E27" si="20">D22*1.1</f>
        <v>9.9</v>
      </c>
      <c r="F22" s="214">
        <f t="shared" ref="F22:F27" si="21">D22-C22-(E22*0.2)</f>
        <v>4.922241781</v>
      </c>
      <c r="G22" s="216">
        <f t="shared" ref="G22:G27" si="22">F22/D22*100</f>
        <v>54.69157534</v>
      </c>
      <c r="H22" s="211">
        <f t="shared" ref="H22:H27" si="23">100-G22</f>
        <v>45.30842466</v>
      </c>
      <c r="I22" s="215"/>
      <c r="J22" s="223"/>
      <c r="K22" s="224" t="s">
        <v>307</v>
      </c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</row>
    <row r="23">
      <c r="A23" s="171" t="s">
        <v>240</v>
      </c>
      <c r="B23" s="185" t="s">
        <v>242</v>
      </c>
      <c r="C23" s="186">
        <f>'BRIOCH-SUBS'!L149</f>
        <v>1.98895</v>
      </c>
      <c r="D23" s="186">
        <f>'BRIOCH-SUBS'!L159</f>
        <v>9</v>
      </c>
      <c r="E23" s="219">
        <f t="shared" si="20"/>
        <v>9.9</v>
      </c>
      <c r="F23" s="158">
        <f t="shared" si="21"/>
        <v>5.03105</v>
      </c>
      <c r="G23" s="178">
        <f t="shared" si="22"/>
        <v>55.90055556</v>
      </c>
      <c r="H23" s="175">
        <f t="shared" si="23"/>
        <v>44.09944444</v>
      </c>
      <c r="J23" s="178">
        <f t="shared" ref="J23:J27" si="24">I23/SUM($I$3:I221)*100</f>
        <v>0</v>
      </c>
      <c r="K23" s="187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</row>
    <row r="24">
      <c r="A24" s="171" t="s">
        <v>240</v>
      </c>
      <c r="B24" s="185" t="s">
        <v>243</v>
      </c>
      <c r="C24" s="186">
        <f>'BRIOCH-SUBS'!L64</f>
        <v>1.959666671</v>
      </c>
      <c r="D24" s="186">
        <f>'BRIOCH-SUBS'!L74</f>
        <v>9</v>
      </c>
      <c r="E24" s="219">
        <f t="shared" si="20"/>
        <v>9.9</v>
      </c>
      <c r="F24" s="158">
        <f t="shared" si="21"/>
        <v>5.060333329</v>
      </c>
      <c r="G24" s="178">
        <f t="shared" si="22"/>
        <v>56.22592588</v>
      </c>
      <c r="H24" s="175">
        <f t="shared" si="23"/>
        <v>43.77407412</v>
      </c>
      <c r="J24" s="178">
        <f t="shared" si="24"/>
        <v>0</v>
      </c>
      <c r="K24" s="187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</row>
    <row r="25">
      <c r="A25" s="171" t="s">
        <v>240</v>
      </c>
      <c r="B25" s="185" t="s">
        <v>244</v>
      </c>
      <c r="C25" s="186">
        <f>'BRIOCH-SUBS'!L6</f>
        <v>1.973200175</v>
      </c>
      <c r="D25" s="186">
        <f>'BRIOCH-SUBS'!L16</f>
        <v>7.727272727</v>
      </c>
      <c r="E25" s="219">
        <f t="shared" si="20"/>
        <v>8.5</v>
      </c>
      <c r="F25" s="158">
        <f t="shared" si="21"/>
        <v>4.054072552</v>
      </c>
      <c r="G25" s="178">
        <f t="shared" si="22"/>
        <v>52.46446832</v>
      </c>
      <c r="H25" s="175">
        <f t="shared" si="23"/>
        <v>47.53553168</v>
      </c>
      <c r="J25" s="178">
        <f t="shared" si="24"/>
        <v>0</v>
      </c>
      <c r="K25" s="187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</row>
    <row r="26">
      <c r="A26" s="171" t="s">
        <v>240</v>
      </c>
      <c r="B26" s="188" t="s">
        <v>245</v>
      </c>
      <c r="C26" s="186">
        <f>'BRIOCH-SUBS'!L35</f>
        <v>2.367697917</v>
      </c>
      <c r="D26" s="186">
        <f>'BRIOCH-SUBS'!L37</f>
        <v>7.272727273</v>
      </c>
      <c r="E26" s="219">
        <f t="shared" si="20"/>
        <v>8</v>
      </c>
      <c r="F26" s="158">
        <f t="shared" si="21"/>
        <v>3.305029356</v>
      </c>
      <c r="G26" s="178">
        <f t="shared" si="22"/>
        <v>45.44415365</v>
      </c>
      <c r="H26" s="175">
        <f t="shared" si="23"/>
        <v>54.55584635</v>
      </c>
      <c r="J26" s="178">
        <f t="shared" si="24"/>
        <v>0</v>
      </c>
      <c r="K26" s="225" t="s">
        <v>308</v>
      </c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</row>
    <row r="27">
      <c r="A27" s="171" t="s">
        <v>240</v>
      </c>
      <c r="B27" s="185" t="s">
        <v>246</v>
      </c>
      <c r="C27" s="186">
        <f>'BRIOCH-SUBS'!L93</f>
        <v>1.980045455</v>
      </c>
      <c r="D27" s="186">
        <f>'BRIOCH-SUBS'!L103</f>
        <v>10.81818182</v>
      </c>
      <c r="E27" s="219">
        <f t="shared" si="20"/>
        <v>11.9</v>
      </c>
      <c r="F27" s="158">
        <f t="shared" si="21"/>
        <v>6.458136364</v>
      </c>
      <c r="G27" s="178">
        <f t="shared" si="22"/>
        <v>59.69705882</v>
      </c>
      <c r="H27" s="175">
        <f t="shared" si="23"/>
        <v>40.30294118</v>
      </c>
      <c r="J27" s="178">
        <f t="shared" si="24"/>
        <v>0</v>
      </c>
      <c r="K27" s="187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</row>
    <row r="28">
      <c r="A28" s="171"/>
      <c r="B28" s="188"/>
      <c r="C28" s="171"/>
      <c r="D28" s="171"/>
      <c r="E28" s="171"/>
      <c r="F28" s="171"/>
      <c r="G28" s="171"/>
      <c r="H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</row>
    <row r="29">
      <c r="A29" s="171"/>
      <c r="B29" s="188"/>
      <c r="C29" s="171"/>
      <c r="D29" s="171"/>
      <c r="E29" s="171"/>
      <c r="F29" s="175"/>
      <c r="G29" s="171"/>
      <c r="H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</row>
    <row r="30">
      <c r="A30" s="181" t="s">
        <v>247</v>
      </c>
      <c r="B30" s="185" t="s">
        <v>248</v>
      </c>
      <c r="C30" s="186">
        <f>BURGERS!L239</f>
        <v>1.860495878</v>
      </c>
      <c r="D30" s="186">
        <f>BURGERS!L249</f>
        <v>9.909090909</v>
      </c>
      <c r="E30" s="219">
        <f t="shared" ref="E30:E39" si="25">D30*1.1</f>
        <v>10.9</v>
      </c>
      <c r="F30" s="158">
        <f t="shared" ref="F30:F39" si="26">D30-C30-(E30*0.2)</f>
        <v>5.868595031</v>
      </c>
      <c r="G30" s="178">
        <f t="shared" ref="G30:G39" si="27">F30/D30*100</f>
        <v>59.22435352</v>
      </c>
      <c r="H30" s="175">
        <f t="shared" ref="H30:H39" si="28">100-G30</f>
        <v>40.77564648</v>
      </c>
      <c r="J30" s="178">
        <f t="shared" ref="J30:J39" si="29">I30/SUM($I$3:I228)*100</f>
        <v>0</v>
      </c>
      <c r="K30" s="187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</row>
    <row r="31">
      <c r="A31" s="181" t="s">
        <v>247</v>
      </c>
      <c r="B31" s="185" t="s">
        <v>249</v>
      </c>
      <c r="C31" s="186">
        <f>BURGERS!L269</f>
        <v>1.530054167</v>
      </c>
      <c r="D31" s="186">
        <f>BURGERS!L279</f>
        <v>8.090909091</v>
      </c>
      <c r="E31" s="219">
        <f t="shared" si="25"/>
        <v>8.9</v>
      </c>
      <c r="F31" s="158">
        <f t="shared" si="26"/>
        <v>4.780854924</v>
      </c>
      <c r="G31" s="178">
        <f t="shared" si="27"/>
        <v>59.08921816</v>
      </c>
      <c r="H31" s="175">
        <f t="shared" si="28"/>
        <v>40.91078184</v>
      </c>
      <c r="J31" s="178">
        <f t="shared" si="29"/>
        <v>0</v>
      </c>
      <c r="K31" s="187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</row>
    <row r="32">
      <c r="A32" s="181" t="s">
        <v>247</v>
      </c>
      <c r="B32" s="185" t="s">
        <v>250</v>
      </c>
      <c r="C32" s="186">
        <f>BURGERS!L151</f>
        <v>2.205297348</v>
      </c>
      <c r="D32" s="186">
        <f>BURGERS!L161</f>
        <v>11.81818182</v>
      </c>
      <c r="E32" s="219">
        <f t="shared" si="25"/>
        <v>13</v>
      </c>
      <c r="F32" s="158">
        <f t="shared" si="26"/>
        <v>7.01288447</v>
      </c>
      <c r="G32" s="178">
        <f t="shared" si="27"/>
        <v>59.33979167</v>
      </c>
      <c r="H32" s="175">
        <f t="shared" si="28"/>
        <v>40.66020833</v>
      </c>
      <c r="J32" s="178">
        <f t="shared" si="29"/>
        <v>0</v>
      </c>
      <c r="K32" s="187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</row>
    <row r="33">
      <c r="A33" s="181" t="s">
        <v>247</v>
      </c>
      <c r="B33" s="185" t="s">
        <v>251</v>
      </c>
      <c r="C33" s="186">
        <f>BURGERS!L180</f>
        <v>2.150130317</v>
      </c>
      <c r="D33" s="186">
        <f>BURGERS!L190</f>
        <v>11.81818182</v>
      </c>
      <c r="E33" s="219">
        <f t="shared" si="25"/>
        <v>13</v>
      </c>
      <c r="F33" s="158">
        <f t="shared" si="26"/>
        <v>7.068051501</v>
      </c>
      <c r="G33" s="178">
        <f t="shared" si="27"/>
        <v>59.80658962</v>
      </c>
      <c r="H33" s="175">
        <f t="shared" si="28"/>
        <v>40.19341038</v>
      </c>
      <c r="J33" s="178">
        <f t="shared" si="29"/>
        <v>0</v>
      </c>
      <c r="K33" s="187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</row>
    <row r="34">
      <c r="A34" s="226" t="s">
        <v>247</v>
      </c>
      <c r="B34" s="220" t="s">
        <v>252</v>
      </c>
      <c r="C34" s="186">
        <f>BURGERS!L209</f>
        <v>2.589573812</v>
      </c>
      <c r="D34" s="208"/>
      <c r="E34" s="219">
        <f t="shared" si="25"/>
        <v>0</v>
      </c>
      <c r="F34" s="158">
        <f t="shared" si="26"/>
        <v>-2.589573812</v>
      </c>
      <c r="G34" s="178" t="str">
        <f t="shared" si="27"/>
        <v>#DIV/0!</v>
      </c>
      <c r="H34" s="175" t="str">
        <f t="shared" si="28"/>
        <v>#DIV/0!</v>
      </c>
      <c r="J34" s="178">
        <f t="shared" si="29"/>
        <v>0</v>
      </c>
      <c r="K34" s="227" t="s">
        <v>309</v>
      </c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</row>
    <row r="35">
      <c r="A35" s="181" t="s">
        <v>247</v>
      </c>
      <c r="B35" s="185" t="s">
        <v>253</v>
      </c>
      <c r="C35" s="186">
        <f>BURGERS!L6</f>
        <v>2.187102348</v>
      </c>
      <c r="D35" s="186">
        <f>BURGERS!L16</f>
        <v>10.81818182</v>
      </c>
      <c r="E35" s="219">
        <f t="shared" si="25"/>
        <v>11.9</v>
      </c>
      <c r="F35" s="158">
        <f t="shared" si="26"/>
        <v>6.25107947</v>
      </c>
      <c r="G35" s="178">
        <f t="shared" si="27"/>
        <v>57.78308754</v>
      </c>
      <c r="H35" s="175">
        <f t="shared" si="28"/>
        <v>42.21691246</v>
      </c>
      <c r="J35" s="178">
        <f t="shared" si="29"/>
        <v>0</v>
      </c>
      <c r="K35" s="187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</row>
    <row r="36">
      <c r="A36" s="181" t="s">
        <v>247</v>
      </c>
      <c r="B36" s="185" t="s">
        <v>254</v>
      </c>
      <c r="C36" s="186">
        <f>BURGERS!L35</f>
        <v>2.375473598</v>
      </c>
      <c r="D36" s="186">
        <f>BURGERS!L45</f>
        <v>10.81818182</v>
      </c>
      <c r="E36" s="219">
        <f t="shared" si="25"/>
        <v>11.9</v>
      </c>
      <c r="F36" s="158">
        <f t="shared" si="26"/>
        <v>6.06270822</v>
      </c>
      <c r="G36" s="178">
        <f t="shared" si="27"/>
        <v>56.04184069</v>
      </c>
      <c r="H36" s="175">
        <f t="shared" si="28"/>
        <v>43.95815931</v>
      </c>
      <c r="J36" s="178">
        <f t="shared" si="29"/>
        <v>0</v>
      </c>
      <c r="K36" s="187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</row>
    <row r="37">
      <c r="A37" s="226" t="s">
        <v>247</v>
      </c>
      <c r="B37" s="220" t="s">
        <v>255</v>
      </c>
      <c r="C37" s="221">
        <f>BURGERS!L122</f>
        <v>2.570146742</v>
      </c>
      <c r="D37" s="221">
        <f>BURGERS!L132</f>
        <v>9.909090909</v>
      </c>
      <c r="E37" s="222">
        <f t="shared" si="25"/>
        <v>10.9</v>
      </c>
      <c r="F37" s="214">
        <f t="shared" si="26"/>
        <v>5.158944167</v>
      </c>
      <c r="G37" s="216">
        <f t="shared" si="27"/>
        <v>52.0627393</v>
      </c>
      <c r="H37" s="211">
        <f t="shared" si="28"/>
        <v>47.9372607</v>
      </c>
      <c r="I37" s="215"/>
      <c r="J37" s="216">
        <f t="shared" si="29"/>
        <v>0</v>
      </c>
      <c r="K37" s="227" t="s">
        <v>309</v>
      </c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</row>
    <row r="38">
      <c r="A38" s="181" t="s">
        <v>247</v>
      </c>
      <c r="B38" s="185" t="s">
        <v>256</v>
      </c>
      <c r="C38" s="186">
        <f>BURGERS!L93</f>
        <v>2.650674821</v>
      </c>
      <c r="D38" s="186">
        <f>BURGERS!L103</f>
        <v>9</v>
      </c>
      <c r="E38" s="219">
        <f t="shared" si="25"/>
        <v>9.9</v>
      </c>
      <c r="F38" s="158">
        <f t="shared" si="26"/>
        <v>4.369325179</v>
      </c>
      <c r="G38" s="178">
        <f t="shared" si="27"/>
        <v>48.54805754</v>
      </c>
      <c r="H38" s="175">
        <f t="shared" si="28"/>
        <v>51.45194246</v>
      </c>
      <c r="J38" s="178">
        <f t="shared" si="29"/>
        <v>0</v>
      </c>
      <c r="K38" s="187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</row>
    <row r="39">
      <c r="A39" s="181" t="s">
        <v>247</v>
      </c>
      <c r="B39" s="189" t="s">
        <v>257</v>
      </c>
      <c r="C39" s="186">
        <f>BURGERS!L64</f>
        <v>2.473112436</v>
      </c>
      <c r="D39" s="186">
        <f>BURGERS!L74</f>
        <v>10.81818182</v>
      </c>
      <c r="E39" s="219">
        <f t="shared" si="25"/>
        <v>11.9</v>
      </c>
      <c r="F39" s="158">
        <f t="shared" si="26"/>
        <v>5.965069382</v>
      </c>
      <c r="G39" s="178">
        <f t="shared" si="27"/>
        <v>55.13929681</v>
      </c>
      <c r="H39" s="175">
        <f t="shared" si="28"/>
        <v>44.86070319</v>
      </c>
      <c r="J39" s="178">
        <f t="shared" si="29"/>
        <v>0</v>
      </c>
      <c r="K39" s="225" t="s">
        <v>310</v>
      </c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</row>
    <row r="40">
      <c r="A40" s="171"/>
      <c r="B40" s="188"/>
      <c r="C40" s="171"/>
      <c r="D40" s="171"/>
      <c r="E40" s="171"/>
      <c r="F40" s="171"/>
      <c r="G40" s="171"/>
      <c r="H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</row>
    <row r="41">
      <c r="A41" s="210" t="s">
        <v>258</v>
      </c>
      <c r="B41" s="228" t="s">
        <v>259</v>
      </c>
      <c r="C41" s="217">
        <f>ENTRANTES!L34</f>
        <v>2.424206711</v>
      </c>
      <c r="D41" s="217">
        <f>ENTRANTES!L44</f>
        <v>6.363636364</v>
      </c>
      <c r="E41" s="222">
        <f t="shared" ref="E41:E46" si="30">D41*1.1</f>
        <v>7</v>
      </c>
      <c r="F41" s="214">
        <f t="shared" ref="F41:F46" si="31">D41-C41-(E41*0.2)</f>
        <v>2.539429653</v>
      </c>
      <c r="G41" s="216">
        <f t="shared" ref="G41:G46" si="32">F41/D41*100</f>
        <v>39.90532312</v>
      </c>
      <c r="H41" s="211">
        <f t="shared" ref="H41:H46" si="33">100-G41</f>
        <v>60.09467688</v>
      </c>
      <c r="I41" s="215"/>
      <c r="J41" s="178">
        <f t="shared" ref="J41:J46" si="34">I41/SUM($I$3:I239)*100</f>
        <v>0</v>
      </c>
      <c r="K41" s="227" t="s">
        <v>309</v>
      </c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</row>
    <row r="42">
      <c r="A42" s="171" t="s">
        <v>258</v>
      </c>
      <c r="B42" s="188" t="s">
        <v>260</v>
      </c>
      <c r="C42" s="179">
        <f>ENTRANTES!L90</f>
        <v>1.558906711</v>
      </c>
      <c r="D42" s="179">
        <f>ENTRANTES!L100</f>
        <v>6.363636364</v>
      </c>
      <c r="E42" s="219">
        <f t="shared" si="30"/>
        <v>7</v>
      </c>
      <c r="F42" s="158">
        <f t="shared" si="31"/>
        <v>3.404729653</v>
      </c>
      <c r="G42" s="178">
        <f t="shared" si="32"/>
        <v>53.50289455</v>
      </c>
      <c r="H42" s="175">
        <f t="shared" si="33"/>
        <v>46.49710545</v>
      </c>
      <c r="J42" s="178">
        <f t="shared" si="34"/>
        <v>0</v>
      </c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</row>
    <row r="43">
      <c r="A43" s="171" t="s">
        <v>258</v>
      </c>
      <c r="B43" s="188" t="s">
        <v>261</v>
      </c>
      <c r="C43" s="179">
        <f>ENTRANTES!L6</f>
        <v>1.832506711</v>
      </c>
      <c r="D43" s="179">
        <f>ENTRANTES!L16</f>
        <v>7.090909091</v>
      </c>
      <c r="E43" s="219">
        <f t="shared" si="30"/>
        <v>7.8</v>
      </c>
      <c r="F43" s="158">
        <f t="shared" si="31"/>
        <v>3.69840238</v>
      </c>
      <c r="G43" s="178">
        <f t="shared" si="32"/>
        <v>52.15695665</v>
      </c>
      <c r="H43" s="175">
        <f t="shared" si="33"/>
        <v>47.84304335</v>
      </c>
      <c r="J43" s="178">
        <f t="shared" si="34"/>
        <v>0</v>
      </c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</row>
    <row r="44">
      <c r="A44" s="171" t="s">
        <v>258</v>
      </c>
      <c r="B44" s="188" t="s">
        <v>262</v>
      </c>
      <c r="C44" s="179">
        <f>ENTRANTES!L118</f>
        <v>0.9166334211</v>
      </c>
      <c r="D44" s="179">
        <f>ENTRANTES!L128</f>
        <v>5.909090909</v>
      </c>
      <c r="E44" s="219">
        <f t="shared" si="30"/>
        <v>6.5</v>
      </c>
      <c r="F44" s="158">
        <f t="shared" si="31"/>
        <v>3.692457488</v>
      </c>
      <c r="G44" s="178">
        <f t="shared" si="32"/>
        <v>62.48774211</v>
      </c>
      <c r="H44" s="175">
        <f t="shared" si="33"/>
        <v>37.51225789</v>
      </c>
      <c r="J44" s="178">
        <f t="shared" si="34"/>
        <v>0</v>
      </c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</row>
    <row r="45">
      <c r="A45" s="171" t="s">
        <v>258</v>
      </c>
      <c r="B45" s="188" t="s">
        <v>263</v>
      </c>
      <c r="C45" s="179">
        <f>ENTRANTES!L174</f>
        <v>1.376122117</v>
      </c>
      <c r="D45" s="179">
        <f>ENTRANTES!L184</f>
        <v>6.818181818</v>
      </c>
      <c r="E45" s="219">
        <f t="shared" si="30"/>
        <v>7.5</v>
      </c>
      <c r="F45" s="158">
        <f t="shared" si="31"/>
        <v>3.942059701</v>
      </c>
      <c r="G45" s="178">
        <f t="shared" si="32"/>
        <v>57.81687562</v>
      </c>
      <c r="H45" s="175">
        <f t="shared" si="33"/>
        <v>42.18312438</v>
      </c>
      <c r="J45" s="178">
        <f t="shared" si="34"/>
        <v>0</v>
      </c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</row>
    <row r="46">
      <c r="A46" s="171" t="s">
        <v>258</v>
      </c>
      <c r="B46" s="188" t="s">
        <v>264</v>
      </c>
      <c r="C46" s="179">
        <f>ENTRANTES!L146</f>
        <v>0.2640416667</v>
      </c>
      <c r="D46" s="179">
        <f>ENTRANTES!L156</f>
        <v>2.636363636</v>
      </c>
      <c r="E46" s="219">
        <f t="shared" si="30"/>
        <v>2.9</v>
      </c>
      <c r="F46" s="158">
        <f t="shared" si="31"/>
        <v>1.79232197</v>
      </c>
      <c r="G46" s="178">
        <f t="shared" si="32"/>
        <v>67.98462644</v>
      </c>
      <c r="H46" s="175">
        <f t="shared" si="33"/>
        <v>32.01537356</v>
      </c>
      <c r="J46" s="178">
        <f t="shared" si="34"/>
        <v>0</v>
      </c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</row>
    <row r="47">
      <c r="A47" s="171" t="s">
        <v>258</v>
      </c>
      <c r="B47" s="181" t="s">
        <v>265</v>
      </c>
      <c r="C47" s="171"/>
      <c r="D47" s="171"/>
      <c r="E47" s="171"/>
      <c r="F47" s="171"/>
      <c r="G47" s="171"/>
      <c r="H47" s="171"/>
      <c r="J47" s="171"/>
      <c r="K47" s="225" t="s">
        <v>308</v>
      </c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</row>
    <row r="48">
      <c r="A48" s="171"/>
      <c r="B48" s="171"/>
      <c r="C48" s="171"/>
      <c r="D48" s="171"/>
      <c r="E48" s="171"/>
      <c r="F48" s="171"/>
      <c r="G48" s="171"/>
      <c r="H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</row>
    <row r="49">
      <c r="A49" s="171"/>
      <c r="B49" s="171"/>
      <c r="C49" s="171"/>
      <c r="D49" s="171"/>
      <c r="E49" s="171"/>
      <c r="F49" s="171"/>
      <c r="G49" s="171"/>
      <c r="H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</row>
    <row r="50">
      <c r="A50" s="181" t="s">
        <v>266</v>
      </c>
      <c r="B50" s="181" t="s">
        <v>267</v>
      </c>
      <c r="C50" s="179">
        <f>POSTRES!L50</f>
        <v>1.43</v>
      </c>
      <c r="D50" s="179">
        <f>POSTRES!L60</f>
        <v>7.272727273</v>
      </c>
      <c r="E50" s="219">
        <f t="shared" ref="E50:E52" si="35">D50*1.1</f>
        <v>8</v>
      </c>
      <c r="F50" s="158">
        <f t="shared" ref="F50:F52" si="36">D50-C50-(E50*0.2)</f>
        <v>4.242727273</v>
      </c>
      <c r="G50" s="178">
        <f t="shared" ref="G50:G52" si="37">F50/D50*100</f>
        <v>58.3375</v>
      </c>
      <c r="H50" s="175">
        <f t="shared" ref="H50:H52" si="38">100-G50</f>
        <v>41.6625</v>
      </c>
      <c r="J50" s="178">
        <f t="shared" ref="J50:J51" si="39">I50/SUM($I$3:I248)*100</f>
        <v>0</v>
      </c>
      <c r="K50" s="181" t="s">
        <v>311</v>
      </c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</row>
    <row r="51">
      <c r="A51" s="181" t="s">
        <v>266</v>
      </c>
      <c r="B51" s="181" t="s">
        <v>268</v>
      </c>
      <c r="C51" s="179">
        <f>POSTRES!L6</f>
        <v>4.3</v>
      </c>
      <c r="D51" s="179">
        <f>POSTRES!L16</f>
        <v>7.272727273</v>
      </c>
      <c r="E51" s="219">
        <f t="shared" si="35"/>
        <v>8</v>
      </c>
      <c r="F51" s="158">
        <f t="shared" si="36"/>
        <v>1.372727273</v>
      </c>
      <c r="G51" s="178">
        <f t="shared" si="37"/>
        <v>18.875</v>
      </c>
      <c r="H51" s="175">
        <f t="shared" si="38"/>
        <v>81.125</v>
      </c>
      <c r="J51" s="178">
        <f t="shared" si="39"/>
        <v>0</v>
      </c>
      <c r="K51" s="227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</row>
    <row r="52">
      <c r="A52" s="181" t="s">
        <v>266</v>
      </c>
      <c r="B52" s="181" t="s">
        <v>269</v>
      </c>
      <c r="C52" s="179">
        <f>POSTRES!L28</f>
        <v>4.3</v>
      </c>
      <c r="D52" s="179">
        <f>POSTRES!L38</f>
        <v>7.272727273</v>
      </c>
      <c r="E52" s="219">
        <f t="shared" si="35"/>
        <v>8</v>
      </c>
      <c r="F52" s="158">
        <f t="shared" si="36"/>
        <v>1.372727273</v>
      </c>
      <c r="G52" s="178">
        <f t="shared" si="37"/>
        <v>18.875</v>
      </c>
      <c r="H52" s="175">
        <f t="shared" si="38"/>
        <v>81.125</v>
      </c>
      <c r="J52" s="171"/>
      <c r="K52" s="227" t="s">
        <v>309</v>
      </c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</row>
    <row r="53">
      <c r="A53" s="171"/>
      <c r="B53" s="171"/>
      <c r="C53" s="171"/>
      <c r="D53" s="171"/>
      <c r="E53" s="171"/>
      <c r="F53" s="171"/>
      <c r="G53" s="171"/>
      <c r="H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</row>
    <row r="54">
      <c r="A54" s="171"/>
      <c r="B54" s="171"/>
      <c r="C54" s="171"/>
      <c r="D54" s="171"/>
      <c r="E54" s="171"/>
      <c r="F54" s="171"/>
      <c r="G54" s="171"/>
      <c r="H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</row>
    <row r="55">
      <c r="A55" s="181" t="s">
        <v>270</v>
      </c>
      <c r="B55" s="181" t="s">
        <v>312</v>
      </c>
      <c r="C55" s="179">
        <f>'BRIOCH-SUBS'!L241</f>
        <v>1.828322402</v>
      </c>
      <c r="D55" s="191">
        <f>'BRIOCH-SUBS'!P242</f>
        <v>7.5</v>
      </c>
      <c r="E55" s="219">
        <f>D55*1.1</f>
        <v>8.25</v>
      </c>
      <c r="F55" s="158">
        <f>D55-C55-(E55*0.2)</f>
        <v>4.021677598</v>
      </c>
      <c r="G55" s="178">
        <f>F55/D55*100</f>
        <v>53.62236797</v>
      </c>
      <c r="H55" s="175">
        <f>100-G55</f>
        <v>46.37763203</v>
      </c>
      <c r="I55" s="171"/>
      <c r="J55" s="178">
        <f>I55/SUM($I$3:I253)*100</f>
        <v>0</v>
      </c>
      <c r="K55" s="181" t="s">
        <v>311</v>
      </c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</row>
    <row r="56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</row>
    <row r="57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</row>
    <row r="58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</row>
    <row r="59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</row>
    <row r="60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</row>
    <row r="6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</row>
    <row r="6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</row>
    <row r="63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</row>
    <row r="64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</row>
    <row r="65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</row>
    <row r="66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</row>
    <row r="67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</row>
    <row r="68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</row>
    <row r="69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</row>
    <row r="70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</row>
    <row r="7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</row>
    <row r="72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</row>
    <row r="73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</row>
    <row r="74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</row>
    <row r="75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</row>
    <row r="76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</row>
    <row r="77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</row>
    <row r="78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</row>
    <row r="79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</row>
    <row r="80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</row>
    <row r="8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</row>
    <row r="1001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</row>
    <row r="1002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  <c r="AA1002" s="171"/>
    </row>
    <row r="1003">
      <c r="A1003" s="171"/>
      <c r="B1003" s="171"/>
      <c r="C1003" s="171"/>
      <c r="D1003" s="171"/>
      <c r="E1003" s="171"/>
      <c r="F1003" s="171"/>
      <c r="G1003" s="171"/>
      <c r="H1003" s="171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  <c r="W1003" s="171"/>
      <c r="X1003" s="171"/>
      <c r="Y1003" s="171"/>
      <c r="Z1003" s="171"/>
      <c r="AA1003" s="171"/>
    </row>
    <row r="1004">
      <c r="A1004" s="171"/>
      <c r="B1004" s="171"/>
      <c r="C1004" s="171"/>
      <c r="D1004" s="171"/>
      <c r="E1004" s="171"/>
      <c r="F1004" s="171"/>
      <c r="G1004" s="171"/>
      <c r="H1004" s="171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1"/>
      <c r="V1004" s="171"/>
      <c r="W1004" s="171"/>
      <c r="X1004" s="171"/>
      <c r="Y1004" s="171"/>
      <c r="Z1004" s="171"/>
      <c r="AA1004" s="171"/>
    </row>
    <row r="1005">
      <c r="A1005" s="171"/>
      <c r="B1005" s="171"/>
      <c r="C1005" s="171"/>
      <c r="D1005" s="171"/>
      <c r="E1005" s="171"/>
      <c r="F1005" s="171"/>
      <c r="G1005" s="171"/>
      <c r="H1005" s="171"/>
      <c r="I1005" s="171"/>
      <c r="J1005" s="171"/>
      <c r="K1005" s="171"/>
      <c r="L1005" s="171"/>
      <c r="M1005" s="171"/>
      <c r="N1005" s="171"/>
      <c r="O1005" s="171"/>
      <c r="P1005" s="171"/>
      <c r="Q1005" s="171"/>
      <c r="R1005" s="171"/>
      <c r="S1005" s="171"/>
      <c r="T1005" s="171"/>
      <c r="U1005" s="171"/>
      <c r="V1005" s="171"/>
      <c r="W1005" s="171"/>
      <c r="X1005" s="171"/>
      <c r="Y1005" s="171"/>
      <c r="Z1005" s="171"/>
      <c r="AA1005" s="171"/>
    </row>
  </sheetData>
  <conditionalFormatting sqref="G3:G52 G55">
    <cfRule type="cellIs" dxfId="5" priority="1" operator="greaterThan">
      <formula>55</formula>
    </cfRule>
  </conditionalFormatting>
  <conditionalFormatting sqref="G3:G52 G55">
    <cfRule type="cellIs" dxfId="7" priority="2" operator="lessThan">
      <formula>50</formula>
    </cfRule>
  </conditionalFormatting>
  <conditionalFormatting sqref="G3:G52 G55">
    <cfRule type="cellIs" dxfId="6" priority="3" operator="between">
      <formula>54.99</formula>
      <formula>51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314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  <c r="O5" s="250" t="s">
        <v>323</v>
      </c>
      <c r="P5" s="251"/>
      <c r="Q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13" si="1">IFERROR(1-G6/F6,"")</f>
        <v/>
      </c>
      <c r="I6" s="256">
        <f t="shared" ref="I6:I19" si="2">IFERROR(E6*F6,"")</f>
        <v>0</v>
      </c>
      <c r="J6" s="241"/>
      <c r="K6" s="259" t="s">
        <v>324</v>
      </c>
      <c r="L6" s="260">
        <f>SUM(I6:I19)</f>
        <v>2.432744892</v>
      </c>
      <c r="M6" s="261"/>
      <c r="O6" s="259" t="s">
        <v>324</v>
      </c>
      <c r="P6" s="260">
        <f>L6</f>
        <v>2.432744892</v>
      </c>
      <c r="Q6" s="261"/>
    </row>
    <row r="7" ht="15.75" customHeight="1">
      <c r="A7" s="252"/>
      <c r="B7" s="262" t="str">
        <f>K31</f>
        <v>PVP</v>
      </c>
      <c r="C7" s="262" t="str">
        <f>C31</f>
        <v/>
      </c>
      <c r="D7" s="263" t="s">
        <v>14</v>
      </c>
      <c r="E7" s="264"/>
      <c r="F7" s="265"/>
      <c r="G7" s="265"/>
      <c r="H7" s="266" t="str">
        <f t="shared" si="1"/>
        <v/>
      </c>
      <c r="I7" s="264">
        <f t="shared" si="2"/>
        <v>0</v>
      </c>
      <c r="J7" s="241"/>
      <c r="K7" s="267" t="s">
        <v>325</v>
      </c>
      <c r="L7" s="268">
        <v>8.0</v>
      </c>
      <c r="M7" s="261"/>
      <c r="O7" s="267" t="s">
        <v>325</v>
      </c>
      <c r="P7" s="268">
        <v>8.2</v>
      </c>
      <c r="Q7" s="261"/>
    </row>
    <row r="8" ht="15.75" customHeight="1">
      <c r="A8" s="252"/>
      <c r="B8" s="269">
        <f t="array" ref="B8">+XLOOKUP(C8,'Base de datos'!C:C,'Base de datos'!A:A,"",FALSE)</f>
        <v>63</v>
      </c>
      <c r="C8" s="270" t="s">
        <v>89</v>
      </c>
      <c r="D8" s="255" t="s">
        <v>14</v>
      </c>
      <c r="E8" s="256">
        <f t="array" ref="E8">+XLOOKUP(B8,'Base de datos'!A:A,'Base de datos'!H:H,0)</f>
        <v>6.15</v>
      </c>
      <c r="F8" s="271">
        <v>0.11</v>
      </c>
      <c r="G8" s="271">
        <v>0.1</v>
      </c>
      <c r="H8" s="258">
        <f t="shared" si="1"/>
        <v>0.09090909091</v>
      </c>
      <c r="I8" s="256">
        <f t="shared" si="2"/>
        <v>0.6765</v>
      </c>
      <c r="J8" s="241"/>
      <c r="K8" s="272" t="s">
        <v>326</v>
      </c>
      <c r="L8" s="273">
        <f>L7/1.1</f>
        <v>7.272727273</v>
      </c>
      <c r="M8" s="274"/>
      <c r="O8" s="272" t="s">
        <v>326</v>
      </c>
      <c r="P8" s="273">
        <f>P7/1.1</f>
        <v>7.454545455</v>
      </c>
      <c r="Q8" s="274"/>
    </row>
    <row r="9" ht="15.75" customHeight="1">
      <c r="A9" s="252"/>
      <c r="B9" s="269">
        <f t="array" ref="B9">+XLOOKUP(C9,'Base de datos'!C:C,'Base de datos'!A:A,"",FALSE)</f>
        <v>110</v>
      </c>
      <c r="C9" s="270" t="s">
        <v>134</v>
      </c>
      <c r="D9" s="275" t="s">
        <v>20</v>
      </c>
      <c r="E9" s="256">
        <f t="array" ref="E9">+XLOOKUP(B9,'Base de datos'!A:A,'Base de datos'!H:H,0)</f>
        <v>0.2818181818</v>
      </c>
      <c r="F9" s="271">
        <v>1.0</v>
      </c>
      <c r="G9" s="271">
        <v>1.0</v>
      </c>
      <c r="H9" s="258">
        <f t="shared" si="1"/>
        <v>0</v>
      </c>
      <c r="I9" s="256">
        <f t="shared" si="2"/>
        <v>0.2818181818</v>
      </c>
      <c r="J9" s="241"/>
      <c r="K9" s="276" t="s">
        <v>327</v>
      </c>
      <c r="L9" s="277">
        <v>0.1</v>
      </c>
      <c r="M9" s="278"/>
      <c r="O9" s="276" t="s">
        <v>327</v>
      </c>
      <c r="P9" s="277">
        <v>0.1</v>
      </c>
      <c r="Q9" s="278"/>
    </row>
    <row r="10" ht="15.75" customHeight="1">
      <c r="A10" s="252"/>
      <c r="B10" s="269">
        <f t="array" ref="B10">+XLOOKUP(C10,'Base de datos'!C:C,'Base de datos'!A:A,"",FALSE)</f>
        <v>96</v>
      </c>
      <c r="C10" s="270" t="s">
        <v>118</v>
      </c>
      <c r="D10" s="275" t="s">
        <v>14</v>
      </c>
      <c r="E10" s="256">
        <f t="array" ref="E10">+XLOOKUP(B10,'Base de datos'!A:A,'Base de datos'!H:H,0)</f>
        <v>1.8</v>
      </c>
      <c r="F10" s="271">
        <v>0.01</v>
      </c>
      <c r="G10" s="271">
        <v>0.01</v>
      </c>
      <c r="H10" s="258">
        <f t="shared" si="1"/>
        <v>0</v>
      </c>
      <c r="I10" s="256">
        <f t="shared" si="2"/>
        <v>0.018</v>
      </c>
      <c r="J10" s="241"/>
      <c r="K10" s="279" t="s">
        <v>328</v>
      </c>
      <c r="L10" s="280">
        <f>L6/L8*100</f>
        <v>33.45024227</v>
      </c>
      <c r="M10" s="281" t="s">
        <v>329</v>
      </c>
      <c r="O10" s="279" t="s">
        <v>328</v>
      </c>
      <c r="P10" s="280">
        <f>P6/P8*100</f>
        <v>32.6343827</v>
      </c>
      <c r="Q10" s="281" t="s">
        <v>329</v>
      </c>
    </row>
    <row r="11" ht="15.75" customHeight="1">
      <c r="A11" s="252"/>
      <c r="B11" s="269">
        <f t="array" ref="B11">+XLOOKUP(C11,'Base de datos'!C:C,'Base de datos'!A:A,"",FALSE)</f>
        <v>72</v>
      </c>
      <c r="C11" s="270" t="s">
        <v>93</v>
      </c>
      <c r="D11" s="275" t="s">
        <v>14</v>
      </c>
      <c r="E11" s="256">
        <f t="array" ref="E11">+XLOOKUP(B11,'Base de datos'!A:A,'Base de datos'!H:H,0)</f>
        <v>2</v>
      </c>
      <c r="F11" s="271">
        <v>0.01</v>
      </c>
      <c r="G11" s="271">
        <v>0.01</v>
      </c>
      <c r="H11" s="258">
        <f t="shared" si="1"/>
        <v>0</v>
      </c>
      <c r="I11" s="256">
        <f t="shared" si="2"/>
        <v>0.02</v>
      </c>
      <c r="J11" s="241"/>
      <c r="K11" s="282" t="s">
        <v>330</v>
      </c>
      <c r="L11" s="283">
        <f>100-L10</f>
        <v>66.54975773</v>
      </c>
      <c r="M11" s="284" t="s">
        <v>329</v>
      </c>
      <c r="O11" s="285" t="s">
        <v>330</v>
      </c>
      <c r="P11" s="286">
        <f>P8-P6</f>
        <v>5.021800562</v>
      </c>
      <c r="Q11" s="287" t="s">
        <v>331</v>
      </c>
    </row>
    <row r="12" ht="15.75" customHeight="1">
      <c r="A12" s="252"/>
      <c r="B12" s="269">
        <f t="array" ref="B12">+XLOOKUP(C12,'Base de datos'!C:C,'Base de datos'!A:A,"",FALSE)</f>
        <v>37</v>
      </c>
      <c r="C12" s="270" t="s">
        <v>66</v>
      </c>
      <c r="D12" s="255" t="s">
        <v>14</v>
      </c>
      <c r="E12" s="256">
        <f t="array" ref="E12">+XLOOKUP(B12,'Base de datos'!A:A,'Base de datos'!H:H,0)</f>
        <v>7</v>
      </c>
      <c r="F12" s="271">
        <v>0.02</v>
      </c>
      <c r="G12" s="271">
        <v>0.02</v>
      </c>
      <c r="H12" s="258">
        <f t="shared" si="1"/>
        <v>0</v>
      </c>
      <c r="I12" s="256">
        <f t="shared" si="2"/>
        <v>0.14</v>
      </c>
      <c r="J12" s="241"/>
      <c r="L12" s="288"/>
      <c r="O12" s="289" t="s">
        <v>332</v>
      </c>
      <c r="P12" s="290">
        <f>P8-P6-(P7*0.2)</f>
        <v>3.381800562</v>
      </c>
      <c r="Q12" s="291" t="s">
        <v>331</v>
      </c>
    </row>
    <row r="13" ht="15.75" customHeight="1">
      <c r="A13" s="252"/>
      <c r="B13" s="269">
        <f t="array" ref="B13">+XLOOKUP(C13,'Base de datos'!C:C,'Base de datos'!A:A,"",FALSE)</f>
        <v>34</v>
      </c>
      <c r="C13" s="270" t="s">
        <v>63</v>
      </c>
      <c r="D13" s="275" t="s">
        <v>11</v>
      </c>
      <c r="E13" s="256">
        <f t="array" ref="E13">+XLOOKUP(B13,'Base de datos'!A:A,'Base de datos'!H:H,0)</f>
        <v>3.75</v>
      </c>
      <c r="F13" s="271">
        <v>0.02</v>
      </c>
      <c r="G13" s="271">
        <v>0.02</v>
      </c>
      <c r="H13" s="258">
        <f t="shared" si="1"/>
        <v>0</v>
      </c>
      <c r="I13" s="256">
        <f t="shared" si="2"/>
        <v>0.075</v>
      </c>
      <c r="J13" s="241"/>
      <c r="K13" s="190" t="s">
        <v>333</v>
      </c>
      <c r="L13" s="190">
        <v>6.0</v>
      </c>
      <c r="O13" s="289" t="s">
        <v>332</v>
      </c>
      <c r="P13" s="292">
        <f>P12/P8</f>
        <v>0.453656173</v>
      </c>
      <c r="Q13" s="291" t="s">
        <v>329</v>
      </c>
    </row>
    <row r="14" ht="15.75" customHeight="1">
      <c r="A14" s="252"/>
      <c r="B14" s="253" t="str">
        <f t="array" ref="B14">+XLOOKUP(C14,'Base de datos'!C:C,'Base de datos'!A:A,"",FALSE)</f>
        <v/>
      </c>
      <c r="C14" s="270"/>
      <c r="D14" s="255" t="s">
        <v>14</v>
      </c>
      <c r="E14" s="256">
        <f t="array" ref="E14">+XLOOKUP(B14,'Base de datos'!A:A,'Base de datos'!H:H,0)</f>
        <v>0</v>
      </c>
      <c r="F14" s="257"/>
      <c r="G14" s="257"/>
      <c r="H14" s="258"/>
      <c r="I14" s="256">
        <f t="shared" si="2"/>
        <v>0</v>
      </c>
      <c r="J14" s="241"/>
      <c r="K14" s="190" t="s">
        <v>334</v>
      </c>
      <c r="L14" s="190">
        <v>0.5</v>
      </c>
    </row>
    <row r="15" ht="15.75" customHeight="1">
      <c r="A15" s="252"/>
      <c r="B15" s="269">
        <f t="array" ref="B15">+XLOOKUP(C15,'Base de datos'!C:C,'Base de datos'!A:A,"",FALSE)</f>
        <v>93</v>
      </c>
      <c r="C15" s="270" t="s">
        <v>114</v>
      </c>
      <c r="D15" s="275" t="s">
        <v>20</v>
      </c>
      <c r="E15" s="256">
        <f t="array" ref="E15">+XLOOKUP(B15,'Base de datos'!A:A,'Base de datos'!H:H,0)</f>
        <v>0.0277</v>
      </c>
      <c r="F15" s="271">
        <v>1.0</v>
      </c>
      <c r="G15" s="271">
        <v>1.0</v>
      </c>
      <c r="H15" s="258">
        <f t="shared" ref="H15:H19" si="3">IFERROR(1-G15/F15,"")</f>
        <v>0</v>
      </c>
      <c r="I15" s="256">
        <f t="shared" si="2"/>
        <v>0.0277</v>
      </c>
      <c r="J15" s="241"/>
      <c r="K15" s="190" t="s">
        <v>335</v>
      </c>
      <c r="L15" s="190">
        <v>1.5</v>
      </c>
    </row>
    <row r="16" ht="15.75" customHeight="1">
      <c r="A16" s="252"/>
      <c r="B16" s="269">
        <f t="array" ref="B16">+XLOOKUP(C16,'Base de datos'!C:C,'Base de datos'!A:A,"",FALSE)</f>
        <v>29</v>
      </c>
      <c r="C16" s="270" t="s">
        <v>54</v>
      </c>
      <c r="D16" s="275" t="s">
        <v>20</v>
      </c>
      <c r="E16" s="256">
        <f t="array" ref="E16">+XLOOKUP(B16,'Base de datos'!A:A,'Base de datos'!H:H,0)</f>
        <v>0.1946</v>
      </c>
      <c r="F16" s="271">
        <v>1.0</v>
      </c>
      <c r="G16" s="271">
        <v>1.0</v>
      </c>
      <c r="H16" s="258">
        <f t="shared" si="3"/>
        <v>0</v>
      </c>
      <c r="I16" s="256">
        <f t="shared" si="2"/>
        <v>0.1946</v>
      </c>
      <c r="J16" s="241"/>
      <c r="K16" s="293" t="s">
        <v>336</v>
      </c>
      <c r="L16" s="294">
        <f>SUM(L13:L15)</f>
        <v>8</v>
      </c>
    </row>
    <row r="17" ht="15.75" customHeight="1">
      <c r="A17" s="252"/>
      <c r="B17" s="269">
        <f t="array" ref="B17">+XLOOKUP(C17,'Base de datos'!C:C,'Base de datos'!A:A,"",FALSE)</f>
        <v>58</v>
      </c>
      <c r="C17" s="270" t="s">
        <v>85</v>
      </c>
      <c r="D17" s="255" t="s">
        <v>14</v>
      </c>
      <c r="E17" s="256">
        <f t="array" ref="E17">+XLOOKUP(B17,'Base de datos'!A:A,'Base de datos'!H:H,0)</f>
        <v>2.15</v>
      </c>
      <c r="F17" s="271">
        <v>0.09</v>
      </c>
      <c r="G17" s="257"/>
      <c r="H17" s="258">
        <f t="shared" si="3"/>
        <v>1</v>
      </c>
      <c r="I17" s="256">
        <f t="shared" si="2"/>
        <v>0.1935</v>
      </c>
      <c r="J17" s="241"/>
    </row>
    <row r="18" ht="15.75" customHeight="1">
      <c r="A18" s="252"/>
      <c r="B18" s="269">
        <f t="array" ref="B18">+XLOOKUP(C18,'Base de datos'!C:C,'Base de datos'!A:A,"",FALSE)</f>
        <v>103</v>
      </c>
      <c r="C18" s="270" t="s">
        <v>126</v>
      </c>
      <c r="D18" s="255" t="s">
        <v>14</v>
      </c>
      <c r="E18" s="256">
        <f t="array" ref="E18">+XLOOKUP(B18,'Base de datos'!A:A,'Base de datos'!H:H,0)</f>
        <v>0.61375</v>
      </c>
      <c r="F18" s="271">
        <v>1.0</v>
      </c>
      <c r="G18" s="257"/>
      <c r="H18" s="258">
        <f t="shared" si="3"/>
        <v>1</v>
      </c>
      <c r="I18" s="256">
        <f t="shared" si="2"/>
        <v>0.61375</v>
      </c>
      <c r="J18" s="241"/>
      <c r="K18" s="190"/>
    </row>
    <row r="19" ht="15.75" customHeight="1">
      <c r="A19" s="252"/>
      <c r="B19" s="269">
        <f t="array" ref="B19">+XLOOKUP(C19,'Base de datos'!C:C,'Base de datos'!A:A,"",FALSE)</f>
        <v>166</v>
      </c>
      <c r="C19" s="270" t="s">
        <v>201</v>
      </c>
      <c r="D19" s="255" t="s">
        <v>14</v>
      </c>
      <c r="E19" s="256">
        <f t="array" ref="E19">+XLOOKUP(B19,'Base de datos'!A:A,'Base de datos'!H:H,0)</f>
        <v>0.1918767105</v>
      </c>
      <c r="F19" s="271">
        <v>1.0</v>
      </c>
      <c r="G19" s="257"/>
      <c r="H19" s="258">
        <f t="shared" si="3"/>
        <v>1</v>
      </c>
      <c r="I19" s="256">
        <f t="shared" si="2"/>
        <v>0.1918767105</v>
      </c>
      <c r="J19" s="241"/>
    </row>
    <row r="20" ht="15.75" customHeight="1">
      <c r="A20" s="240"/>
      <c r="B20" s="240"/>
      <c r="C20" s="241"/>
      <c r="D20" s="242"/>
      <c r="E20" s="243"/>
      <c r="F20" s="244"/>
      <c r="G20" s="244"/>
      <c r="H20" s="241"/>
      <c r="I20" s="241"/>
      <c r="J20" s="241"/>
    </row>
    <row r="21" ht="15.75" customHeight="1">
      <c r="A21" s="295"/>
      <c r="B21" s="295"/>
      <c r="C21" s="296" t="s">
        <v>337</v>
      </c>
      <c r="D21" s="297"/>
      <c r="E21" s="297"/>
      <c r="F21" s="297"/>
      <c r="G21" s="297"/>
      <c r="H21" s="297"/>
      <c r="I21" s="298"/>
      <c r="J21" s="241"/>
    </row>
    <row r="22" ht="15.75" customHeight="1">
      <c r="A22" s="299"/>
      <c r="B22" s="299"/>
      <c r="C22" s="300"/>
      <c r="D22" s="297"/>
      <c r="E22" s="297"/>
      <c r="F22" s="297"/>
      <c r="G22" s="297"/>
      <c r="H22" s="297"/>
      <c r="I22" s="298"/>
      <c r="J22" s="241"/>
    </row>
    <row r="23" ht="15.75" customHeight="1">
      <c r="A23" s="301"/>
      <c r="B23" s="301"/>
      <c r="C23" s="302"/>
      <c r="I23" s="278"/>
      <c r="J23" s="241"/>
    </row>
    <row r="24" ht="15.75" customHeight="1">
      <c r="A24" s="301"/>
      <c r="B24" s="301"/>
      <c r="C24" s="302"/>
      <c r="I24" s="278"/>
      <c r="J24" s="241"/>
      <c r="K24" s="241"/>
      <c r="L24" s="241"/>
    </row>
    <row r="25" ht="15.75" customHeight="1">
      <c r="A25" s="301"/>
      <c r="B25" s="301"/>
      <c r="C25" s="302"/>
      <c r="I25" s="278"/>
      <c r="J25" s="241"/>
      <c r="K25" s="241"/>
      <c r="L25" s="241"/>
      <c r="R25" s="303"/>
      <c r="S25" s="303"/>
      <c r="T25" s="303"/>
      <c r="U25" s="303"/>
      <c r="V25" s="303"/>
      <c r="W25" s="303"/>
      <c r="X25" s="303"/>
      <c r="Y25" s="303"/>
      <c r="Z25" s="303"/>
      <c r="AA25" s="303"/>
    </row>
    <row r="26" ht="15.75" customHeight="1">
      <c r="A26" s="301"/>
      <c r="B26" s="301"/>
      <c r="C26" s="302"/>
      <c r="I26" s="278"/>
      <c r="J26" s="241"/>
      <c r="K26" s="241"/>
      <c r="L26" s="241"/>
    </row>
    <row r="27" ht="15.75" customHeight="1">
      <c r="A27" s="301"/>
      <c r="B27" s="301"/>
      <c r="C27" s="302"/>
      <c r="I27" s="278"/>
      <c r="J27" s="241"/>
      <c r="K27" s="241"/>
      <c r="L27" s="241"/>
    </row>
    <row r="28" ht="15.75" customHeight="1">
      <c r="A28" s="301"/>
      <c r="B28" s="301"/>
      <c r="C28" s="302"/>
      <c r="I28" s="278"/>
      <c r="J28" s="241"/>
      <c r="K28" s="241"/>
      <c r="L28" s="241"/>
    </row>
    <row r="29" ht="15.75" customHeight="1">
      <c r="A29" s="301"/>
      <c r="B29" s="301"/>
      <c r="C29" s="304"/>
      <c r="D29" s="305"/>
      <c r="E29" s="305"/>
      <c r="F29" s="305"/>
      <c r="G29" s="305"/>
      <c r="H29" s="305"/>
      <c r="I29" s="274"/>
      <c r="J29" s="241"/>
      <c r="K29" s="241"/>
      <c r="L29" s="241"/>
    </row>
    <row r="30" ht="15.75" customHeight="1">
      <c r="A30" s="252"/>
      <c r="B30" s="253" t="str">
        <f t="array" ref="B30">+XLOOKUP(C30,'Base de datos'!C:C,'Base de datos'!A:A,"",FALSE)</f>
        <v/>
      </c>
      <c r="C30" s="254"/>
      <c r="D30" s="255" t="s">
        <v>14</v>
      </c>
      <c r="E30" s="256">
        <f t="array" ref="E30">+XLOOKUP(B30,'Base de datos'!A:A,'Base de datos'!H:H,0)</f>
        <v>0</v>
      </c>
      <c r="F30" s="257"/>
      <c r="G30" s="257"/>
      <c r="H30" s="258" t="str">
        <f t="shared" ref="H30:H32" si="4">IFERROR(1-G30/F30,"")</f>
        <v/>
      </c>
      <c r="I30" s="256">
        <f t="shared" ref="I30:I35" si="5">IFERROR(E30*F30,"")</f>
        <v>0</v>
      </c>
      <c r="J30" s="241"/>
      <c r="K30" s="259" t="s">
        <v>324</v>
      </c>
      <c r="L30" s="260">
        <f>SUM(I30:I35)</f>
        <v>4.3</v>
      </c>
      <c r="M30" s="261"/>
    </row>
    <row r="31" ht="15.75" customHeight="1">
      <c r="A31" s="252"/>
      <c r="B31" s="262" t="str">
        <f>K49</f>
        <v/>
      </c>
      <c r="C31" s="262" t="str">
        <f>C49</f>
        <v/>
      </c>
      <c r="D31" s="263" t="s">
        <v>14</v>
      </c>
      <c r="E31" s="264" t="str">
        <f>K55</f>
        <v>IVA</v>
      </c>
      <c r="F31" s="265"/>
      <c r="G31" s="265"/>
      <c r="H31" s="266" t="str">
        <f t="shared" si="4"/>
        <v/>
      </c>
      <c r="I31" s="264" t="str">
        <f t="shared" si="5"/>
        <v/>
      </c>
      <c r="J31" s="241"/>
      <c r="K31" s="267" t="s">
        <v>325</v>
      </c>
      <c r="L31" s="268">
        <v>6.5</v>
      </c>
      <c r="M31" s="261"/>
    </row>
    <row r="32" ht="15.75" customHeight="1">
      <c r="A32" s="252"/>
      <c r="B32" s="269">
        <f t="array" ref="B32">+XLOOKUP(C32,'Base de datos'!C:C,'Base de datos'!A:A,"",FALSE)</f>
        <v>97</v>
      </c>
      <c r="C32" s="270" t="s">
        <v>119</v>
      </c>
      <c r="D32" s="255" t="s">
        <v>14</v>
      </c>
      <c r="E32" s="256">
        <f t="array" ref="E32">+XLOOKUP(B32,'Base de datos'!A:A,'Base de datos'!H:H,0)</f>
        <v>4.3</v>
      </c>
      <c r="F32" s="271">
        <v>1.0</v>
      </c>
      <c r="G32" s="271">
        <v>1.0</v>
      </c>
      <c r="H32" s="258">
        <f t="shared" si="4"/>
        <v>0</v>
      </c>
      <c r="I32" s="256">
        <f t="shared" si="5"/>
        <v>4.3</v>
      </c>
      <c r="J32" s="241"/>
      <c r="K32" s="272" t="s">
        <v>326</v>
      </c>
      <c r="L32" s="273">
        <f>L31/1.1</f>
        <v>5.909090909</v>
      </c>
      <c r="M32" s="274"/>
    </row>
    <row r="33" ht="15.75" customHeight="1">
      <c r="A33" s="252"/>
      <c r="B33" s="253" t="str">
        <f t="array" ref="B33">+XLOOKUP(C33,'Base de datos'!C:C,'Base de datos'!A:A,"",FALSE)</f>
        <v/>
      </c>
      <c r="C33" s="270"/>
      <c r="D33" s="275" t="s">
        <v>20</v>
      </c>
      <c r="E33" s="256">
        <f t="array" ref="E33">+XLOOKUP(B33,'Base de datos'!A:A,'Base de datos'!H:H,0)</f>
        <v>0</v>
      </c>
      <c r="F33" s="271"/>
      <c r="G33" s="271"/>
      <c r="H33" s="258"/>
      <c r="I33" s="256">
        <f t="shared" si="5"/>
        <v>0</v>
      </c>
      <c r="J33" s="241"/>
      <c r="K33" s="276" t="s">
        <v>327</v>
      </c>
      <c r="L33" s="277">
        <v>0.1</v>
      </c>
      <c r="M33" s="278"/>
    </row>
    <row r="34" ht="15.75" customHeight="1">
      <c r="A34" s="252"/>
      <c r="B34" s="253" t="str">
        <f t="array" ref="B34">+XLOOKUP(C34,'Base de datos'!C:C,'Base de datos'!A:A,"",FALSE)</f>
        <v/>
      </c>
      <c r="C34" s="270"/>
      <c r="D34" s="275" t="s">
        <v>14</v>
      </c>
      <c r="E34" s="256">
        <f t="array" ref="E34">+XLOOKUP(B34,'Base de datos'!A:A,'Base de datos'!H:H,0)</f>
        <v>0</v>
      </c>
      <c r="F34" s="271"/>
      <c r="G34" s="271"/>
      <c r="H34" s="258"/>
      <c r="I34" s="256">
        <f t="shared" si="5"/>
        <v>0</v>
      </c>
      <c r="J34" s="241"/>
      <c r="K34" s="279" t="s">
        <v>328</v>
      </c>
      <c r="L34" s="280">
        <f>L30/L32*100</f>
        <v>72.76923077</v>
      </c>
      <c r="M34" s="281" t="s">
        <v>329</v>
      </c>
    </row>
    <row r="35" ht="15.75" customHeight="1">
      <c r="A35" s="252"/>
      <c r="B35" s="253" t="str">
        <f t="array" ref="B35">+XLOOKUP(C35,'Base de datos'!C:C,'Base de datos'!A:A,"",FALSE)</f>
        <v/>
      </c>
      <c r="C35" s="270"/>
      <c r="D35" s="275" t="s">
        <v>20</v>
      </c>
      <c r="E35" s="256">
        <f t="array" ref="E35">+XLOOKUP(B35,'Base de datos'!A:A,'Base de datos'!H:H,0)</f>
        <v>0</v>
      </c>
      <c r="F35" s="271"/>
      <c r="G35" s="271"/>
      <c r="H35" s="258"/>
      <c r="I35" s="256">
        <f t="shared" si="5"/>
        <v>0</v>
      </c>
      <c r="J35" s="241"/>
      <c r="K35" s="282" t="s">
        <v>330</v>
      </c>
      <c r="L35" s="283">
        <f>100-L34</f>
        <v>27.23076923</v>
      </c>
      <c r="M35" s="284" t="s">
        <v>329</v>
      </c>
    </row>
    <row r="36" ht="15.75" customHeight="1">
      <c r="A36" s="240"/>
      <c r="B36" s="240"/>
      <c r="C36" s="241"/>
      <c r="D36" s="242"/>
      <c r="E36" s="243"/>
      <c r="F36" s="244"/>
      <c r="G36" s="244"/>
      <c r="H36" s="241"/>
      <c r="I36" s="241"/>
      <c r="J36" s="241"/>
      <c r="K36" s="241"/>
      <c r="L36" s="241"/>
    </row>
    <row r="37" ht="15.75" customHeight="1">
      <c r="A37" s="295"/>
      <c r="B37" s="295"/>
      <c r="C37" s="296" t="s">
        <v>338</v>
      </c>
      <c r="D37" s="297"/>
      <c r="E37" s="297"/>
      <c r="F37" s="297"/>
      <c r="G37" s="297"/>
      <c r="H37" s="297"/>
      <c r="I37" s="298"/>
      <c r="J37" s="241"/>
      <c r="K37" s="250" t="s">
        <v>323</v>
      </c>
      <c r="L37" s="251"/>
      <c r="M37" s="251"/>
    </row>
    <row r="38" ht="15.75" customHeight="1">
      <c r="A38" s="299"/>
      <c r="B38" s="299"/>
      <c r="C38" s="300"/>
      <c r="D38" s="297"/>
      <c r="E38" s="297"/>
      <c r="F38" s="297"/>
      <c r="G38" s="297"/>
      <c r="H38" s="297"/>
      <c r="I38" s="298"/>
      <c r="J38" s="241"/>
      <c r="K38" s="259" t="s">
        <v>324</v>
      </c>
      <c r="L38" s="260">
        <f>L30</f>
        <v>4.3</v>
      </c>
      <c r="M38" s="261"/>
    </row>
    <row r="39" ht="15.75" customHeight="1">
      <c r="A39" s="301"/>
      <c r="B39" s="301"/>
      <c r="C39" s="302"/>
      <c r="I39" s="278"/>
      <c r="J39" s="241"/>
      <c r="K39" s="267" t="s">
        <v>325</v>
      </c>
      <c r="L39" s="268">
        <v>8.0</v>
      </c>
      <c r="M39" s="261"/>
    </row>
    <row r="40" ht="15.75" customHeight="1">
      <c r="A40" s="301"/>
      <c r="B40" s="301"/>
      <c r="C40" s="306" t="s">
        <v>339</v>
      </c>
      <c r="I40" s="278"/>
      <c r="J40" s="241"/>
      <c r="K40" s="272" t="s">
        <v>326</v>
      </c>
      <c r="L40" s="273">
        <f>L39/1.1</f>
        <v>7.272727273</v>
      </c>
      <c r="M40" s="274"/>
    </row>
    <row r="41" ht="15.75" customHeight="1">
      <c r="A41" s="301"/>
      <c r="B41" s="301"/>
      <c r="C41" s="302"/>
      <c r="I41" s="278"/>
      <c r="J41" s="241"/>
      <c r="K41" s="276" t="s">
        <v>327</v>
      </c>
      <c r="L41" s="277">
        <v>0.1</v>
      </c>
      <c r="M41" s="278"/>
    </row>
    <row r="42" ht="15.75" customHeight="1">
      <c r="A42" s="301"/>
      <c r="B42" s="301"/>
      <c r="C42" s="304"/>
      <c r="D42" s="305"/>
      <c r="E42" s="305"/>
      <c r="F42" s="305"/>
      <c r="G42" s="305"/>
      <c r="H42" s="305"/>
      <c r="I42" s="274"/>
      <c r="J42" s="241"/>
      <c r="K42" s="279" t="s">
        <v>328</v>
      </c>
      <c r="L42" s="280">
        <f>L38/L40*100</f>
        <v>59.125</v>
      </c>
      <c r="M42" s="281" t="s">
        <v>329</v>
      </c>
    </row>
    <row r="43" ht="15.75" customHeight="1">
      <c r="A43" s="301"/>
      <c r="B43" s="301"/>
      <c r="C43" s="303"/>
      <c r="D43" s="303"/>
      <c r="E43" s="303"/>
      <c r="F43" s="303"/>
      <c r="G43" s="303"/>
      <c r="H43" s="303"/>
      <c r="I43" s="303"/>
      <c r="J43" s="241"/>
      <c r="K43" s="285" t="s">
        <v>330</v>
      </c>
      <c r="L43" s="286">
        <f>L40-L38</f>
        <v>2.972727273</v>
      </c>
      <c r="M43" s="287" t="s">
        <v>331</v>
      </c>
    </row>
    <row r="44" ht="15.75" customHeight="1">
      <c r="A44" s="307"/>
      <c r="B44" s="307"/>
      <c r="D44" s="308"/>
      <c r="E44" s="309"/>
      <c r="K44" s="289" t="s">
        <v>332</v>
      </c>
      <c r="L44" s="290">
        <f>L40-L38-(L39*0.2)</f>
        <v>1.372727273</v>
      </c>
      <c r="M44" s="291" t="s">
        <v>331</v>
      </c>
    </row>
    <row r="45" ht="15.75" customHeight="1">
      <c r="A45" s="307"/>
      <c r="B45" s="307"/>
      <c r="D45" s="308"/>
      <c r="E45" s="309"/>
      <c r="K45" s="289" t="s">
        <v>332</v>
      </c>
      <c r="L45" s="292">
        <f>L44/L40</f>
        <v>0.18875</v>
      </c>
      <c r="M45" s="291" t="s">
        <v>329</v>
      </c>
    </row>
    <row r="46" ht="15.75" customHeight="1">
      <c r="A46" s="307"/>
      <c r="B46" s="307"/>
      <c r="D46" s="308"/>
      <c r="E46" s="309"/>
    </row>
    <row r="47" ht="15.75" customHeight="1">
      <c r="A47" s="229"/>
      <c r="B47" s="230"/>
      <c r="C47" s="230"/>
      <c r="D47" s="230"/>
      <c r="E47" s="231"/>
      <c r="F47" s="232"/>
      <c r="G47" s="232"/>
      <c r="H47" s="230"/>
      <c r="I47" s="230"/>
      <c r="J47" s="230"/>
      <c r="K47" s="230"/>
      <c r="L47" s="230"/>
      <c r="M47" s="233"/>
    </row>
    <row r="48" ht="15.75" customHeight="1">
      <c r="A48" s="234"/>
      <c r="B48" s="234"/>
      <c r="C48" s="235" t="s">
        <v>313</v>
      </c>
      <c r="D48" s="236" t="s">
        <v>267</v>
      </c>
      <c r="E48" s="237"/>
      <c r="F48" s="237"/>
      <c r="G48" s="237"/>
      <c r="H48" s="237"/>
      <c r="I48" s="237"/>
      <c r="J48" s="238"/>
      <c r="K48" s="310" t="s">
        <v>340</v>
      </c>
      <c r="L48" s="230"/>
      <c r="M48" s="233"/>
    </row>
    <row r="49" ht="15.75" customHeight="1">
      <c r="A49" s="239"/>
      <c r="B49" s="239"/>
      <c r="C49" s="230"/>
      <c r="D49" s="230"/>
      <c r="E49" s="231"/>
      <c r="F49" s="232"/>
      <c r="G49" s="232"/>
      <c r="H49" s="230"/>
      <c r="I49" s="230"/>
      <c r="J49" s="230"/>
      <c r="K49" s="230"/>
      <c r="L49" s="230"/>
      <c r="M49" s="233"/>
    </row>
    <row r="50" ht="15.75" customHeight="1">
      <c r="A50" s="240"/>
      <c r="B50" s="240"/>
      <c r="C50" s="241"/>
      <c r="D50" s="242"/>
      <c r="E50" s="243"/>
      <c r="F50" s="244"/>
      <c r="G50" s="244"/>
      <c r="H50" s="241"/>
      <c r="I50" s="241"/>
      <c r="J50" s="241"/>
      <c r="K50" s="241"/>
      <c r="L50" s="241"/>
    </row>
    <row r="51" ht="15.75" customHeight="1">
      <c r="A51" s="245"/>
      <c r="B51" s="246" t="s">
        <v>0</v>
      </c>
      <c r="C51" s="246" t="s">
        <v>315</v>
      </c>
      <c r="D51" s="246" t="s">
        <v>316</v>
      </c>
      <c r="E51" s="247" t="s">
        <v>317</v>
      </c>
      <c r="F51" s="248" t="s">
        <v>318</v>
      </c>
      <c r="G51" s="248" t="s">
        <v>319</v>
      </c>
      <c r="H51" s="246" t="s">
        <v>320</v>
      </c>
      <c r="I51" s="246" t="s">
        <v>321</v>
      </c>
      <c r="J51" s="249"/>
      <c r="K51" s="250" t="s">
        <v>322</v>
      </c>
      <c r="L51" s="251"/>
      <c r="M51" s="251"/>
    </row>
    <row r="52" ht="15.75" customHeight="1">
      <c r="A52" s="252"/>
      <c r="B52" s="253" t="str">
        <f t="array" ref="B52">+XLOOKUP(C52,'Base de datos'!C:C,'Base de datos'!A:A,"",FALSE)</f>
        <v/>
      </c>
      <c r="C52" s="254"/>
      <c r="D52" s="255" t="s">
        <v>14</v>
      </c>
      <c r="E52" s="256">
        <f t="array" ref="E52">+XLOOKUP(B52,'Base de datos'!A:A,'Base de datos'!H:H,0)</f>
        <v>0</v>
      </c>
      <c r="F52" s="257"/>
      <c r="G52" s="257"/>
      <c r="H52" s="258" t="str">
        <f t="shared" ref="H52:H54" si="6">IFERROR(1-G52/F52,"")</f>
        <v/>
      </c>
      <c r="I52" s="256">
        <f t="shared" ref="I52:I57" si="7">IFERROR(E52*F52,"")</f>
        <v>0</v>
      </c>
      <c r="J52" s="241"/>
      <c r="K52" s="259" t="s">
        <v>324</v>
      </c>
      <c r="L52" s="260">
        <f>SUM(I52:I57)</f>
        <v>1.43</v>
      </c>
      <c r="M52" s="261"/>
    </row>
    <row r="53" ht="15.75" customHeight="1">
      <c r="A53" s="252"/>
      <c r="B53" s="262" t="str">
        <f>K69</f>
        <v/>
      </c>
      <c r="C53" s="262" t="str">
        <f>C69</f>
        <v/>
      </c>
      <c r="D53" s="263" t="s">
        <v>14</v>
      </c>
      <c r="E53" s="264" t="str">
        <f>K75</f>
        <v/>
      </c>
      <c r="F53" s="265"/>
      <c r="G53" s="265"/>
      <c r="H53" s="266" t="str">
        <f t="shared" si="6"/>
        <v/>
      </c>
      <c r="I53" s="264">
        <f t="shared" si="7"/>
        <v>0</v>
      </c>
      <c r="J53" s="241"/>
      <c r="K53" s="267" t="s">
        <v>325</v>
      </c>
      <c r="L53" s="268">
        <v>6.0</v>
      </c>
      <c r="M53" s="261"/>
    </row>
    <row r="54" ht="15.75" customHeight="1">
      <c r="A54" s="252"/>
      <c r="B54" s="269">
        <f t="array" ref="B54">+XLOOKUP(C54,'Base de datos'!C:C,'Base de datos'!A:A,"",FALSE)</f>
        <v>92</v>
      </c>
      <c r="C54" s="270" t="s">
        <v>113</v>
      </c>
      <c r="D54" s="255" t="s">
        <v>14</v>
      </c>
      <c r="E54" s="256">
        <f t="array" ref="E54">+XLOOKUP(B54,'Base de datos'!A:A,'Base de datos'!H:H,0)</f>
        <v>1.43</v>
      </c>
      <c r="F54" s="271">
        <v>1.0</v>
      </c>
      <c r="G54" s="271">
        <v>1.0</v>
      </c>
      <c r="H54" s="258">
        <f t="shared" si="6"/>
        <v>0</v>
      </c>
      <c r="I54" s="256">
        <f t="shared" si="7"/>
        <v>1.43</v>
      </c>
      <c r="J54" s="241"/>
      <c r="K54" s="272" t="s">
        <v>326</v>
      </c>
      <c r="L54" s="273">
        <f>L53/1.1</f>
        <v>5.454545455</v>
      </c>
      <c r="M54" s="274"/>
    </row>
    <row r="55" ht="15.75" customHeight="1">
      <c r="A55" s="252"/>
      <c r="B55" s="253" t="str">
        <f t="array" ref="B55">+XLOOKUP(C55,'Base de datos'!C:C,'Base de datos'!A:A,"",FALSE)</f>
        <v/>
      </c>
      <c r="C55" s="270"/>
      <c r="D55" s="275" t="s">
        <v>20</v>
      </c>
      <c r="E55" s="256">
        <f t="array" ref="E55">+XLOOKUP(B55,'Base de datos'!A:A,'Base de datos'!H:H,0)</f>
        <v>0</v>
      </c>
      <c r="F55" s="271"/>
      <c r="G55" s="271"/>
      <c r="H55" s="258"/>
      <c r="I55" s="256">
        <f t="shared" si="7"/>
        <v>0</v>
      </c>
      <c r="J55" s="241"/>
      <c r="K55" s="276" t="s">
        <v>327</v>
      </c>
      <c r="L55" s="277">
        <v>0.1</v>
      </c>
      <c r="M55" s="278"/>
    </row>
    <row r="56" ht="15.75" customHeight="1">
      <c r="A56" s="252"/>
      <c r="B56" s="253" t="str">
        <f t="array" ref="B56">+XLOOKUP(C56,'Base de datos'!C:C,'Base de datos'!A:A,"",FALSE)</f>
        <v/>
      </c>
      <c r="C56" s="270"/>
      <c r="D56" s="275" t="s">
        <v>14</v>
      </c>
      <c r="E56" s="256">
        <f t="array" ref="E56">+XLOOKUP(B56,'Base de datos'!A:A,'Base de datos'!H:H,0)</f>
        <v>0</v>
      </c>
      <c r="F56" s="271"/>
      <c r="G56" s="271"/>
      <c r="H56" s="258"/>
      <c r="I56" s="256">
        <f t="shared" si="7"/>
        <v>0</v>
      </c>
      <c r="J56" s="241"/>
      <c r="K56" s="279" t="s">
        <v>328</v>
      </c>
      <c r="L56" s="280">
        <f>L52/L54*100</f>
        <v>26.21666667</v>
      </c>
      <c r="M56" s="281" t="s">
        <v>329</v>
      </c>
    </row>
    <row r="57" ht="15.75" customHeight="1">
      <c r="A57" s="252"/>
      <c r="B57" s="253" t="str">
        <f t="array" ref="B57">+XLOOKUP(C57,'Base de datos'!C:C,'Base de datos'!A:A,"",FALSE)</f>
        <v/>
      </c>
      <c r="C57" s="270"/>
      <c r="D57" s="275" t="s">
        <v>20</v>
      </c>
      <c r="E57" s="256">
        <f t="array" ref="E57">+XLOOKUP(B57,'Base de datos'!A:A,'Base de datos'!H:H,0)</f>
        <v>0</v>
      </c>
      <c r="F57" s="271"/>
      <c r="G57" s="271"/>
      <c r="H57" s="258"/>
      <c r="I57" s="256">
        <f t="shared" si="7"/>
        <v>0</v>
      </c>
      <c r="J57" s="241"/>
      <c r="K57" s="282" t="s">
        <v>330</v>
      </c>
      <c r="L57" s="283">
        <f>100-L56</f>
        <v>73.78333333</v>
      </c>
      <c r="M57" s="284" t="s">
        <v>329</v>
      </c>
    </row>
    <row r="58" ht="15.75" customHeight="1">
      <c r="A58" s="240"/>
      <c r="B58" s="240"/>
      <c r="C58" s="241"/>
      <c r="D58" s="242"/>
      <c r="E58" s="243"/>
      <c r="F58" s="244"/>
      <c r="G58" s="244"/>
      <c r="H58" s="241"/>
      <c r="I58" s="241"/>
      <c r="J58" s="241"/>
      <c r="K58" s="241"/>
      <c r="L58" s="241"/>
    </row>
    <row r="59" ht="15.75" customHeight="1">
      <c r="A59" s="295"/>
      <c r="B59" s="295"/>
      <c r="C59" s="296" t="s">
        <v>337</v>
      </c>
      <c r="D59" s="297"/>
      <c r="E59" s="297"/>
      <c r="F59" s="297"/>
      <c r="G59" s="297"/>
      <c r="H59" s="297"/>
      <c r="I59" s="298"/>
      <c r="J59" s="241"/>
      <c r="K59" s="250" t="s">
        <v>323</v>
      </c>
      <c r="L59" s="251"/>
      <c r="M59" s="251"/>
    </row>
    <row r="60" ht="15.75" customHeight="1">
      <c r="A60" s="299"/>
      <c r="B60" s="299"/>
      <c r="C60" s="300"/>
      <c r="D60" s="297"/>
      <c r="E60" s="297"/>
      <c r="F60" s="297"/>
      <c r="G60" s="297"/>
      <c r="H60" s="297"/>
      <c r="I60" s="298"/>
      <c r="J60" s="241"/>
      <c r="K60" s="259" t="s">
        <v>324</v>
      </c>
      <c r="L60" s="260">
        <f>L52</f>
        <v>1.43</v>
      </c>
      <c r="M60" s="261"/>
    </row>
    <row r="61" ht="15.75" customHeight="1">
      <c r="A61" s="301"/>
      <c r="B61" s="301"/>
      <c r="C61" s="302"/>
      <c r="I61" s="278"/>
      <c r="J61" s="241"/>
      <c r="K61" s="267" t="s">
        <v>325</v>
      </c>
      <c r="L61" s="268">
        <v>8.0</v>
      </c>
      <c r="M61" s="261"/>
    </row>
    <row r="62" ht="15.75" customHeight="1">
      <c r="A62" s="301"/>
      <c r="B62" s="301"/>
      <c r="C62" s="302"/>
      <c r="I62" s="278"/>
      <c r="J62" s="241"/>
      <c r="K62" s="272" t="s">
        <v>326</v>
      </c>
      <c r="L62" s="273">
        <f>L61/1.1</f>
        <v>7.272727273</v>
      </c>
      <c r="M62" s="274"/>
    </row>
    <row r="63" ht="15.75" customHeight="1">
      <c r="A63" s="301"/>
      <c r="B63" s="301"/>
      <c r="C63" s="302"/>
      <c r="I63" s="278"/>
      <c r="J63" s="241"/>
      <c r="K63" s="276" t="s">
        <v>327</v>
      </c>
      <c r="L63" s="277">
        <v>0.1</v>
      </c>
      <c r="M63" s="278"/>
    </row>
    <row r="64" ht="15.75" customHeight="1">
      <c r="A64" s="301"/>
      <c r="B64" s="301"/>
      <c r="C64" s="302"/>
      <c r="I64" s="278"/>
      <c r="J64" s="241"/>
      <c r="K64" s="279" t="s">
        <v>328</v>
      </c>
      <c r="L64" s="280">
        <f>L60/L62*100</f>
        <v>19.6625</v>
      </c>
      <c r="M64" s="281" t="s">
        <v>329</v>
      </c>
    </row>
    <row r="65" ht="15.75" customHeight="1">
      <c r="A65" s="301"/>
      <c r="B65" s="301"/>
      <c r="C65" s="302"/>
      <c r="I65" s="278"/>
      <c r="J65" s="241"/>
      <c r="K65" s="285" t="s">
        <v>330</v>
      </c>
      <c r="L65" s="286">
        <f>L62-L60</f>
        <v>5.842727273</v>
      </c>
      <c r="M65" s="287" t="s">
        <v>331</v>
      </c>
    </row>
    <row r="66" ht="15.75" customHeight="1">
      <c r="A66" s="301"/>
      <c r="B66" s="301"/>
      <c r="C66" s="302"/>
      <c r="I66" s="278"/>
      <c r="J66" s="241"/>
      <c r="K66" s="289" t="s">
        <v>332</v>
      </c>
      <c r="L66" s="290">
        <f>L62-L60-(L61*0.2)</f>
        <v>4.242727273</v>
      </c>
      <c r="M66" s="291" t="s">
        <v>331</v>
      </c>
    </row>
    <row r="67" ht="15.75" customHeight="1">
      <c r="A67" s="301"/>
      <c r="B67" s="301"/>
      <c r="C67" s="304"/>
      <c r="D67" s="305"/>
      <c r="E67" s="305"/>
      <c r="F67" s="305"/>
      <c r="G67" s="305"/>
      <c r="H67" s="305"/>
      <c r="I67" s="274"/>
      <c r="J67" s="241"/>
      <c r="K67" s="289" t="s">
        <v>332</v>
      </c>
      <c r="L67" s="292">
        <f>L66/L62</f>
        <v>0.583375</v>
      </c>
      <c r="M67" s="291" t="s">
        <v>329</v>
      </c>
    </row>
    <row r="68" ht="15.75" customHeight="1">
      <c r="A68" s="307"/>
      <c r="B68" s="307"/>
      <c r="D68" s="308"/>
      <c r="E68" s="309"/>
    </row>
    <row r="69" ht="15.75" customHeight="1">
      <c r="A69" s="307"/>
      <c r="B69" s="307"/>
      <c r="D69" s="308"/>
      <c r="E69" s="309"/>
    </row>
    <row r="70" ht="15.75" customHeight="1">
      <c r="A70" s="307"/>
      <c r="B70" s="307"/>
      <c r="D70" s="308"/>
      <c r="E70" s="309"/>
    </row>
    <row r="71" ht="15.75" customHeight="1">
      <c r="A71" s="307"/>
      <c r="B71" s="307"/>
      <c r="D71" s="308"/>
      <c r="E71" s="309"/>
    </row>
    <row r="72" ht="15.75" customHeight="1">
      <c r="A72" s="307"/>
      <c r="B72" s="307"/>
      <c r="D72" s="308"/>
      <c r="E72" s="309"/>
    </row>
    <row r="73" ht="15.75" customHeight="1">
      <c r="A73" s="307"/>
      <c r="B73" s="307"/>
      <c r="D73" s="308"/>
      <c r="E73" s="309"/>
    </row>
    <row r="74" ht="15.75" customHeight="1">
      <c r="A74" s="307"/>
      <c r="B74" s="307"/>
      <c r="D74" s="308"/>
      <c r="E74" s="309"/>
    </row>
    <row r="75" ht="15.75" customHeight="1">
      <c r="A75" s="307"/>
      <c r="B75" s="307"/>
      <c r="D75" s="308"/>
      <c r="E75" s="309"/>
    </row>
    <row r="76" ht="15.75" customHeight="1">
      <c r="A76" s="307"/>
      <c r="B76" s="307"/>
      <c r="D76" s="308"/>
      <c r="E76" s="309"/>
    </row>
    <row r="77" ht="15.75" customHeight="1">
      <c r="A77" s="307"/>
      <c r="B77" s="307"/>
      <c r="D77" s="308"/>
      <c r="E77" s="309"/>
    </row>
    <row r="78" ht="15.75" customHeight="1">
      <c r="A78" s="307"/>
      <c r="B78" s="307"/>
      <c r="D78" s="308"/>
      <c r="E78" s="309"/>
    </row>
    <row r="79" ht="15.75" customHeight="1">
      <c r="A79" s="307"/>
      <c r="B79" s="307"/>
      <c r="D79" s="308"/>
      <c r="E79" s="309"/>
    </row>
    <row r="80" ht="15.75" customHeight="1">
      <c r="A80" s="307"/>
      <c r="B80" s="307"/>
      <c r="D80" s="308"/>
      <c r="E80" s="309"/>
    </row>
    <row r="81" ht="15.75" customHeight="1">
      <c r="A81" s="307"/>
      <c r="B81" s="307"/>
      <c r="D81" s="308"/>
      <c r="E81" s="309"/>
    </row>
    <row r="82" ht="15.75" customHeight="1">
      <c r="A82" s="307"/>
      <c r="B82" s="307"/>
      <c r="D82" s="308"/>
      <c r="E82" s="309"/>
    </row>
    <row r="83" ht="15.75" customHeight="1">
      <c r="A83" s="307"/>
      <c r="B83" s="307"/>
      <c r="D83" s="308"/>
      <c r="E83" s="309"/>
    </row>
    <row r="84" ht="15.75" customHeight="1">
      <c r="A84" s="307"/>
      <c r="B84" s="307"/>
      <c r="D84" s="308"/>
      <c r="E84" s="309"/>
    </row>
    <row r="85" ht="15.75" customHeight="1">
      <c r="A85" s="307"/>
      <c r="B85" s="307"/>
      <c r="D85" s="308"/>
      <c r="E85" s="309"/>
    </row>
    <row r="86" ht="15.75" customHeight="1">
      <c r="A86" s="307"/>
      <c r="B86" s="307"/>
      <c r="D86" s="308"/>
      <c r="E86" s="309"/>
    </row>
    <row r="87" ht="15.75" customHeight="1">
      <c r="A87" s="307"/>
      <c r="B87" s="307"/>
      <c r="D87" s="308"/>
      <c r="E87" s="309"/>
    </row>
    <row r="88" ht="15.75" customHeight="1">
      <c r="A88" s="307"/>
      <c r="B88" s="307"/>
      <c r="D88" s="308"/>
      <c r="E88" s="309"/>
    </row>
    <row r="89" ht="15.75" customHeight="1">
      <c r="A89" s="307"/>
      <c r="B89" s="307"/>
      <c r="D89" s="308"/>
      <c r="E89" s="309"/>
    </row>
    <row r="90" ht="15.75" customHeight="1">
      <c r="A90" s="307"/>
      <c r="B90" s="307"/>
      <c r="D90" s="308"/>
      <c r="E90" s="309"/>
    </row>
    <row r="91" ht="15.75" customHeight="1">
      <c r="A91" s="307"/>
      <c r="B91" s="307"/>
      <c r="D91" s="308"/>
      <c r="E91" s="309"/>
    </row>
    <row r="92" ht="15.75" customHeight="1">
      <c r="A92" s="307"/>
      <c r="B92" s="307"/>
      <c r="D92" s="308"/>
      <c r="E92" s="309"/>
    </row>
    <row r="93" ht="15.75" customHeight="1">
      <c r="A93" s="307"/>
      <c r="B93" s="307"/>
      <c r="D93" s="308"/>
      <c r="E93" s="309"/>
    </row>
    <row r="94" ht="15.75" customHeight="1">
      <c r="A94" s="307"/>
      <c r="B94" s="307"/>
      <c r="D94" s="308"/>
      <c r="E94" s="309"/>
    </row>
    <row r="95" ht="15.75" customHeight="1">
      <c r="A95" s="307"/>
      <c r="B95" s="307"/>
      <c r="D95" s="308"/>
      <c r="E95" s="309"/>
    </row>
    <row r="96" ht="15.75" customHeight="1">
      <c r="A96" s="307"/>
      <c r="B96" s="307"/>
      <c r="D96" s="308"/>
      <c r="E96" s="309"/>
    </row>
    <row r="97" ht="15.75" customHeight="1">
      <c r="A97" s="307"/>
      <c r="B97" s="307"/>
      <c r="D97" s="308"/>
      <c r="E97" s="309"/>
    </row>
    <row r="98" ht="15.75" customHeight="1">
      <c r="A98" s="307"/>
      <c r="B98" s="307"/>
      <c r="D98" s="308"/>
      <c r="E98" s="309"/>
    </row>
    <row r="99" ht="15.75" customHeight="1">
      <c r="A99" s="307"/>
      <c r="B99" s="307"/>
      <c r="D99" s="308"/>
      <c r="E99" s="309"/>
    </row>
    <row r="100" ht="15.75" customHeight="1">
      <c r="A100" s="307"/>
      <c r="B100" s="307"/>
      <c r="D100" s="308"/>
      <c r="E100" s="309"/>
    </row>
    <row r="101" ht="15.75" customHeight="1">
      <c r="A101" s="307"/>
      <c r="B101" s="307"/>
      <c r="D101" s="308"/>
      <c r="E101" s="309"/>
    </row>
    <row r="102" ht="15.75" customHeight="1">
      <c r="A102" s="307"/>
      <c r="B102" s="307"/>
      <c r="D102" s="308"/>
      <c r="E102" s="309"/>
    </row>
    <row r="103" ht="15.75" customHeight="1">
      <c r="A103" s="307"/>
      <c r="B103" s="307"/>
      <c r="D103" s="308"/>
      <c r="E103" s="309"/>
    </row>
    <row r="104" ht="15.75" customHeight="1">
      <c r="A104" s="307"/>
      <c r="B104" s="307"/>
      <c r="D104" s="308"/>
      <c r="E104" s="309"/>
    </row>
    <row r="105" ht="15.75" customHeight="1">
      <c r="A105" s="307"/>
      <c r="B105" s="307"/>
      <c r="D105" s="308"/>
      <c r="E105" s="309"/>
    </row>
    <row r="106" ht="15.75" customHeight="1">
      <c r="A106" s="307"/>
      <c r="B106" s="307"/>
      <c r="D106" s="308"/>
      <c r="E106" s="309"/>
    </row>
    <row r="107" ht="15.75" customHeight="1">
      <c r="A107" s="307"/>
      <c r="B107" s="307"/>
      <c r="D107" s="308"/>
      <c r="E107" s="309"/>
    </row>
    <row r="108" ht="15.75" customHeight="1">
      <c r="A108" s="307"/>
      <c r="B108" s="307"/>
      <c r="D108" s="308"/>
      <c r="E108" s="309"/>
    </row>
    <row r="109" ht="15.75" customHeight="1">
      <c r="A109" s="307"/>
      <c r="B109" s="307"/>
      <c r="D109" s="308"/>
      <c r="E109" s="309"/>
    </row>
    <row r="110" ht="15.75" customHeight="1">
      <c r="A110" s="307"/>
      <c r="B110" s="307"/>
      <c r="D110" s="308"/>
      <c r="E110" s="309"/>
    </row>
    <row r="111" ht="15.75" customHeight="1">
      <c r="A111" s="307"/>
      <c r="B111" s="307"/>
      <c r="D111" s="308"/>
      <c r="E111" s="309"/>
    </row>
    <row r="112" ht="15.75" customHeight="1">
      <c r="A112" s="307"/>
      <c r="B112" s="307"/>
      <c r="D112" s="308"/>
      <c r="E112" s="309"/>
    </row>
    <row r="113" ht="15.75" customHeight="1">
      <c r="A113" s="307"/>
      <c r="B113" s="307"/>
      <c r="D113" s="308"/>
      <c r="E113" s="309"/>
    </row>
    <row r="114" ht="15.75" customHeight="1">
      <c r="A114" s="307"/>
      <c r="B114" s="307"/>
      <c r="D114" s="308"/>
      <c r="E114" s="309"/>
    </row>
    <row r="115" ht="15.75" customHeight="1">
      <c r="A115" s="307"/>
      <c r="B115" s="307"/>
      <c r="D115" s="308"/>
      <c r="E115" s="309"/>
    </row>
    <row r="116" ht="15.75" customHeight="1">
      <c r="A116" s="307"/>
      <c r="B116" s="307"/>
      <c r="D116" s="308"/>
      <c r="E116" s="309"/>
    </row>
    <row r="117" ht="15.75" customHeight="1">
      <c r="A117" s="307"/>
      <c r="B117" s="307"/>
      <c r="D117" s="308"/>
      <c r="E117" s="309"/>
    </row>
    <row r="118" ht="15.75" customHeight="1">
      <c r="A118" s="307"/>
      <c r="B118" s="307"/>
      <c r="D118" s="308"/>
      <c r="E118" s="309"/>
    </row>
    <row r="119" ht="15.75" customHeight="1">
      <c r="A119" s="307"/>
      <c r="B119" s="307"/>
      <c r="D119" s="308"/>
      <c r="E119" s="309"/>
    </row>
    <row r="120" ht="15.75" customHeight="1">
      <c r="A120" s="307"/>
      <c r="B120" s="307"/>
      <c r="D120" s="308"/>
      <c r="E120" s="309"/>
    </row>
    <row r="121" ht="15.75" customHeight="1">
      <c r="A121" s="307"/>
      <c r="B121" s="307"/>
      <c r="D121" s="308"/>
      <c r="E121" s="309"/>
    </row>
    <row r="122" ht="15.75" customHeight="1">
      <c r="A122" s="307"/>
      <c r="B122" s="307"/>
      <c r="D122" s="308"/>
      <c r="E122" s="309"/>
    </row>
    <row r="123" ht="15.75" customHeight="1">
      <c r="A123" s="307"/>
      <c r="B123" s="307"/>
      <c r="D123" s="308"/>
      <c r="E123" s="309"/>
    </row>
    <row r="124" ht="15.75" customHeight="1">
      <c r="A124" s="307"/>
      <c r="B124" s="307"/>
      <c r="D124" s="308"/>
      <c r="E124" s="309"/>
    </row>
    <row r="125" ht="15.75" customHeight="1">
      <c r="A125" s="307"/>
      <c r="B125" s="307"/>
      <c r="D125" s="308"/>
      <c r="E125" s="309"/>
    </row>
    <row r="126" ht="15.75" customHeight="1">
      <c r="A126" s="307"/>
      <c r="B126" s="307"/>
      <c r="D126" s="308"/>
      <c r="E126" s="309"/>
    </row>
    <row r="127" ht="15.75" customHeight="1">
      <c r="A127" s="307"/>
      <c r="B127" s="307"/>
      <c r="D127" s="308"/>
      <c r="E127" s="309"/>
    </row>
    <row r="128" ht="15.75" customHeight="1">
      <c r="A128" s="307"/>
      <c r="B128" s="307"/>
      <c r="D128" s="308"/>
      <c r="E128" s="309"/>
    </row>
    <row r="129" ht="15.75" customHeight="1">
      <c r="A129" s="307"/>
      <c r="B129" s="307"/>
      <c r="D129" s="308"/>
      <c r="E129" s="309"/>
    </row>
    <row r="130" ht="15.75" customHeight="1">
      <c r="A130" s="307"/>
      <c r="B130" s="307"/>
      <c r="D130" s="308"/>
      <c r="E130" s="309"/>
    </row>
    <row r="131" ht="15.75" customHeight="1">
      <c r="A131" s="307"/>
      <c r="B131" s="307"/>
      <c r="D131" s="308"/>
      <c r="E131" s="309"/>
    </row>
    <row r="132" ht="15.75" customHeight="1">
      <c r="A132" s="307"/>
      <c r="B132" s="307"/>
      <c r="D132" s="308"/>
      <c r="E132" s="309"/>
    </row>
    <row r="133" ht="15.75" customHeight="1">
      <c r="A133" s="307"/>
      <c r="B133" s="307"/>
      <c r="D133" s="308"/>
      <c r="E133" s="309"/>
    </row>
    <row r="134" ht="15.75" customHeight="1">
      <c r="A134" s="307"/>
      <c r="B134" s="307"/>
      <c r="D134" s="308"/>
      <c r="E134" s="309"/>
    </row>
    <row r="135" ht="15.75" customHeight="1">
      <c r="A135" s="307"/>
      <c r="B135" s="307"/>
      <c r="D135" s="308"/>
      <c r="E135" s="309"/>
    </row>
    <row r="136" ht="15.75" customHeight="1">
      <c r="A136" s="307"/>
      <c r="B136" s="307"/>
      <c r="D136" s="308"/>
      <c r="E136" s="309"/>
    </row>
    <row r="137" ht="15.75" customHeight="1">
      <c r="A137" s="307"/>
      <c r="B137" s="307"/>
      <c r="D137" s="308"/>
      <c r="E137" s="309"/>
    </row>
    <row r="138" ht="15.75" customHeight="1">
      <c r="A138" s="307"/>
      <c r="B138" s="307"/>
      <c r="D138" s="308"/>
      <c r="E138" s="309"/>
    </row>
    <row r="139" ht="15.75" customHeight="1">
      <c r="A139" s="307"/>
      <c r="B139" s="307"/>
      <c r="D139" s="308"/>
      <c r="E139" s="309"/>
    </row>
    <row r="140" ht="15.75" customHeight="1">
      <c r="A140" s="307"/>
      <c r="B140" s="307"/>
      <c r="D140" s="308"/>
      <c r="E140" s="309"/>
    </row>
    <row r="141" ht="15.75" customHeight="1">
      <c r="A141" s="307"/>
      <c r="B141" s="307"/>
      <c r="D141" s="308"/>
      <c r="E141" s="309"/>
    </row>
    <row r="142" ht="15.75" customHeight="1">
      <c r="A142" s="307"/>
      <c r="B142" s="307"/>
      <c r="D142" s="308"/>
      <c r="E142" s="309"/>
    </row>
    <row r="143" ht="15.75" customHeight="1">
      <c r="A143" s="307"/>
      <c r="B143" s="307"/>
      <c r="D143" s="308"/>
      <c r="E143" s="309"/>
    </row>
    <row r="144" ht="15.75" customHeight="1">
      <c r="A144" s="307"/>
      <c r="B144" s="307"/>
      <c r="D144" s="308"/>
      <c r="E144" s="309"/>
    </row>
    <row r="145" ht="15.75" customHeight="1">
      <c r="A145" s="307"/>
      <c r="B145" s="307"/>
      <c r="D145" s="308"/>
      <c r="E145" s="309"/>
    </row>
    <row r="146" ht="15.75" customHeight="1">
      <c r="A146" s="307"/>
      <c r="B146" s="307"/>
      <c r="D146" s="308"/>
      <c r="E146" s="309"/>
    </row>
    <row r="147" ht="15.75" customHeight="1">
      <c r="A147" s="307"/>
      <c r="B147" s="307"/>
      <c r="D147" s="308"/>
      <c r="E147" s="309"/>
    </row>
    <row r="148" ht="15.75" customHeight="1">
      <c r="A148" s="307"/>
      <c r="B148" s="307"/>
      <c r="D148" s="308"/>
      <c r="E148" s="309"/>
    </row>
    <row r="149" ht="15.75" customHeight="1">
      <c r="A149" s="307"/>
      <c r="B149" s="307"/>
      <c r="D149" s="308"/>
      <c r="E149" s="309"/>
    </row>
    <row r="150" ht="15.75" customHeight="1">
      <c r="A150" s="307"/>
      <c r="B150" s="307"/>
      <c r="D150" s="308"/>
      <c r="E150" s="309"/>
    </row>
    <row r="151" ht="15.75" customHeight="1">
      <c r="A151" s="307"/>
      <c r="B151" s="307"/>
      <c r="D151" s="308"/>
      <c r="E151" s="309"/>
    </row>
    <row r="152" ht="15.75" customHeight="1">
      <c r="A152" s="307"/>
      <c r="B152" s="307"/>
      <c r="D152" s="308"/>
      <c r="E152" s="309"/>
    </row>
    <row r="153" ht="15.75" customHeight="1">
      <c r="A153" s="307"/>
      <c r="B153" s="307"/>
      <c r="D153" s="308"/>
      <c r="E153" s="309"/>
    </row>
    <row r="154" ht="15.75" customHeight="1">
      <c r="A154" s="307"/>
      <c r="B154" s="307"/>
      <c r="D154" s="308"/>
      <c r="E154" s="309"/>
    </row>
    <row r="155" ht="15.75" customHeight="1">
      <c r="A155" s="307"/>
      <c r="B155" s="307"/>
      <c r="D155" s="308"/>
      <c r="E155" s="309"/>
    </row>
    <row r="156" ht="15.75" customHeight="1">
      <c r="A156" s="307"/>
      <c r="B156" s="307"/>
      <c r="D156" s="308"/>
      <c r="E156" s="309"/>
    </row>
    <row r="157" ht="15.75" customHeight="1">
      <c r="A157" s="307"/>
      <c r="B157" s="307"/>
      <c r="D157" s="308"/>
      <c r="E157" s="309"/>
    </row>
    <row r="158" ht="15.75" customHeight="1">
      <c r="A158" s="307"/>
      <c r="B158" s="307"/>
      <c r="D158" s="308"/>
      <c r="E158" s="309"/>
    </row>
    <row r="159" ht="15.75" customHeight="1">
      <c r="A159" s="307"/>
      <c r="B159" s="307"/>
      <c r="D159" s="308"/>
      <c r="E159" s="309"/>
    </row>
    <row r="160" ht="15.75" customHeight="1">
      <c r="A160" s="307"/>
      <c r="B160" s="307"/>
      <c r="D160" s="308"/>
      <c r="E160" s="309"/>
    </row>
    <row r="161" ht="15.75" customHeight="1">
      <c r="A161" s="307"/>
      <c r="B161" s="307"/>
      <c r="D161" s="308"/>
      <c r="E161" s="309"/>
    </row>
    <row r="162" ht="15.75" customHeight="1">
      <c r="A162" s="307"/>
      <c r="B162" s="307"/>
      <c r="D162" s="308"/>
      <c r="E162" s="309"/>
    </row>
    <row r="163" ht="15.75" customHeight="1">
      <c r="A163" s="307"/>
      <c r="B163" s="307"/>
      <c r="D163" s="308"/>
      <c r="E163" s="309"/>
    </row>
    <row r="164" ht="15.75" customHeight="1">
      <c r="A164" s="307"/>
      <c r="B164" s="307"/>
      <c r="D164" s="308"/>
      <c r="E164" s="309"/>
    </row>
    <row r="165" ht="15.75" customHeight="1">
      <c r="A165" s="307"/>
      <c r="B165" s="307"/>
      <c r="D165" s="308"/>
      <c r="E165" s="309"/>
    </row>
    <row r="166" ht="15.75" customHeight="1">
      <c r="A166" s="307"/>
      <c r="B166" s="307"/>
      <c r="D166" s="308"/>
      <c r="E166" s="309"/>
    </row>
    <row r="167" ht="15.75" customHeight="1">
      <c r="A167" s="307"/>
      <c r="B167" s="307"/>
      <c r="D167" s="308"/>
      <c r="E167" s="309"/>
    </row>
    <row r="168" ht="15.75" customHeight="1">
      <c r="A168" s="307"/>
      <c r="B168" s="307"/>
      <c r="D168" s="308"/>
      <c r="E168" s="309"/>
    </row>
    <row r="169" ht="15.75" customHeight="1">
      <c r="A169" s="307"/>
      <c r="B169" s="307"/>
      <c r="D169" s="308"/>
      <c r="E169" s="309"/>
    </row>
    <row r="170" ht="15.75" customHeight="1">
      <c r="A170" s="307"/>
      <c r="B170" s="307"/>
      <c r="D170" s="308"/>
      <c r="E170" s="309"/>
    </row>
    <row r="171" ht="15.75" customHeight="1">
      <c r="A171" s="307"/>
      <c r="B171" s="307"/>
      <c r="D171" s="308"/>
      <c r="E171" s="309"/>
    </row>
    <row r="172" ht="15.75" customHeight="1">
      <c r="A172" s="307"/>
      <c r="B172" s="307"/>
      <c r="D172" s="308"/>
      <c r="E172" s="309"/>
    </row>
    <row r="173" ht="15.75" customHeight="1">
      <c r="A173" s="307"/>
      <c r="B173" s="307"/>
      <c r="D173" s="308"/>
      <c r="E173" s="309"/>
    </row>
    <row r="174" ht="15.75" customHeight="1">
      <c r="A174" s="307"/>
      <c r="B174" s="307"/>
      <c r="D174" s="308"/>
      <c r="E174" s="309"/>
    </row>
    <row r="175" ht="15.75" customHeight="1">
      <c r="A175" s="307"/>
      <c r="B175" s="307"/>
      <c r="D175" s="308"/>
      <c r="E175" s="309"/>
    </row>
    <row r="176" ht="15.75" customHeight="1">
      <c r="A176" s="307"/>
      <c r="B176" s="307"/>
      <c r="D176" s="308"/>
      <c r="E176" s="309"/>
    </row>
    <row r="177" ht="15.75" customHeight="1">
      <c r="A177" s="307"/>
      <c r="B177" s="307"/>
      <c r="D177" s="308"/>
      <c r="E177" s="309"/>
    </row>
    <row r="178" ht="15.75" customHeight="1">
      <c r="A178" s="307"/>
      <c r="B178" s="307"/>
      <c r="D178" s="308"/>
      <c r="E178" s="309"/>
    </row>
    <row r="179" ht="15.75" customHeight="1">
      <c r="A179" s="307"/>
      <c r="B179" s="307"/>
      <c r="D179" s="308"/>
      <c r="E179" s="309"/>
    </row>
    <row r="180" ht="15.75" customHeight="1">
      <c r="A180" s="307"/>
      <c r="B180" s="307"/>
      <c r="D180" s="308"/>
      <c r="E180" s="309"/>
    </row>
    <row r="181" ht="15.75" customHeight="1">
      <c r="A181" s="307"/>
      <c r="B181" s="307"/>
      <c r="D181" s="308"/>
      <c r="E181" s="309"/>
    </row>
    <row r="182" ht="15.75" customHeight="1">
      <c r="A182" s="307"/>
      <c r="B182" s="307"/>
      <c r="D182" s="308"/>
      <c r="E182" s="309"/>
    </row>
    <row r="183" ht="15.75" customHeight="1">
      <c r="A183" s="307"/>
      <c r="B183" s="307"/>
      <c r="D183" s="308"/>
      <c r="E183" s="309"/>
    </row>
    <row r="184" ht="15.75" customHeight="1">
      <c r="A184" s="307"/>
      <c r="B184" s="307"/>
      <c r="D184" s="308"/>
      <c r="E184" s="309"/>
    </row>
    <row r="185" ht="15.75" customHeight="1">
      <c r="A185" s="307"/>
      <c r="B185" s="307"/>
      <c r="D185" s="308"/>
      <c r="E185" s="309"/>
    </row>
    <row r="186" ht="15.75" customHeight="1">
      <c r="A186" s="307"/>
      <c r="B186" s="307"/>
      <c r="D186" s="308"/>
      <c r="E186" s="309"/>
    </row>
    <row r="187" ht="15.75" customHeight="1">
      <c r="A187" s="307"/>
      <c r="B187" s="307"/>
      <c r="D187" s="308"/>
      <c r="E187" s="309"/>
    </row>
    <row r="188" ht="15.75" customHeight="1">
      <c r="A188" s="307"/>
      <c r="B188" s="307"/>
      <c r="D188" s="308"/>
      <c r="E188" s="309"/>
    </row>
    <row r="189" ht="15.75" customHeight="1">
      <c r="A189" s="307"/>
      <c r="B189" s="307"/>
      <c r="D189" s="308"/>
      <c r="E189" s="309"/>
    </row>
    <row r="190" ht="15.75" customHeight="1">
      <c r="A190" s="307"/>
      <c r="B190" s="307"/>
      <c r="D190" s="308"/>
      <c r="E190" s="309"/>
    </row>
    <row r="191" ht="15.75" customHeight="1">
      <c r="A191" s="307"/>
      <c r="B191" s="307"/>
      <c r="D191" s="308"/>
      <c r="E191" s="309"/>
    </row>
    <row r="192" ht="15.75" customHeight="1">
      <c r="A192" s="307"/>
      <c r="B192" s="307"/>
      <c r="D192" s="308"/>
      <c r="E192" s="309"/>
    </row>
    <row r="193" ht="15.75" customHeight="1">
      <c r="A193" s="307"/>
      <c r="B193" s="307"/>
      <c r="D193" s="308"/>
      <c r="E193" s="309"/>
    </row>
    <row r="194" ht="15.75" customHeight="1">
      <c r="A194" s="307"/>
      <c r="B194" s="307"/>
      <c r="D194" s="308"/>
      <c r="E194" s="309"/>
    </row>
    <row r="195" ht="15.75" customHeight="1">
      <c r="A195" s="307"/>
      <c r="B195" s="307"/>
      <c r="D195" s="308"/>
      <c r="E195" s="309"/>
    </row>
    <row r="196" ht="15.75" customHeight="1">
      <c r="A196" s="307"/>
      <c r="B196" s="307"/>
      <c r="D196" s="308"/>
      <c r="E196" s="309"/>
    </row>
    <row r="197" ht="15.75" customHeight="1">
      <c r="A197" s="307"/>
      <c r="B197" s="307"/>
      <c r="D197" s="308"/>
      <c r="E197" s="309"/>
    </row>
    <row r="198" ht="15.75" customHeight="1">
      <c r="A198" s="307"/>
      <c r="B198" s="307"/>
      <c r="D198" s="308"/>
      <c r="E198" s="309"/>
    </row>
    <row r="199" ht="15.75" customHeight="1">
      <c r="A199" s="307"/>
      <c r="B199" s="307"/>
      <c r="D199" s="308"/>
      <c r="E199" s="309"/>
    </row>
    <row r="200" ht="15.75" customHeight="1">
      <c r="A200" s="307"/>
      <c r="B200" s="307"/>
      <c r="D200" s="308"/>
      <c r="E200" s="309"/>
    </row>
    <row r="201" ht="15.75" customHeight="1">
      <c r="A201" s="307"/>
      <c r="B201" s="307"/>
      <c r="D201" s="308"/>
      <c r="E201" s="309"/>
    </row>
    <row r="202" ht="15.75" customHeight="1">
      <c r="A202" s="307"/>
      <c r="B202" s="307"/>
      <c r="D202" s="308"/>
      <c r="E202" s="309"/>
    </row>
    <row r="203" ht="15.75" customHeight="1">
      <c r="A203" s="307"/>
      <c r="B203" s="307"/>
      <c r="D203" s="308"/>
      <c r="E203" s="309"/>
    </row>
    <row r="204" ht="15.75" customHeight="1">
      <c r="A204" s="307"/>
      <c r="B204" s="307"/>
      <c r="D204" s="308"/>
      <c r="E204" s="309"/>
    </row>
    <row r="205" ht="15.75" customHeight="1">
      <c r="A205" s="307"/>
      <c r="B205" s="307"/>
      <c r="D205" s="308"/>
      <c r="E205" s="309"/>
    </row>
    <row r="206" ht="15.75" customHeight="1">
      <c r="A206" s="307"/>
      <c r="B206" s="307"/>
      <c r="D206" s="308"/>
      <c r="E206" s="309"/>
    </row>
    <row r="207" ht="15.75" customHeight="1">
      <c r="A207" s="307"/>
      <c r="B207" s="307"/>
      <c r="D207" s="308"/>
      <c r="E207" s="309"/>
    </row>
    <row r="208" ht="15.75" customHeight="1">
      <c r="A208" s="307"/>
      <c r="B208" s="307"/>
      <c r="D208" s="308"/>
      <c r="E208" s="309"/>
    </row>
    <row r="209" ht="15.75" customHeight="1">
      <c r="A209" s="307"/>
      <c r="B209" s="307"/>
      <c r="D209" s="308"/>
      <c r="E209" s="309"/>
    </row>
    <row r="210" ht="15.75" customHeight="1">
      <c r="A210" s="307"/>
      <c r="B210" s="307"/>
      <c r="D210" s="308"/>
      <c r="E210" s="309"/>
    </row>
    <row r="211" ht="15.75" customHeight="1">
      <c r="A211" s="307"/>
      <c r="B211" s="307"/>
      <c r="D211" s="308"/>
      <c r="E211" s="309"/>
    </row>
    <row r="212" ht="15.75" customHeight="1">
      <c r="A212" s="307"/>
      <c r="B212" s="307"/>
      <c r="D212" s="308"/>
      <c r="E212" s="309"/>
    </row>
    <row r="213" ht="15.75" customHeight="1">
      <c r="A213" s="307"/>
      <c r="B213" s="307"/>
      <c r="D213" s="308"/>
      <c r="E213" s="309"/>
    </row>
    <row r="214" ht="15.75" customHeight="1">
      <c r="A214" s="307"/>
      <c r="B214" s="307"/>
      <c r="D214" s="308"/>
      <c r="E214" s="309"/>
    </row>
    <row r="215" ht="15.75" customHeight="1">
      <c r="A215" s="307"/>
      <c r="B215" s="307"/>
      <c r="D215" s="308"/>
      <c r="E215" s="309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307"/>
      <c r="D218" s="308"/>
      <c r="E218" s="309"/>
    </row>
    <row r="219" ht="15.75" customHeight="1">
      <c r="A219" s="307"/>
      <c r="B219" s="307"/>
      <c r="D219" s="308"/>
      <c r="E219" s="309"/>
    </row>
    <row r="220" ht="15.75" customHeight="1">
      <c r="A220" s="307"/>
      <c r="B220" s="307"/>
      <c r="D220" s="308"/>
      <c r="E220" s="309"/>
    </row>
    <row r="221" ht="15.75" customHeight="1">
      <c r="A221" s="307"/>
      <c r="B221" s="307"/>
      <c r="D221" s="308"/>
      <c r="E221" s="309"/>
    </row>
    <row r="222" ht="15.75" customHeight="1">
      <c r="A222" s="307"/>
      <c r="B222" s="307"/>
      <c r="D222" s="308"/>
      <c r="E222" s="309"/>
    </row>
    <row r="223" ht="15.75" customHeight="1">
      <c r="A223" s="307"/>
      <c r="B223" s="307"/>
      <c r="D223" s="308"/>
      <c r="E223" s="309"/>
    </row>
    <row r="224" ht="15.75" customHeight="1">
      <c r="A224" s="307"/>
      <c r="B224" s="307"/>
      <c r="D224" s="308"/>
      <c r="E224" s="309"/>
    </row>
    <row r="225" ht="15.75" customHeight="1">
      <c r="A225" s="307"/>
      <c r="B225" s="307"/>
      <c r="D225" s="308"/>
      <c r="E225" s="309"/>
    </row>
    <row r="226" ht="15.75" customHeight="1">
      <c r="A226" s="307"/>
      <c r="B226" s="307"/>
      <c r="D226" s="308"/>
      <c r="E226" s="309"/>
    </row>
    <row r="227" ht="15.75" customHeight="1">
      <c r="A227" s="307"/>
      <c r="B227" s="307"/>
      <c r="D227" s="308"/>
      <c r="E227" s="309"/>
    </row>
    <row r="228" ht="15.75" customHeight="1">
      <c r="A228" s="307"/>
      <c r="B228" s="307"/>
      <c r="D228" s="308"/>
      <c r="E228" s="309"/>
    </row>
    <row r="229" ht="15.75" customHeight="1">
      <c r="A229" s="307"/>
      <c r="B229" s="307"/>
      <c r="D229" s="308"/>
      <c r="E229" s="309"/>
    </row>
    <row r="230" ht="15.75" customHeight="1">
      <c r="A230" s="307"/>
      <c r="B230" s="307"/>
      <c r="D230" s="308"/>
      <c r="E230" s="309"/>
    </row>
    <row r="231" ht="15.75" customHeight="1">
      <c r="A231" s="307"/>
      <c r="B231" s="307"/>
      <c r="D231" s="308"/>
      <c r="E231" s="309"/>
    </row>
    <row r="232" ht="15.75" customHeight="1">
      <c r="A232" s="307"/>
      <c r="B232" s="307"/>
    </row>
    <row r="233" ht="15.75" customHeight="1">
      <c r="A233" s="307"/>
      <c r="B233" s="307"/>
    </row>
    <row r="234" ht="15.75" customHeight="1">
      <c r="A234" s="307"/>
      <c r="B234" s="307"/>
    </row>
    <row r="235" ht="15.75" customHeight="1">
      <c r="A235" s="307"/>
      <c r="B235" s="307"/>
    </row>
    <row r="236" ht="15.75" customHeight="1">
      <c r="A236" s="307"/>
      <c r="B236" s="307"/>
    </row>
    <row r="237" ht="15.75" customHeight="1">
      <c r="A237" s="307"/>
      <c r="B237" s="307"/>
    </row>
    <row r="238" ht="15.75" customHeight="1">
      <c r="A238" s="307"/>
      <c r="B238" s="307"/>
    </row>
    <row r="239" ht="15.75" customHeight="1">
      <c r="A239" s="307"/>
      <c r="B239" s="30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0">
    <mergeCell ref="L62:M62"/>
    <mergeCell ref="L63:M63"/>
    <mergeCell ref="C59:I59"/>
    <mergeCell ref="C60:I60"/>
    <mergeCell ref="L60:M60"/>
    <mergeCell ref="C61:I61"/>
    <mergeCell ref="L61:M61"/>
    <mergeCell ref="C62:I62"/>
    <mergeCell ref="C63:I63"/>
    <mergeCell ref="P8:Q8"/>
    <mergeCell ref="P9:Q9"/>
    <mergeCell ref="D2:I2"/>
    <mergeCell ref="L6:M6"/>
    <mergeCell ref="P6:Q6"/>
    <mergeCell ref="L7:M7"/>
    <mergeCell ref="P7:Q7"/>
    <mergeCell ref="L8:M8"/>
    <mergeCell ref="L9:M9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L30:M30"/>
    <mergeCell ref="L31:M31"/>
    <mergeCell ref="L32:M32"/>
    <mergeCell ref="L33:M33"/>
    <mergeCell ref="C37:I37"/>
    <mergeCell ref="C38:I38"/>
    <mergeCell ref="L38:M38"/>
    <mergeCell ref="C39:I39"/>
    <mergeCell ref="L39:M39"/>
    <mergeCell ref="C40:I40"/>
    <mergeCell ref="L40:M40"/>
    <mergeCell ref="L41:M41"/>
    <mergeCell ref="C41:I41"/>
    <mergeCell ref="C42:I42"/>
    <mergeCell ref="D48:I48"/>
    <mergeCell ref="L52:M52"/>
    <mergeCell ref="L53:M53"/>
    <mergeCell ref="L54:M54"/>
    <mergeCell ref="L55:M55"/>
    <mergeCell ref="C64:I64"/>
    <mergeCell ref="C65:I65"/>
    <mergeCell ref="C66:I66"/>
    <mergeCell ref="C67:I67"/>
  </mergeCells>
  <dataValidations>
    <dataValidation type="list" allowBlank="1" showErrorMessage="1" sqref="C6 C8:C19 C30 C32:C35 C52 C54:C57">
      <formula1>'Base de datos'!$C$2:$C$1330</formula1>
    </dataValidation>
    <dataValidation type="list" allowBlank="1" showErrorMessage="1" sqref="D6:D19 D30:D35 D52:D57">
      <formula1>'Hoja 2'!$A$2:$A$4</formula1>
    </dataValidation>
  </dataValidations>
  <hyperlinks>
    <hyperlink display="INDICE" location="'INDICE 25'!A1" ref="K5"/>
    <hyperlink display="INDICE UBER " location="'INDICE UBER'!A1" ref="O5"/>
    <hyperlink display="INDICE UBER " location="'INDICE UBER'!A1" ref="K37"/>
    <hyperlink display="IR A BASE DE DATOS" location="'Base de datos'!A1" ref="K48"/>
    <hyperlink display="INDICE" location="'INDICE 25'!A1" ref="K51"/>
    <hyperlink display="INDICE UBER " location="'INDICE UBER'!A1" ref="K59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4">
      <c r="B4" s="311" t="s">
        <v>341</v>
      </c>
      <c r="C4" s="312"/>
      <c r="D4" s="312"/>
      <c r="E4" s="261"/>
    </row>
    <row r="5">
      <c r="B5" s="313" t="s">
        <v>342</v>
      </c>
      <c r="E5" s="278"/>
    </row>
    <row r="6">
      <c r="B6" s="314" t="s">
        <v>343</v>
      </c>
      <c r="E6" s="278"/>
    </row>
    <row r="7">
      <c r="B7" s="313" t="s">
        <v>344</v>
      </c>
      <c r="E7" s="278"/>
    </row>
    <row r="8">
      <c r="B8" s="315"/>
      <c r="E8" s="278"/>
    </row>
    <row r="9">
      <c r="B9" s="315"/>
      <c r="E9" s="278"/>
    </row>
    <row r="10">
      <c r="B10" s="315"/>
      <c r="E10" s="278"/>
    </row>
    <row r="11">
      <c r="B11" s="315"/>
      <c r="E11" s="278"/>
    </row>
    <row r="12">
      <c r="B12" s="315"/>
      <c r="E12" s="278"/>
    </row>
    <row r="13">
      <c r="B13" s="316"/>
      <c r="C13" s="305"/>
      <c r="D13" s="305"/>
      <c r="E13" s="274"/>
    </row>
  </sheetData>
  <mergeCells count="10">
    <mergeCell ref="B11:E11"/>
    <mergeCell ref="B12:E12"/>
    <mergeCell ref="B13:E13"/>
    <mergeCell ref="B4:E4"/>
    <mergeCell ref="B5:E5"/>
    <mergeCell ref="B6:E6"/>
    <mergeCell ref="B7:E7"/>
    <mergeCell ref="B8:E8"/>
    <mergeCell ref="B9:E9"/>
    <mergeCell ref="B10:E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50.75"/>
    <col customWidth="1" min="3" max="3" width="8.0"/>
    <col customWidth="1" min="4" max="4" width="7.5"/>
    <col customWidth="1" min="9" max="9" width="26.25"/>
    <col customWidth="1" min="10" max="10" width="59.5"/>
    <col customWidth="1" min="11" max="11" width="11.0"/>
  </cols>
  <sheetData>
    <row r="1">
      <c r="A1" s="201" t="s">
        <v>345</v>
      </c>
      <c r="B1" s="201" t="s">
        <v>213</v>
      </c>
      <c r="C1" s="201" t="s">
        <v>346</v>
      </c>
      <c r="D1" s="201" t="s">
        <v>347</v>
      </c>
      <c r="E1" s="317" t="s">
        <v>348</v>
      </c>
      <c r="F1" s="318"/>
      <c r="G1" s="319">
        <v>46090.0</v>
      </c>
    </row>
    <row r="2">
      <c r="A2" s="201" t="s">
        <v>293</v>
      </c>
      <c r="B2" s="201" t="s">
        <v>349</v>
      </c>
      <c r="C2" s="202">
        <v>608.0</v>
      </c>
      <c r="D2" s="203">
        <v>6129.0</v>
      </c>
    </row>
    <row r="3">
      <c r="A3" s="201" t="s">
        <v>293</v>
      </c>
      <c r="B3" s="201" t="s">
        <v>352</v>
      </c>
      <c r="C3" s="202">
        <v>634.0</v>
      </c>
      <c r="D3" s="203">
        <v>5293.5</v>
      </c>
    </row>
    <row r="4">
      <c r="A4" s="201" t="s">
        <v>294</v>
      </c>
      <c r="B4" s="201" t="s">
        <v>354</v>
      </c>
      <c r="C4" s="202">
        <v>837.0</v>
      </c>
      <c r="D4" s="203">
        <v>5073.0</v>
      </c>
    </row>
    <row r="5">
      <c r="A5" s="201" t="s">
        <v>293</v>
      </c>
      <c r="B5" s="201" t="s">
        <v>356</v>
      </c>
      <c r="C5" s="202">
        <v>450.0</v>
      </c>
      <c r="D5" s="203">
        <v>3677.2</v>
      </c>
    </row>
    <row r="6">
      <c r="A6" s="201" t="s">
        <v>359</v>
      </c>
      <c r="B6" s="201" t="s">
        <v>360</v>
      </c>
      <c r="C6" s="202">
        <v>282.0</v>
      </c>
      <c r="D6" s="203">
        <v>3324.8</v>
      </c>
    </row>
    <row r="7">
      <c r="A7" s="201" t="s">
        <v>293</v>
      </c>
      <c r="B7" s="201" t="s">
        <v>362</v>
      </c>
      <c r="C7" s="202">
        <v>386.0</v>
      </c>
      <c r="D7" s="203">
        <v>2968.4</v>
      </c>
    </row>
    <row r="8">
      <c r="A8" s="201" t="s">
        <v>359</v>
      </c>
      <c r="B8" s="201" t="s">
        <v>364</v>
      </c>
      <c r="C8" s="202">
        <v>222.0</v>
      </c>
      <c r="D8" s="203">
        <v>2768.1</v>
      </c>
    </row>
    <row r="9">
      <c r="A9" s="201" t="s">
        <v>284</v>
      </c>
      <c r="B9" s="201" t="s">
        <v>366</v>
      </c>
      <c r="C9" s="202">
        <v>316.0</v>
      </c>
      <c r="D9" s="203">
        <v>2712.1</v>
      </c>
    </row>
    <row r="10">
      <c r="A10" s="201" t="s">
        <v>293</v>
      </c>
      <c r="B10" s="201" t="s">
        <v>368</v>
      </c>
      <c r="C10" s="202">
        <v>312.0</v>
      </c>
      <c r="D10" s="203">
        <v>2628.7</v>
      </c>
    </row>
    <row r="11">
      <c r="A11" s="201" t="s">
        <v>296</v>
      </c>
      <c r="B11" s="201" t="s">
        <v>370</v>
      </c>
      <c r="C11" s="202">
        <v>288.0</v>
      </c>
      <c r="D11" s="203">
        <v>2312.7</v>
      </c>
    </row>
    <row r="12">
      <c r="A12" s="201" t="s">
        <v>294</v>
      </c>
      <c r="B12" s="201" t="s">
        <v>372</v>
      </c>
      <c r="C12" s="202">
        <v>279.0</v>
      </c>
      <c r="D12" s="203">
        <v>1862.5</v>
      </c>
    </row>
    <row r="13">
      <c r="A13" s="201" t="s">
        <v>294</v>
      </c>
      <c r="B13" s="201" t="s">
        <v>374</v>
      </c>
      <c r="C13" s="202">
        <v>253.0</v>
      </c>
      <c r="D13" s="203">
        <v>1780.5</v>
      </c>
    </row>
    <row r="14">
      <c r="A14" s="201" t="s">
        <v>293</v>
      </c>
      <c r="B14" s="201" t="s">
        <v>376</v>
      </c>
      <c r="C14" s="202">
        <v>174.0</v>
      </c>
      <c r="D14" s="203">
        <v>1733.3</v>
      </c>
    </row>
    <row r="15">
      <c r="A15" s="201" t="s">
        <v>296</v>
      </c>
      <c r="B15" s="201" t="s">
        <v>378</v>
      </c>
      <c r="C15" s="202">
        <v>242.0</v>
      </c>
      <c r="D15" s="203">
        <v>1704.7</v>
      </c>
    </row>
    <row r="16">
      <c r="A16" s="201" t="s">
        <v>296</v>
      </c>
      <c r="B16" s="201" t="s">
        <v>380</v>
      </c>
      <c r="C16" s="202">
        <v>236.0</v>
      </c>
      <c r="D16" s="203">
        <v>1659.5</v>
      </c>
    </row>
    <row r="17">
      <c r="A17" s="201" t="s">
        <v>359</v>
      </c>
      <c r="B17" s="201" t="s">
        <v>254</v>
      </c>
      <c r="C17" s="202">
        <v>133.0</v>
      </c>
      <c r="D17" s="203">
        <v>1581.7</v>
      </c>
    </row>
    <row r="18">
      <c r="A18" s="201" t="s">
        <v>296</v>
      </c>
      <c r="B18" s="201" t="s">
        <v>383</v>
      </c>
      <c r="C18" s="202">
        <v>308.0</v>
      </c>
      <c r="D18" s="203">
        <v>1548.0</v>
      </c>
    </row>
    <row r="19">
      <c r="A19" s="201" t="s">
        <v>297</v>
      </c>
      <c r="B19" s="201" t="s">
        <v>385</v>
      </c>
      <c r="C19" s="202">
        <v>247.0</v>
      </c>
      <c r="D19" s="203">
        <v>1250.0</v>
      </c>
    </row>
    <row r="20">
      <c r="A20" s="201" t="s">
        <v>359</v>
      </c>
      <c r="B20" s="201" t="s">
        <v>250</v>
      </c>
      <c r="C20" s="202">
        <v>95.0</v>
      </c>
      <c r="D20" s="203">
        <v>1235.0</v>
      </c>
    </row>
    <row r="21">
      <c r="A21" s="201" t="s">
        <v>284</v>
      </c>
      <c r="B21" s="201" t="s">
        <v>388</v>
      </c>
      <c r="C21" s="202">
        <v>119.0</v>
      </c>
      <c r="D21" s="203">
        <v>1108.4</v>
      </c>
    </row>
    <row r="22">
      <c r="A22" s="201" t="s">
        <v>295</v>
      </c>
      <c r="B22" s="201" t="s">
        <v>390</v>
      </c>
      <c r="C22" s="202">
        <v>134.0</v>
      </c>
      <c r="D22" s="203">
        <v>1077.0</v>
      </c>
    </row>
    <row r="23">
      <c r="A23" s="201" t="s">
        <v>294</v>
      </c>
      <c r="B23" s="201" t="s">
        <v>393</v>
      </c>
      <c r="C23" s="202">
        <v>162.0</v>
      </c>
      <c r="D23" s="203">
        <v>1063.0</v>
      </c>
    </row>
    <row r="24">
      <c r="A24" s="201" t="s">
        <v>395</v>
      </c>
      <c r="B24" s="201" t="s">
        <v>396</v>
      </c>
      <c r="C24" s="202">
        <v>114.0</v>
      </c>
      <c r="D24" s="202">
        <v>979.7</v>
      </c>
    </row>
    <row r="25">
      <c r="A25" s="201" t="s">
        <v>284</v>
      </c>
      <c r="B25" s="201" t="s">
        <v>398</v>
      </c>
      <c r="C25" s="202">
        <v>103.0</v>
      </c>
      <c r="D25" s="202">
        <v>962.6</v>
      </c>
    </row>
    <row r="26">
      <c r="A26" s="201" t="s">
        <v>293</v>
      </c>
      <c r="B26" s="201" t="s">
        <v>400</v>
      </c>
      <c r="C26" s="202">
        <v>118.0</v>
      </c>
      <c r="D26" s="202">
        <v>944.0</v>
      </c>
    </row>
    <row r="27">
      <c r="A27" s="201" t="s">
        <v>357</v>
      </c>
      <c r="B27" s="201" t="s">
        <v>371</v>
      </c>
      <c r="C27" s="202">
        <v>560.0</v>
      </c>
      <c r="D27" s="202">
        <v>856.8</v>
      </c>
    </row>
    <row r="28">
      <c r="A28" s="201" t="s">
        <v>284</v>
      </c>
      <c r="B28" s="201" t="s">
        <v>403</v>
      </c>
      <c r="C28" s="202">
        <v>91.0</v>
      </c>
      <c r="D28" s="202">
        <v>854.7</v>
      </c>
    </row>
    <row r="29">
      <c r="A29" s="201" t="s">
        <v>298</v>
      </c>
      <c r="B29" s="201" t="s">
        <v>405</v>
      </c>
      <c r="C29" s="202">
        <v>192.0</v>
      </c>
      <c r="D29" s="202">
        <v>851.0</v>
      </c>
    </row>
    <row r="30">
      <c r="A30" s="201" t="s">
        <v>359</v>
      </c>
      <c r="B30" s="201" t="s">
        <v>407</v>
      </c>
      <c r="C30" s="202">
        <v>74.0</v>
      </c>
      <c r="D30" s="202">
        <v>741.6</v>
      </c>
    </row>
    <row r="31">
      <c r="A31" s="201" t="s">
        <v>284</v>
      </c>
      <c r="B31" s="201" t="s">
        <v>409</v>
      </c>
      <c r="C31" s="202">
        <v>90.0</v>
      </c>
      <c r="D31" s="202">
        <v>712.7</v>
      </c>
    </row>
    <row r="32">
      <c r="A32" s="201" t="s">
        <v>297</v>
      </c>
      <c r="B32" s="201" t="s">
        <v>411</v>
      </c>
      <c r="C32" s="202">
        <v>109.0</v>
      </c>
      <c r="D32" s="202">
        <v>710.2</v>
      </c>
    </row>
    <row r="33">
      <c r="A33" s="201" t="s">
        <v>413</v>
      </c>
      <c r="B33" s="201" t="s">
        <v>414</v>
      </c>
      <c r="C33" s="204">
        <v>1332.0</v>
      </c>
      <c r="D33" s="202">
        <v>666.0</v>
      </c>
    </row>
    <row r="34">
      <c r="A34" s="201" t="s">
        <v>295</v>
      </c>
      <c r="B34" s="201" t="s">
        <v>416</v>
      </c>
      <c r="C34" s="202">
        <v>83.0</v>
      </c>
      <c r="D34" s="202">
        <v>664.7</v>
      </c>
    </row>
    <row r="35">
      <c r="A35" s="201" t="s">
        <v>359</v>
      </c>
      <c r="B35" s="201" t="s">
        <v>418</v>
      </c>
      <c r="C35" s="202">
        <v>52.0</v>
      </c>
      <c r="D35" s="202">
        <v>639.6</v>
      </c>
    </row>
    <row r="36">
      <c r="A36" s="201" t="s">
        <v>258</v>
      </c>
      <c r="B36" s="201" t="s">
        <v>420</v>
      </c>
      <c r="C36" s="202">
        <v>123.0</v>
      </c>
      <c r="D36" s="202">
        <v>624.1</v>
      </c>
    </row>
    <row r="37">
      <c r="A37" s="201" t="s">
        <v>422</v>
      </c>
      <c r="B37" s="201" t="s">
        <v>423</v>
      </c>
      <c r="C37" s="202">
        <v>76.0</v>
      </c>
      <c r="D37" s="202">
        <v>570.0</v>
      </c>
    </row>
    <row r="38">
      <c r="A38" s="201" t="s">
        <v>395</v>
      </c>
      <c r="B38" s="201" t="s">
        <v>425</v>
      </c>
      <c r="C38" s="202">
        <v>45.0</v>
      </c>
      <c r="D38" s="202">
        <v>552.8</v>
      </c>
    </row>
    <row r="39">
      <c r="A39" s="201" t="s">
        <v>359</v>
      </c>
      <c r="B39" s="201" t="s">
        <v>427</v>
      </c>
      <c r="C39" s="202">
        <v>43.0</v>
      </c>
      <c r="D39" s="202">
        <v>534.1</v>
      </c>
    </row>
    <row r="40">
      <c r="A40" s="201" t="s">
        <v>284</v>
      </c>
      <c r="B40" s="201" t="s">
        <v>429</v>
      </c>
      <c r="C40" s="202">
        <v>55.0</v>
      </c>
      <c r="D40" s="202">
        <v>517.5</v>
      </c>
    </row>
    <row r="41">
      <c r="A41" s="201" t="s">
        <v>395</v>
      </c>
      <c r="B41" s="201" t="s">
        <v>431</v>
      </c>
      <c r="C41" s="202">
        <v>60.0</v>
      </c>
      <c r="D41" s="202">
        <v>510.0</v>
      </c>
    </row>
    <row r="42">
      <c r="A42" s="201" t="s">
        <v>293</v>
      </c>
      <c r="B42" s="201" t="s">
        <v>433</v>
      </c>
      <c r="C42" s="202">
        <v>71.0</v>
      </c>
      <c r="D42" s="202">
        <v>505.2</v>
      </c>
    </row>
    <row r="43">
      <c r="A43" s="201" t="s">
        <v>284</v>
      </c>
      <c r="B43" s="201" t="s">
        <v>435</v>
      </c>
      <c r="C43" s="202">
        <v>80.0</v>
      </c>
      <c r="D43" s="202">
        <v>505.0</v>
      </c>
    </row>
    <row r="44">
      <c r="A44" s="201" t="s">
        <v>395</v>
      </c>
      <c r="B44" s="201" t="s">
        <v>436</v>
      </c>
      <c r="C44" s="202">
        <v>49.0</v>
      </c>
      <c r="D44" s="202">
        <v>485.1</v>
      </c>
    </row>
    <row r="45">
      <c r="A45" s="201" t="s">
        <v>258</v>
      </c>
      <c r="B45" s="201" t="s">
        <v>438</v>
      </c>
      <c r="C45" s="202">
        <v>69.0</v>
      </c>
      <c r="D45" s="202">
        <v>483.0</v>
      </c>
    </row>
    <row r="46">
      <c r="A46" s="201" t="s">
        <v>439</v>
      </c>
      <c r="B46" s="201" t="s">
        <v>440</v>
      </c>
      <c r="C46" s="202">
        <v>76.0</v>
      </c>
      <c r="D46" s="202">
        <v>456.7</v>
      </c>
    </row>
    <row r="47">
      <c r="A47" s="201" t="s">
        <v>284</v>
      </c>
      <c r="B47" s="201" t="s">
        <v>442</v>
      </c>
      <c r="C47" s="202">
        <v>62.0</v>
      </c>
      <c r="D47" s="202">
        <v>455.4</v>
      </c>
    </row>
    <row r="48">
      <c r="A48" s="201" t="s">
        <v>295</v>
      </c>
      <c r="B48" s="201" t="s">
        <v>443</v>
      </c>
      <c r="C48" s="202">
        <v>45.0</v>
      </c>
      <c r="D48" s="202">
        <v>450.5</v>
      </c>
    </row>
    <row r="49">
      <c r="A49" s="201" t="s">
        <v>439</v>
      </c>
      <c r="B49" s="201" t="s">
        <v>420</v>
      </c>
      <c r="C49" s="202">
        <v>88.0</v>
      </c>
      <c r="D49" s="202">
        <v>445.6</v>
      </c>
    </row>
    <row r="50">
      <c r="A50" s="201" t="s">
        <v>258</v>
      </c>
      <c r="B50" s="201" t="s">
        <v>445</v>
      </c>
      <c r="C50" s="202">
        <v>73.0</v>
      </c>
      <c r="D50" s="202">
        <v>441.8</v>
      </c>
    </row>
    <row r="51">
      <c r="A51" s="201" t="s">
        <v>359</v>
      </c>
      <c r="B51" s="201" t="s">
        <v>447</v>
      </c>
      <c r="C51" s="202">
        <v>46.0</v>
      </c>
      <c r="D51" s="202">
        <v>423.2</v>
      </c>
    </row>
    <row r="52">
      <c r="A52" s="201" t="s">
        <v>439</v>
      </c>
      <c r="B52" s="201" t="s">
        <v>445</v>
      </c>
      <c r="C52" s="202">
        <v>70.0</v>
      </c>
      <c r="D52" s="202">
        <v>421.4</v>
      </c>
    </row>
    <row r="53">
      <c r="A53" s="201" t="s">
        <v>450</v>
      </c>
      <c r="B53" s="201" t="s">
        <v>423</v>
      </c>
      <c r="C53" s="202">
        <v>55.0</v>
      </c>
      <c r="D53" s="202">
        <v>412.5</v>
      </c>
    </row>
    <row r="54">
      <c r="A54" s="201" t="s">
        <v>422</v>
      </c>
      <c r="B54" s="201" t="s">
        <v>452</v>
      </c>
      <c r="C54" s="202">
        <v>62.0</v>
      </c>
      <c r="D54" s="202">
        <v>393.0</v>
      </c>
    </row>
    <row r="55">
      <c r="A55" s="201" t="s">
        <v>439</v>
      </c>
      <c r="B55" s="201" t="s">
        <v>453</v>
      </c>
      <c r="C55" s="202">
        <v>63.0</v>
      </c>
      <c r="D55" s="202">
        <v>380.6</v>
      </c>
    </row>
    <row r="56">
      <c r="A56" s="201" t="s">
        <v>295</v>
      </c>
      <c r="B56" s="201" t="s">
        <v>455</v>
      </c>
      <c r="C56" s="202">
        <v>94.0</v>
      </c>
      <c r="D56" s="202">
        <v>375.0</v>
      </c>
    </row>
    <row r="57">
      <c r="A57" s="201" t="s">
        <v>439</v>
      </c>
      <c r="B57" s="201" t="s">
        <v>438</v>
      </c>
      <c r="C57" s="202">
        <v>52.0</v>
      </c>
      <c r="D57" s="202">
        <v>364.0</v>
      </c>
    </row>
    <row r="58">
      <c r="A58" s="201" t="s">
        <v>457</v>
      </c>
      <c r="B58" s="201" t="s">
        <v>458</v>
      </c>
      <c r="C58" s="202">
        <v>296.0</v>
      </c>
      <c r="D58" s="202">
        <v>355.2</v>
      </c>
    </row>
    <row r="59">
      <c r="A59" s="201" t="s">
        <v>284</v>
      </c>
      <c r="B59" s="201" t="s">
        <v>460</v>
      </c>
      <c r="C59" s="202">
        <v>37.0</v>
      </c>
      <c r="D59" s="202">
        <v>337.5</v>
      </c>
    </row>
    <row r="60">
      <c r="A60" s="201" t="s">
        <v>284</v>
      </c>
      <c r="B60" s="201" t="s">
        <v>462</v>
      </c>
      <c r="C60" s="202">
        <v>41.0</v>
      </c>
      <c r="D60" s="202">
        <v>335.0</v>
      </c>
    </row>
    <row r="61">
      <c r="A61" s="201" t="s">
        <v>395</v>
      </c>
      <c r="B61" s="201" t="s">
        <v>464</v>
      </c>
      <c r="C61" s="202">
        <v>29.0</v>
      </c>
      <c r="D61" s="202">
        <v>328.3</v>
      </c>
    </row>
    <row r="62">
      <c r="A62" s="201" t="s">
        <v>450</v>
      </c>
      <c r="B62" s="201" t="s">
        <v>452</v>
      </c>
      <c r="C62" s="202">
        <v>48.0</v>
      </c>
      <c r="D62" s="202">
        <v>318.0</v>
      </c>
    </row>
    <row r="63">
      <c r="A63" s="201" t="s">
        <v>359</v>
      </c>
      <c r="B63" s="201" t="s">
        <v>356</v>
      </c>
      <c r="C63" s="202">
        <v>29.0</v>
      </c>
      <c r="D63" s="202">
        <v>289.1</v>
      </c>
    </row>
    <row r="64">
      <c r="A64" s="201" t="s">
        <v>359</v>
      </c>
      <c r="B64" s="201" t="s">
        <v>468</v>
      </c>
      <c r="C64" s="202">
        <v>27.0</v>
      </c>
      <c r="D64" s="202">
        <v>275.4</v>
      </c>
    </row>
    <row r="65">
      <c r="A65" s="201" t="s">
        <v>359</v>
      </c>
      <c r="B65" s="201" t="s">
        <v>470</v>
      </c>
      <c r="C65" s="202">
        <v>22.0</v>
      </c>
      <c r="D65" s="202">
        <v>271.4</v>
      </c>
    </row>
    <row r="66">
      <c r="A66" s="201" t="s">
        <v>295</v>
      </c>
      <c r="B66" s="201" t="s">
        <v>471</v>
      </c>
      <c r="C66" s="202">
        <v>45.0</v>
      </c>
      <c r="D66" s="202">
        <v>267.5</v>
      </c>
    </row>
    <row r="67">
      <c r="A67" s="201" t="s">
        <v>298</v>
      </c>
      <c r="B67" s="201" t="s">
        <v>449</v>
      </c>
      <c r="C67" s="202">
        <v>45.0</v>
      </c>
      <c r="D67" s="202">
        <v>253.0</v>
      </c>
    </row>
    <row r="68">
      <c r="A68" s="201" t="s">
        <v>297</v>
      </c>
      <c r="B68" s="201" t="s">
        <v>465</v>
      </c>
      <c r="C68" s="202">
        <v>45.0</v>
      </c>
      <c r="D68" s="202">
        <v>248.5</v>
      </c>
    </row>
    <row r="69">
      <c r="A69" s="201" t="s">
        <v>422</v>
      </c>
      <c r="B69" s="201" t="s">
        <v>474</v>
      </c>
      <c r="C69" s="202">
        <v>36.0</v>
      </c>
      <c r="D69" s="202">
        <v>236.5</v>
      </c>
    </row>
    <row r="70">
      <c r="A70" s="201" t="s">
        <v>298</v>
      </c>
      <c r="B70" s="201" t="s">
        <v>224</v>
      </c>
      <c r="C70" s="202">
        <v>44.0</v>
      </c>
      <c r="D70" s="202">
        <v>235.0</v>
      </c>
    </row>
    <row r="71">
      <c r="A71" s="201" t="s">
        <v>357</v>
      </c>
      <c r="B71" s="201" t="s">
        <v>358</v>
      </c>
      <c r="C71" s="202">
        <v>156.0</v>
      </c>
      <c r="D71" s="202">
        <v>234.0</v>
      </c>
    </row>
    <row r="72">
      <c r="A72" s="201" t="s">
        <v>450</v>
      </c>
      <c r="B72" s="201" t="s">
        <v>477</v>
      </c>
      <c r="C72" s="202">
        <v>65.0</v>
      </c>
      <c r="D72" s="202">
        <v>188.5</v>
      </c>
    </row>
    <row r="73">
      <c r="A73" s="201" t="s">
        <v>395</v>
      </c>
      <c r="B73" s="201" t="s">
        <v>478</v>
      </c>
      <c r="C73" s="202">
        <v>17.0</v>
      </c>
      <c r="D73" s="202">
        <v>185.7</v>
      </c>
    </row>
    <row r="74">
      <c r="A74" s="201" t="s">
        <v>297</v>
      </c>
      <c r="B74" s="201" t="s">
        <v>467</v>
      </c>
      <c r="C74" s="202">
        <v>30.0</v>
      </c>
      <c r="D74" s="202">
        <v>184.0</v>
      </c>
    </row>
    <row r="75">
      <c r="A75" s="201" t="s">
        <v>480</v>
      </c>
      <c r="B75" s="201" t="s">
        <v>481</v>
      </c>
      <c r="C75" s="202">
        <v>27.0</v>
      </c>
      <c r="D75" s="202">
        <v>183.5</v>
      </c>
    </row>
    <row r="76">
      <c r="A76" s="201" t="s">
        <v>450</v>
      </c>
      <c r="B76" s="201" t="s">
        <v>474</v>
      </c>
      <c r="C76" s="202">
        <v>27.0</v>
      </c>
      <c r="D76" s="202">
        <v>178.0</v>
      </c>
    </row>
    <row r="77">
      <c r="A77" s="201" t="s">
        <v>258</v>
      </c>
      <c r="B77" s="201" t="s">
        <v>440</v>
      </c>
      <c r="C77" s="202">
        <v>29.0</v>
      </c>
      <c r="D77" s="202">
        <v>174.7</v>
      </c>
    </row>
    <row r="78">
      <c r="A78" s="201" t="s">
        <v>359</v>
      </c>
      <c r="B78" s="201" t="s">
        <v>484</v>
      </c>
      <c r="C78" s="202">
        <v>17.0</v>
      </c>
      <c r="D78" s="202">
        <v>169.8</v>
      </c>
    </row>
    <row r="79">
      <c r="A79" s="201" t="s">
        <v>422</v>
      </c>
      <c r="B79" s="201" t="s">
        <v>485</v>
      </c>
      <c r="C79" s="202">
        <v>21.0</v>
      </c>
      <c r="D79" s="202">
        <v>165.8</v>
      </c>
    </row>
    <row r="80">
      <c r="A80" s="201" t="s">
        <v>258</v>
      </c>
      <c r="B80" s="201" t="s">
        <v>453</v>
      </c>
      <c r="C80" s="202">
        <v>26.0</v>
      </c>
      <c r="D80" s="202">
        <v>157.2</v>
      </c>
    </row>
    <row r="81">
      <c r="A81" s="201" t="s">
        <v>480</v>
      </c>
      <c r="B81" s="201" t="s">
        <v>488</v>
      </c>
      <c r="C81" s="202">
        <v>31.0</v>
      </c>
      <c r="D81" s="202">
        <v>155.0</v>
      </c>
    </row>
    <row r="82">
      <c r="A82" s="201" t="s">
        <v>439</v>
      </c>
      <c r="B82" s="201" t="s">
        <v>487</v>
      </c>
      <c r="C82" s="202">
        <v>24.0</v>
      </c>
      <c r="D82" s="202">
        <v>147.5</v>
      </c>
    </row>
    <row r="83">
      <c r="A83" s="201" t="s">
        <v>284</v>
      </c>
      <c r="B83" s="201" t="s">
        <v>464</v>
      </c>
      <c r="C83" s="202">
        <v>13.0</v>
      </c>
      <c r="D83" s="202">
        <v>144.7</v>
      </c>
    </row>
    <row r="84">
      <c r="A84" s="201" t="s">
        <v>298</v>
      </c>
      <c r="B84" s="201" t="s">
        <v>459</v>
      </c>
      <c r="C84" s="202">
        <v>25.0</v>
      </c>
      <c r="D84" s="202">
        <v>140.0</v>
      </c>
    </row>
    <row r="85">
      <c r="A85" s="201" t="s">
        <v>284</v>
      </c>
      <c r="B85" s="201" t="s">
        <v>493</v>
      </c>
      <c r="C85" s="202">
        <v>16.0</v>
      </c>
      <c r="D85" s="202">
        <v>132.0</v>
      </c>
    </row>
    <row r="86">
      <c r="A86" s="201" t="s">
        <v>357</v>
      </c>
      <c r="B86" s="201" t="s">
        <v>375</v>
      </c>
      <c r="C86" s="202">
        <v>83.0</v>
      </c>
      <c r="D86" s="202">
        <v>124.5</v>
      </c>
    </row>
    <row r="87">
      <c r="A87" s="201" t="s">
        <v>295</v>
      </c>
      <c r="B87" s="201" t="s">
        <v>495</v>
      </c>
      <c r="C87" s="202">
        <v>18.0</v>
      </c>
      <c r="D87" s="202">
        <v>124.2</v>
      </c>
    </row>
    <row r="88">
      <c r="A88" s="201" t="s">
        <v>357</v>
      </c>
      <c r="B88" s="201" t="s">
        <v>379</v>
      </c>
      <c r="C88" s="202">
        <v>74.0</v>
      </c>
      <c r="D88" s="202">
        <v>118.4</v>
      </c>
    </row>
    <row r="89">
      <c r="A89" s="201" t="s">
        <v>391</v>
      </c>
      <c r="B89" s="201" t="s">
        <v>404</v>
      </c>
      <c r="C89" s="202">
        <v>76.0</v>
      </c>
      <c r="D89" s="202">
        <v>114.0</v>
      </c>
    </row>
    <row r="90">
      <c r="A90" s="201" t="s">
        <v>422</v>
      </c>
      <c r="B90" s="201" t="s">
        <v>497</v>
      </c>
      <c r="C90" s="202">
        <v>17.0</v>
      </c>
      <c r="D90" s="202">
        <v>110.5</v>
      </c>
    </row>
    <row r="91">
      <c r="A91" s="201" t="s">
        <v>359</v>
      </c>
      <c r="B91" s="201" t="s">
        <v>499</v>
      </c>
      <c r="C91" s="202">
        <v>12.0</v>
      </c>
      <c r="D91" s="202">
        <v>108.0</v>
      </c>
    </row>
    <row r="92">
      <c r="A92" s="201" t="s">
        <v>422</v>
      </c>
      <c r="B92" s="201" t="s">
        <v>500</v>
      </c>
      <c r="C92" s="202">
        <v>14.0</v>
      </c>
      <c r="D92" s="202">
        <v>101.0</v>
      </c>
    </row>
    <row r="93">
      <c r="A93" s="201" t="s">
        <v>284</v>
      </c>
      <c r="B93" s="201" t="s">
        <v>425</v>
      </c>
      <c r="C93" s="202">
        <v>10.0</v>
      </c>
      <c r="D93" s="202">
        <v>100.0</v>
      </c>
    </row>
    <row r="94">
      <c r="A94" s="201" t="s">
        <v>391</v>
      </c>
      <c r="B94" s="201" t="s">
        <v>408</v>
      </c>
      <c r="C94" s="202">
        <v>62.0</v>
      </c>
      <c r="D94" s="202">
        <v>93.0</v>
      </c>
    </row>
    <row r="95">
      <c r="A95" s="201" t="s">
        <v>295</v>
      </c>
      <c r="B95" s="201" t="s">
        <v>491</v>
      </c>
      <c r="C95" s="202">
        <v>10.0</v>
      </c>
      <c r="D95" s="202">
        <v>85.0</v>
      </c>
    </row>
    <row r="96">
      <c r="A96" s="201" t="s">
        <v>284</v>
      </c>
      <c r="B96" s="201" t="s">
        <v>503</v>
      </c>
      <c r="C96" s="202">
        <v>13.0</v>
      </c>
      <c r="D96" s="202">
        <v>83.0</v>
      </c>
    </row>
    <row r="97">
      <c r="A97" s="201" t="s">
        <v>480</v>
      </c>
      <c r="B97" s="201" t="s">
        <v>505</v>
      </c>
      <c r="C97" s="202">
        <v>10.0</v>
      </c>
      <c r="D97" s="202">
        <v>80.0</v>
      </c>
    </row>
    <row r="98">
      <c r="A98" s="201" t="s">
        <v>284</v>
      </c>
      <c r="B98" s="201" t="s">
        <v>506</v>
      </c>
      <c r="C98" s="202">
        <v>9.0</v>
      </c>
      <c r="D98" s="202">
        <v>76.0</v>
      </c>
    </row>
    <row r="99">
      <c r="A99" s="201" t="s">
        <v>395</v>
      </c>
      <c r="B99" s="201" t="s">
        <v>507</v>
      </c>
      <c r="C99" s="202">
        <v>9.0</v>
      </c>
      <c r="D99" s="202">
        <v>74.6</v>
      </c>
    </row>
    <row r="100">
      <c r="A100" s="201" t="s">
        <v>413</v>
      </c>
      <c r="B100" s="201" t="s">
        <v>509</v>
      </c>
      <c r="C100" s="202">
        <v>74.0</v>
      </c>
      <c r="D100" s="202">
        <v>74.0</v>
      </c>
    </row>
    <row r="101">
      <c r="A101" s="201" t="s">
        <v>480</v>
      </c>
      <c r="B101" s="201" t="s">
        <v>505</v>
      </c>
      <c r="C101" s="202">
        <v>12.0</v>
      </c>
      <c r="D101" s="202">
        <v>72.0</v>
      </c>
    </row>
    <row r="102">
      <c r="A102" s="201" t="s">
        <v>293</v>
      </c>
      <c r="B102" s="201" t="s">
        <v>511</v>
      </c>
      <c r="C102" s="202">
        <v>9.0</v>
      </c>
      <c r="D102" s="202">
        <v>69.0</v>
      </c>
    </row>
    <row r="103">
      <c r="A103" s="201" t="s">
        <v>293</v>
      </c>
      <c r="B103" s="201" t="s">
        <v>512</v>
      </c>
      <c r="C103" s="202">
        <v>6.0</v>
      </c>
      <c r="D103" s="202">
        <v>65.6</v>
      </c>
    </row>
    <row r="104">
      <c r="A104" s="201" t="s">
        <v>357</v>
      </c>
      <c r="B104" s="201" t="s">
        <v>363</v>
      </c>
      <c r="C104" s="202">
        <v>33.0</v>
      </c>
      <c r="D104" s="202">
        <v>52.8</v>
      </c>
    </row>
    <row r="105">
      <c r="A105" s="201" t="s">
        <v>515</v>
      </c>
      <c r="B105" s="201" t="s">
        <v>516</v>
      </c>
      <c r="C105" s="202">
        <v>70.0</v>
      </c>
      <c r="D105" s="202">
        <v>52.5</v>
      </c>
    </row>
    <row r="106">
      <c r="A106" s="201" t="s">
        <v>295</v>
      </c>
      <c r="B106" s="201" t="s">
        <v>351</v>
      </c>
      <c r="C106" s="202">
        <v>5.0</v>
      </c>
      <c r="D106" s="202">
        <v>49.5</v>
      </c>
    </row>
    <row r="107">
      <c r="A107" s="201" t="s">
        <v>258</v>
      </c>
      <c r="B107" s="201" t="s">
        <v>477</v>
      </c>
      <c r="C107" s="202">
        <v>23.0</v>
      </c>
      <c r="D107" s="202">
        <v>46.0</v>
      </c>
    </row>
    <row r="108">
      <c r="A108" s="201" t="s">
        <v>359</v>
      </c>
      <c r="B108" s="201" t="s">
        <v>519</v>
      </c>
      <c r="C108" s="202">
        <v>5.0</v>
      </c>
      <c r="D108" s="202">
        <v>46.0</v>
      </c>
    </row>
    <row r="109">
      <c r="A109" s="201" t="s">
        <v>480</v>
      </c>
      <c r="B109" s="201" t="s">
        <v>520</v>
      </c>
      <c r="C109" s="202">
        <v>7.0</v>
      </c>
      <c r="D109" s="202">
        <v>45.5</v>
      </c>
    </row>
    <row r="110">
      <c r="A110" s="201" t="s">
        <v>522</v>
      </c>
      <c r="B110" s="201" t="s">
        <v>523</v>
      </c>
      <c r="C110" s="202">
        <v>80.0</v>
      </c>
      <c r="D110" s="202">
        <v>40.0</v>
      </c>
    </row>
    <row r="111">
      <c r="A111" s="201" t="s">
        <v>350</v>
      </c>
      <c r="B111" s="201" t="s">
        <v>351</v>
      </c>
      <c r="C111" s="202">
        <v>4.0</v>
      </c>
      <c r="D111" s="202">
        <v>39.6</v>
      </c>
    </row>
    <row r="112">
      <c r="A112" s="201" t="s">
        <v>391</v>
      </c>
      <c r="B112" s="201" t="s">
        <v>412</v>
      </c>
      <c r="C112" s="202">
        <v>26.0</v>
      </c>
      <c r="D112" s="202">
        <v>39.0</v>
      </c>
    </row>
    <row r="113">
      <c r="A113" s="201" t="s">
        <v>395</v>
      </c>
      <c r="B113" s="201" t="s">
        <v>525</v>
      </c>
      <c r="C113" s="202">
        <v>5.0</v>
      </c>
      <c r="D113" s="202">
        <v>35.0</v>
      </c>
    </row>
    <row r="114">
      <c r="A114" s="201" t="s">
        <v>391</v>
      </c>
      <c r="B114" s="201" t="s">
        <v>421</v>
      </c>
      <c r="C114" s="202">
        <v>23.0</v>
      </c>
      <c r="D114" s="202">
        <v>34.5</v>
      </c>
    </row>
    <row r="115">
      <c r="A115" s="201" t="s">
        <v>457</v>
      </c>
      <c r="B115" s="201" t="s">
        <v>527</v>
      </c>
      <c r="C115" s="202">
        <v>18.0</v>
      </c>
      <c r="D115" s="202">
        <v>33.5</v>
      </c>
    </row>
    <row r="116">
      <c r="A116" s="201" t="s">
        <v>413</v>
      </c>
      <c r="B116" s="201" t="s">
        <v>529</v>
      </c>
      <c r="C116" s="202">
        <v>27.0</v>
      </c>
      <c r="D116" s="202">
        <v>32.4</v>
      </c>
    </row>
    <row r="117">
      <c r="A117" s="201" t="s">
        <v>522</v>
      </c>
      <c r="B117" s="201" t="s">
        <v>530</v>
      </c>
      <c r="C117" s="202">
        <v>56.0</v>
      </c>
      <c r="D117" s="202">
        <v>28.0</v>
      </c>
    </row>
    <row r="118">
      <c r="A118" s="201" t="s">
        <v>457</v>
      </c>
      <c r="B118" s="201" t="s">
        <v>532</v>
      </c>
      <c r="C118" s="202">
        <v>15.0</v>
      </c>
      <c r="D118" s="202">
        <v>24.0</v>
      </c>
    </row>
    <row r="119">
      <c r="A119" s="201" t="s">
        <v>515</v>
      </c>
      <c r="B119" s="201" t="s">
        <v>533</v>
      </c>
      <c r="C119" s="202">
        <v>23.0</v>
      </c>
      <c r="D119" s="202">
        <v>23.0</v>
      </c>
    </row>
    <row r="120">
      <c r="A120" s="201" t="s">
        <v>391</v>
      </c>
      <c r="B120" s="201" t="s">
        <v>417</v>
      </c>
      <c r="C120" s="202">
        <v>15.0</v>
      </c>
      <c r="D120" s="202">
        <v>22.5</v>
      </c>
    </row>
    <row r="121">
      <c r="A121" s="201" t="s">
        <v>515</v>
      </c>
      <c r="B121" s="201" t="s">
        <v>535</v>
      </c>
      <c r="C121" s="202">
        <v>29.0</v>
      </c>
      <c r="D121" s="202">
        <v>21.75</v>
      </c>
    </row>
    <row r="122">
      <c r="A122" s="201" t="s">
        <v>391</v>
      </c>
      <c r="B122" s="201" t="s">
        <v>430</v>
      </c>
      <c r="C122" s="202">
        <v>12.0</v>
      </c>
      <c r="D122" s="202">
        <v>21.6</v>
      </c>
    </row>
    <row r="123">
      <c r="A123" s="201" t="s">
        <v>450</v>
      </c>
      <c r="B123" s="201" t="s">
        <v>538</v>
      </c>
      <c r="C123" s="202">
        <v>3.0</v>
      </c>
      <c r="D123" s="202">
        <v>21.0</v>
      </c>
    </row>
    <row r="124">
      <c r="A124" s="201" t="s">
        <v>293</v>
      </c>
      <c r="B124" s="201" t="s">
        <v>514</v>
      </c>
      <c r="C124" s="202">
        <v>2.0</v>
      </c>
      <c r="D124" s="202">
        <v>20.8</v>
      </c>
    </row>
    <row r="125">
      <c r="A125" s="201" t="s">
        <v>522</v>
      </c>
      <c r="B125" s="201" t="s">
        <v>540</v>
      </c>
      <c r="C125" s="202">
        <v>41.0</v>
      </c>
      <c r="D125" s="202">
        <v>20.5</v>
      </c>
    </row>
    <row r="126">
      <c r="A126" s="201" t="s">
        <v>391</v>
      </c>
      <c r="B126" s="201" t="s">
        <v>426</v>
      </c>
      <c r="C126" s="202">
        <v>11.0</v>
      </c>
      <c r="D126" s="202">
        <v>19.8</v>
      </c>
    </row>
    <row r="127">
      <c r="A127" s="201" t="s">
        <v>359</v>
      </c>
      <c r="B127" s="201" t="s">
        <v>542</v>
      </c>
      <c r="C127" s="202">
        <v>2.0</v>
      </c>
      <c r="D127" s="202">
        <v>19.8</v>
      </c>
    </row>
    <row r="128">
      <c r="A128" s="201" t="s">
        <v>391</v>
      </c>
      <c r="B128" s="201" t="s">
        <v>392</v>
      </c>
      <c r="C128" s="202">
        <v>14.0</v>
      </c>
      <c r="D128" s="202">
        <v>16.8</v>
      </c>
    </row>
    <row r="129">
      <c r="A129" s="201" t="s">
        <v>450</v>
      </c>
      <c r="B129" s="201" t="s">
        <v>485</v>
      </c>
      <c r="C129" s="202">
        <v>2.0</v>
      </c>
      <c r="D129" s="202">
        <v>15.6</v>
      </c>
    </row>
    <row r="130">
      <c r="A130" s="201" t="s">
        <v>522</v>
      </c>
      <c r="B130" s="201" t="s">
        <v>544</v>
      </c>
      <c r="C130" s="202">
        <v>28.0</v>
      </c>
      <c r="D130" s="202">
        <v>14.0</v>
      </c>
    </row>
    <row r="131">
      <c r="A131" s="201" t="s">
        <v>515</v>
      </c>
      <c r="B131" s="201" t="s">
        <v>545</v>
      </c>
      <c r="C131" s="202">
        <v>17.0</v>
      </c>
      <c r="D131" s="202">
        <v>12.75</v>
      </c>
    </row>
    <row r="132">
      <c r="A132" s="201" t="s">
        <v>515</v>
      </c>
      <c r="B132" s="201" t="s">
        <v>547</v>
      </c>
      <c r="C132" s="202">
        <v>6.0</v>
      </c>
      <c r="D132" s="202">
        <v>12.0</v>
      </c>
    </row>
    <row r="133">
      <c r="A133" s="201" t="s">
        <v>457</v>
      </c>
      <c r="B133" s="201" t="s">
        <v>548</v>
      </c>
      <c r="C133" s="202">
        <v>8.0</v>
      </c>
      <c r="D133" s="202">
        <v>9.6</v>
      </c>
    </row>
    <row r="134">
      <c r="A134" s="201" t="s">
        <v>294</v>
      </c>
      <c r="B134" s="201" t="s">
        <v>550</v>
      </c>
      <c r="C134" s="202">
        <v>1.0</v>
      </c>
      <c r="D134" s="202">
        <v>8.5</v>
      </c>
    </row>
    <row r="135">
      <c r="A135" s="201" t="s">
        <v>515</v>
      </c>
      <c r="B135" s="201" t="s">
        <v>551</v>
      </c>
      <c r="C135" s="202">
        <v>6.0</v>
      </c>
      <c r="D135" s="202">
        <v>7.2</v>
      </c>
    </row>
    <row r="136">
      <c r="A136" s="201" t="s">
        <v>391</v>
      </c>
      <c r="B136" s="201" t="s">
        <v>397</v>
      </c>
      <c r="C136" s="202">
        <v>4.0</v>
      </c>
      <c r="D136" s="202">
        <v>6.4</v>
      </c>
    </row>
    <row r="137">
      <c r="A137" s="201" t="s">
        <v>391</v>
      </c>
      <c r="B137" s="201" t="s">
        <v>401</v>
      </c>
      <c r="C137" s="202">
        <v>4.0</v>
      </c>
      <c r="D137" s="202">
        <v>6.4</v>
      </c>
    </row>
    <row r="138">
      <c r="A138" s="201" t="s">
        <v>515</v>
      </c>
      <c r="B138" s="201" t="s">
        <v>554</v>
      </c>
      <c r="C138" s="202">
        <v>5.0</v>
      </c>
      <c r="D138" s="202">
        <v>6.0</v>
      </c>
    </row>
    <row r="139">
      <c r="A139" s="201" t="s">
        <v>357</v>
      </c>
      <c r="B139" s="201" t="s">
        <v>386</v>
      </c>
      <c r="C139" s="202">
        <v>4.0</v>
      </c>
      <c r="D139" s="202">
        <v>6.0</v>
      </c>
    </row>
    <row r="140">
      <c r="A140" s="201" t="s">
        <v>457</v>
      </c>
      <c r="B140" s="201" t="s">
        <v>208</v>
      </c>
      <c r="C140" s="202">
        <v>4.0</v>
      </c>
      <c r="D140" s="202">
        <v>6.0</v>
      </c>
    </row>
    <row r="141">
      <c r="A141" s="201" t="s">
        <v>457</v>
      </c>
      <c r="B141" s="201" t="s">
        <v>210</v>
      </c>
      <c r="C141" s="202">
        <v>3.0</v>
      </c>
      <c r="D141" s="202">
        <v>3.6</v>
      </c>
    </row>
    <row r="142">
      <c r="A142" s="201" t="s">
        <v>357</v>
      </c>
      <c r="B142" s="201" t="s">
        <v>367</v>
      </c>
      <c r="C142" s="202">
        <v>2.0</v>
      </c>
      <c r="D142" s="202">
        <v>3.0</v>
      </c>
    </row>
    <row r="143">
      <c r="A143" s="201" t="s">
        <v>357</v>
      </c>
      <c r="B143" s="201" t="s">
        <v>382</v>
      </c>
      <c r="C143" s="202">
        <v>1.0</v>
      </c>
      <c r="D143" s="202">
        <v>2.3</v>
      </c>
    </row>
    <row r="144">
      <c r="A144" s="201" t="s">
        <v>515</v>
      </c>
      <c r="B144" s="201" t="s">
        <v>558</v>
      </c>
      <c r="C144" s="202">
        <v>2.0</v>
      </c>
      <c r="D144" s="202">
        <v>1.5</v>
      </c>
    </row>
    <row r="145">
      <c r="A145" s="201" t="s">
        <v>515</v>
      </c>
      <c r="B145" s="201" t="s">
        <v>559</v>
      </c>
      <c r="C145" s="202">
        <v>1.0</v>
      </c>
      <c r="D145" s="202">
        <v>1.3</v>
      </c>
    </row>
    <row r="146">
      <c r="A146" s="201" t="s">
        <v>515</v>
      </c>
      <c r="B146" s="201" t="s">
        <v>561</v>
      </c>
      <c r="C146" s="202">
        <v>1.0</v>
      </c>
      <c r="D146" s="202">
        <v>0.75</v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>
      <c r="K311" s="320"/>
    </row>
    <row r="312">
      <c r="K312" s="320"/>
    </row>
    <row r="313">
      <c r="K313" s="320"/>
    </row>
    <row r="314">
      <c r="K314" s="320"/>
    </row>
    <row r="315">
      <c r="K315" s="320"/>
    </row>
    <row r="316">
      <c r="K316" s="320"/>
    </row>
    <row r="317">
      <c r="K317" s="320"/>
    </row>
    <row r="318">
      <c r="K318" s="320"/>
    </row>
    <row r="319">
      <c r="K319" s="320"/>
    </row>
    <row r="320">
      <c r="K320" s="320"/>
    </row>
    <row r="321">
      <c r="K321" s="320"/>
    </row>
    <row r="322">
      <c r="K322" s="320"/>
    </row>
    <row r="323">
      <c r="K323" s="320"/>
    </row>
    <row r="324">
      <c r="K324" s="320"/>
    </row>
    <row r="325">
      <c r="K325" s="320"/>
    </row>
    <row r="326">
      <c r="K326" s="320"/>
    </row>
    <row r="327">
      <c r="K327" s="320"/>
    </row>
    <row r="328">
      <c r="K328" s="320"/>
    </row>
    <row r="329">
      <c r="K329" s="320"/>
    </row>
    <row r="330">
      <c r="K330" s="320"/>
    </row>
    <row r="331">
      <c r="K331" s="320"/>
    </row>
    <row r="332">
      <c r="K332" s="320"/>
    </row>
    <row r="333">
      <c r="K333" s="320"/>
    </row>
    <row r="334">
      <c r="K334" s="320"/>
    </row>
    <row r="335">
      <c r="K335" s="320"/>
    </row>
    <row r="336">
      <c r="K336" s="320"/>
    </row>
    <row r="337">
      <c r="K337" s="320"/>
    </row>
    <row r="338">
      <c r="K338" s="320"/>
    </row>
    <row r="339">
      <c r="K339" s="320"/>
    </row>
    <row r="340">
      <c r="K340" s="320"/>
    </row>
    <row r="341">
      <c r="K341" s="320"/>
    </row>
    <row r="342">
      <c r="K342" s="320"/>
    </row>
    <row r="343">
      <c r="K343" s="320"/>
    </row>
    <row r="344">
      <c r="K344" s="320"/>
    </row>
    <row r="345">
      <c r="K345" s="320"/>
    </row>
    <row r="346">
      <c r="K346" s="320"/>
    </row>
    <row r="347">
      <c r="K347" s="320"/>
    </row>
    <row r="348">
      <c r="K348" s="320"/>
    </row>
    <row r="349">
      <c r="K349" s="320"/>
    </row>
    <row r="350">
      <c r="K350" s="320"/>
    </row>
    <row r="351">
      <c r="K351" s="320"/>
    </row>
    <row r="352">
      <c r="K352" s="320"/>
    </row>
    <row r="353">
      <c r="K353" s="320"/>
    </row>
    <row r="354">
      <c r="K354" s="320"/>
    </row>
    <row r="355">
      <c r="K355" s="320"/>
    </row>
    <row r="356">
      <c r="K356" s="320"/>
    </row>
    <row r="357">
      <c r="K357" s="320"/>
    </row>
    <row r="358">
      <c r="K358" s="320"/>
    </row>
    <row r="359">
      <c r="K359" s="320"/>
    </row>
    <row r="360">
      <c r="K360" s="320"/>
    </row>
    <row r="361">
      <c r="K361" s="320"/>
    </row>
    <row r="362">
      <c r="K362" s="320"/>
    </row>
    <row r="363">
      <c r="K363" s="320"/>
    </row>
    <row r="364">
      <c r="K364" s="320"/>
    </row>
    <row r="365">
      <c r="K365" s="320"/>
    </row>
    <row r="366">
      <c r="K366" s="320"/>
    </row>
    <row r="367">
      <c r="K367" s="320"/>
    </row>
    <row r="368">
      <c r="K368" s="320"/>
    </row>
    <row r="369">
      <c r="K369" s="320"/>
    </row>
    <row r="370">
      <c r="K370" s="320"/>
    </row>
    <row r="371">
      <c r="K371" s="320"/>
    </row>
    <row r="372">
      <c r="K372" s="320"/>
    </row>
    <row r="373">
      <c r="K373" s="320"/>
    </row>
    <row r="374">
      <c r="K374" s="320"/>
    </row>
    <row r="375">
      <c r="K375" s="320"/>
    </row>
    <row r="376">
      <c r="K376" s="320"/>
    </row>
    <row r="377">
      <c r="K377" s="320"/>
    </row>
    <row r="378">
      <c r="K378" s="320"/>
    </row>
    <row r="379">
      <c r="K379" s="320"/>
    </row>
    <row r="380">
      <c r="K380" s="320"/>
    </row>
    <row r="381">
      <c r="K381" s="320"/>
    </row>
    <row r="382">
      <c r="K382" s="320"/>
    </row>
    <row r="383">
      <c r="K383" s="320"/>
    </row>
    <row r="384">
      <c r="K384" s="320"/>
    </row>
    <row r="385">
      <c r="K385" s="320"/>
    </row>
    <row r="386">
      <c r="K386" s="320"/>
    </row>
    <row r="387">
      <c r="K387" s="320"/>
    </row>
    <row r="388">
      <c r="K388" s="320"/>
    </row>
    <row r="389">
      <c r="K389" s="320"/>
    </row>
    <row r="390">
      <c r="K390" s="320"/>
    </row>
    <row r="391">
      <c r="K391" s="320"/>
    </row>
    <row r="392">
      <c r="K392" s="320"/>
    </row>
    <row r="393">
      <c r="K393" s="320"/>
    </row>
    <row r="394">
      <c r="K394" s="320"/>
    </row>
    <row r="395">
      <c r="K395" s="320"/>
    </row>
    <row r="396">
      <c r="K396" s="320"/>
    </row>
    <row r="397">
      <c r="K397" s="320"/>
    </row>
    <row r="398">
      <c r="K398" s="320"/>
    </row>
    <row r="399">
      <c r="K399" s="320"/>
    </row>
    <row r="400">
      <c r="K400" s="320"/>
    </row>
    <row r="401">
      <c r="K401" s="320"/>
    </row>
    <row r="402">
      <c r="K402" s="320"/>
    </row>
    <row r="403">
      <c r="K403" s="320"/>
    </row>
    <row r="404">
      <c r="K404" s="320"/>
    </row>
    <row r="405">
      <c r="K405" s="320"/>
    </row>
    <row r="406">
      <c r="K406" s="320"/>
    </row>
    <row r="407">
      <c r="K407" s="320"/>
    </row>
    <row r="408">
      <c r="K408" s="320"/>
    </row>
    <row r="409">
      <c r="K409" s="320"/>
    </row>
    <row r="410">
      <c r="K410" s="320"/>
    </row>
    <row r="411">
      <c r="K411" s="320"/>
    </row>
    <row r="412">
      <c r="K412" s="320"/>
    </row>
    <row r="413">
      <c r="K413" s="320"/>
    </row>
    <row r="414">
      <c r="K414" s="320"/>
    </row>
    <row r="415">
      <c r="K415" s="320"/>
    </row>
    <row r="416">
      <c r="K416" s="320"/>
    </row>
    <row r="417">
      <c r="K417" s="320"/>
    </row>
    <row r="418">
      <c r="K418" s="320"/>
    </row>
    <row r="419">
      <c r="K419" s="320"/>
    </row>
    <row r="420">
      <c r="K420" s="320"/>
    </row>
    <row r="421">
      <c r="K421" s="320"/>
    </row>
    <row r="422">
      <c r="K422" s="320"/>
    </row>
    <row r="423">
      <c r="K423" s="320"/>
    </row>
    <row r="424">
      <c r="K424" s="320"/>
    </row>
    <row r="425">
      <c r="K425" s="320"/>
    </row>
    <row r="426">
      <c r="K426" s="320"/>
    </row>
    <row r="427">
      <c r="K427" s="320"/>
    </row>
    <row r="428">
      <c r="K428" s="320"/>
    </row>
    <row r="429">
      <c r="K429" s="320"/>
    </row>
    <row r="430">
      <c r="K430" s="320"/>
    </row>
    <row r="431">
      <c r="K431" s="320"/>
    </row>
    <row r="432">
      <c r="K432" s="320"/>
    </row>
    <row r="433">
      <c r="K433" s="320"/>
    </row>
    <row r="434">
      <c r="K434" s="320"/>
    </row>
    <row r="435">
      <c r="K435" s="320"/>
    </row>
    <row r="436">
      <c r="K436" s="320"/>
    </row>
    <row r="437">
      <c r="K437" s="320"/>
    </row>
    <row r="438">
      <c r="K438" s="320"/>
    </row>
    <row r="439">
      <c r="K439" s="320"/>
    </row>
    <row r="440">
      <c r="K440" s="320"/>
    </row>
    <row r="441">
      <c r="K441" s="320"/>
    </row>
    <row r="442">
      <c r="K442" s="320"/>
    </row>
    <row r="443">
      <c r="K443" s="320"/>
    </row>
    <row r="444">
      <c r="K444" s="320"/>
    </row>
    <row r="445">
      <c r="K445" s="320"/>
    </row>
    <row r="446">
      <c r="K446" s="320"/>
    </row>
    <row r="447">
      <c r="K447" s="320"/>
    </row>
    <row r="448">
      <c r="K448" s="320"/>
    </row>
    <row r="449">
      <c r="K449" s="320"/>
    </row>
    <row r="450">
      <c r="K450" s="320"/>
    </row>
    <row r="451">
      <c r="K451" s="320"/>
    </row>
    <row r="452">
      <c r="K452" s="320"/>
    </row>
    <row r="453">
      <c r="K453" s="320"/>
    </row>
    <row r="454">
      <c r="K454" s="320"/>
    </row>
    <row r="455">
      <c r="K455" s="320"/>
    </row>
    <row r="456">
      <c r="K456" s="320"/>
    </row>
    <row r="457">
      <c r="K457" s="320"/>
    </row>
    <row r="458">
      <c r="K458" s="320"/>
    </row>
    <row r="459">
      <c r="K459" s="320"/>
    </row>
    <row r="460">
      <c r="K460" s="320"/>
    </row>
    <row r="461">
      <c r="K461" s="320"/>
    </row>
    <row r="462">
      <c r="K462" s="320"/>
    </row>
    <row r="463">
      <c r="K463" s="320"/>
    </row>
    <row r="464">
      <c r="K464" s="320"/>
    </row>
    <row r="465">
      <c r="K465" s="320"/>
    </row>
    <row r="466">
      <c r="K466" s="320"/>
    </row>
    <row r="467">
      <c r="K467" s="320"/>
    </row>
    <row r="468">
      <c r="K468" s="320"/>
    </row>
    <row r="469">
      <c r="K469" s="320"/>
    </row>
    <row r="470">
      <c r="K470" s="320"/>
    </row>
    <row r="471">
      <c r="K471" s="320"/>
    </row>
    <row r="472">
      <c r="K472" s="320"/>
    </row>
    <row r="473">
      <c r="K473" s="320"/>
    </row>
    <row r="474">
      <c r="K474" s="320"/>
    </row>
    <row r="475">
      <c r="K475" s="320"/>
    </row>
    <row r="476">
      <c r="K476" s="320"/>
    </row>
    <row r="477">
      <c r="K477" s="320"/>
    </row>
    <row r="478">
      <c r="K478" s="320"/>
    </row>
    <row r="479">
      <c r="K479" s="320"/>
    </row>
    <row r="480">
      <c r="K480" s="320"/>
    </row>
    <row r="481">
      <c r="K481" s="320"/>
    </row>
    <row r="482">
      <c r="K482" s="320"/>
    </row>
    <row r="483">
      <c r="K483" s="320"/>
    </row>
    <row r="484">
      <c r="K484" s="320"/>
    </row>
    <row r="485">
      <c r="K485" s="320"/>
    </row>
    <row r="486">
      <c r="K486" s="320"/>
    </row>
    <row r="487">
      <c r="K487" s="320"/>
    </row>
    <row r="488">
      <c r="K488" s="320"/>
    </row>
    <row r="489">
      <c r="K489" s="320"/>
    </row>
    <row r="490">
      <c r="K490" s="320"/>
    </row>
    <row r="491">
      <c r="K491" s="320"/>
    </row>
    <row r="492">
      <c r="K492" s="320"/>
    </row>
    <row r="493">
      <c r="K493" s="320"/>
    </row>
    <row r="494">
      <c r="K494" s="320"/>
    </row>
    <row r="495">
      <c r="K495" s="320"/>
    </row>
    <row r="496">
      <c r="K496" s="320"/>
    </row>
    <row r="497">
      <c r="K497" s="320"/>
    </row>
    <row r="498">
      <c r="K498" s="320"/>
    </row>
    <row r="499">
      <c r="K499" s="320"/>
    </row>
    <row r="500">
      <c r="K500" s="320"/>
    </row>
    <row r="501">
      <c r="K501" s="320"/>
    </row>
    <row r="502">
      <c r="K502" s="320"/>
    </row>
    <row r="503">
      <c r="K503" s="320"/>
    </row>
    <row r="504">
      <c r="K504" s="320"/>
    </row>
    <row r="505">
      <c r="K505" s="320"/>
    </row>
    <row r="506">
      <c r="K506" s="320"/>
    </row>
    <row r="507">
      <c r="K507" s="320"/>
    </row>
    <row r="508">
      <c r="K508" s="320"/>
    </row>
    <row r="509">
      <c r="K509" s="320"/>
    </row>
    <row r="510">
      <c r="K510" s="320"/>
    </row>
    <row r="511">
      <c r="K511" s="320"/>
    </row>
    <row r="512">
      <c r="K512" s="320"/>
    </row>
    <row r="513">
      <c r="K513" s="320"/>
    </row>
    <row r="514">
      <c r="K514" s="320"/>
    </row>
    <row r="515">
      <c r="K515" s="320"/>
    </row>
    <row r="516">
      <c r="K516" s="320"/>
    </row>
    <row r="517">
      <c r="K517" s="320"/>
    </row>
    <row r="518">
      <c r="K518" s="320"/>
    </row>
    <row r="519">
      <c r="K519" s="320"/>
    </row>
    <row r="520">
      <c r="K520" s="320"/>
    </row>
    <row r="521">
      <c r="K521" s="320"/>
    </row>
    <row r="522">
      <c r="K522" s="320"/>
    </row>
    <row r="523">
      <c r="K523" s="320"/>
    </row>
    <row r="524">
      <c r="K524" s="320"/>
    </row>
    <row r="525">
      <c r="K525" s="320"/>
    </row>
    <row r="526">
      <c r="K526" s="320"/>
    </row>
    <row r="527">
      <c r="K527" s="320"/>
    </row>
    <row r="528">
      <c r="K528" s="320"/>
    </row>
    <row r="529">
      <c r="K529" s="320"/>
    </row>
    <row r="530">
      <c r="K530" s="320"/>
    </row>
    <row r="531">
      <c r="K531" s="320"/>
    </row>
    <row r="532">
      <c r="K532" s="320"/>
    </row>
    <row r="533">
      <c r="K533" s="320"/>
    </row>
    <row r="534">
      <c r="K534" s="320"/>
    </row>
    <row r="535">
      <c r="K535" s="320"/>
    </row>
    <row r="536">
      <c r="K536" s="320"/>
    </row>
    <row r="537">
      <c r="K537" s="320"/>
    </row>
    <row r="538">
      <c r="K538" s="320"/>
    </row>
    <row r="539">
      <c r="K539" s="320"/>
    </row>
    <row r="540">
      <c r="K540" s="320"/>
    </row>
    <row r="541">
      <c r="K541" s="320"/>
    </row>
    <row r="542">
      <c r="K542" s="320"/>
    </row>
    <row r="543">
      <c r="K543" s="320"/>
    </row>
    <row r="544">
      <c r="K544" s="320"/>
    </row>
    <row r="545">
      <c r="K545" s="320"/>
    </row>
    <row r="546">
      <c r="K546" s="320"/>
    </row>
    <row r="547">
      <c r="K547" s="320"/>
    </row>
    <row r="548">
      <c r="K548" s="320"/>
    </row>
    <row r="549">
      <c r="K549" s="320"/>
    </row>
    <row r="550">
      <c r="K550" s="320"/>
    </row>
    <row r="551">
      <c r="K551" s="320"/>
    </row>
    <row r="552">
      <c r="K552" s="320"/>
    </row>
    <row r="553">
      <c r="K553" s="320"/>
    </row>
    <row r="554">
      <c r="K554" s="320"/>
    </row>
    <row r="555">
      <c r="K555" s="320"/>
    </row>
    <row r="556">
      <c r="K556" s="320"/>
    </row>
    <row r="557">
      <c r="K557" s="320"/>
    </row>
    <row r="558">
      <c r="K558" s="320"/>
    </row>
    <row r="559">
      <c r="K559" s="320"/>
    </row>
    <row r="560">
      <c r="K560" s="320"/>
    </row>
    <row r="561">
      <c r="K561" s="320"/>
    </row>
    <row r="562">
      <c r="K562" s="320"/>
    </row>
    <row r="563">
      <c r="K563" s="320"/>
    </row>
    <row r="564">
      <c r="K564" s="320"/>
    </row>
    <row r="565">
      <c r="K565" s="320"/>
    </row>
    <row r="566">
      <c r="K566" s="320"/>
    </row>
    <row r="567">
      <c r="K567" s="320"/>
    </row>
    <row r="568">
      <c r="K568" s="320"/>
    </row>
    <row r="569">
      <c r="K569" s="320"/>
    </row>
    <row r="570">
      <c r="K570" s="320"/>
    </row>
    <row r="571">
      <c r="K571" s="320"/>
    </row>
    <row r="572">
      <c r="K572" s="320"/>
    </row>
    <row r="573">
      <c r="K573" s="320"/>
    </row>
    <row r="574">
      <c r="K574" s="320"/>
    </row>
    <row r="575">
      <c r="K575" s="320"/>
    </row>
    <row r="576">
      <c r="K576" s="320"/>
    </row>
    <row r="577">
      <c r="K577" s="320"/>
    </row>
    <row r="578">
      <c r="K578" s="320"/>
    </row>
    <row r="579">
      <c r="K579" s="320"/>
    </row>
    <row r="580">
      <c r="K580" s="320"/>
    </row>
    <row r="581">
      <c r="K581" s="320"/>
    </row>
    <row r="582">
      <c r="K582" s="320"/>
    </row>
    <row r="583">
      <c r="K583" s="320"/>
    </row>
    <row r="584">
      <c r="K584" s="320"/>
    </row>
    <row r="585">
      <c r="K585" s="320"/>
    </row>
    <row r="586">
      <c r="K586" s="320"/>
    </row>
    <row r="587">
      <c r="K587" s="320"/>
    </row>
    <row r="588">
      <c r="K588" s="320"/>
    </row>
    <row r="589">
      <c r="K589" s="320"/>
    </row>
    <row r="590">
      <c r="K590" s="320"/>
    </row>
    <row r="591">
      <c r="K591" s="320"/>
    </row>
    <row r="592">
      <c r="K592" s="320"/>
    </row>
    <row r="593">
      <c r="K593" s="320"/>
    </row>
    <row r="594">
      <c r="K594" s="320"/>
    </row>
    <row r="595">
      <c r="K595" s="320"/>
    </row>
    <row r="596">
      <c r="K596" s="320"/>
    </row>
    <row r="597">
      <c r="K597" s="320"/>
    </row>
    <row r="598">
      <c r="K598" s="320"/>
    </row>
    <row r="599">
      <c r="K599" s="320"/>
    </row>
    <row r="600">
      <c r="K600" s="320"/>
    </row>
    <row r="601">
      <c r="K601" s="320"/>
    </row>
    <row r="602">
      <c r="K602" s="320"/>
    </row>
    <row r="603">
      <c r="K603" s="320"/>
    </row>
    <row r="604">
      <c r="K604" s="320"/>
    </row>
    <row r="605">
      <c r="K605" s="320"/>
    </row>
    <row r="606">
      <c r="K606" s="320"/>
    </row>
    <row r="607">
      <c r="K607" s="320"/>
    </row>
    <row r="608">
      <c r="K608" s="320"/>
    </row>
    <row r="609">
      <c r="K609" s="320"/>
    </row>
    <row r="610">
      <c r="K610" s="320"/>
    </row>
    <row r="611">
      <c r="K611" s="320"/>
    </row>
    <row r="612">
      <c r="K612" s="320"/>
    </row>
    <row r="613">
      <c r="K613" s="320"/>
    </row>
    <row r="614">
      <c r="K614" s="320"/>
    </row>
    <row r="615">
      <c r="K615" s="320"/>
    </row>
    <row r="616">
      <c r="K616" s="320"/>
    </row>
    <row r="617">
      <c r="K617" s="320"/>
    </row>
    <row r="618">
      <c r="K618" s="320"/>
    </row>
    <row r="619">
      <c r="K619" s="320"/>
    </row>
    <row r="620">
      <c r="K620" s="320"/>
    </row>
    <row r="621">
      <c r="K621" s="320"/>
    </row>
    <row r="622">
      <c r="K622" s="320"/>
    </row>
    <row r="623">
      <c r="K623" s="320"/>
    </row>
    <row r="624">
      <c r="K624" s="320"/>
    </row>
    <row r="625">
      <c r="K625" s="320"/>
    </row>
    <row r="626">
      <c r="K626" s="320"/>
    </row>
    <row r="627">
      <c r="K627" s="320"/>
    </row>
    <row r="628">
      <c r="K628" s="320"/>
    </row>
    <row r="629">
      <c r="K629" s="320"/>
    </row>
    <row r="630">
      <c r="K630" s="320"/>
    </row>
    <row r="631">
      <c r="K631" s="320"/>
    </row>
    <row r="632">
      <c r="K632" s="320"/>
    </row>
    <row r="633">
      <c r="K633" s="320"/>
    </row>
    <row r="634">
      <c r="K634" s="320"/>
    </row>
    <row r="635">
      <c r="K635" s="320"/>
    </row>
    <row r="636">
      <c r="K636" s="320"/>
    </row>
    <row r="637">
      <c r="K637" s="320"/>
    </row>
    <row r="638">
      <c r="K638" s="320"/>
    </row>
    <row r="639">
      <c r="K639" s="320"/>
    </row>
    <row r="640">
      <c r="K640" s="320"/>
    </row>
    <row r="641">
      <c r="K641" s="320"/>
    </row>
    <row r="642">
      <c r="K642" s="320"/>
    </row>
    <row r="643">
      <c r="K643" s="320"/>
    </row>
    <row r="644">
      <c r="K644" s="320"/>
    </row>
    <row r="645">
      <c r="K645" s="320"/>
    </row>
    <row r="646">
      <c r="K646" s="320"/>
    </row>
    <row r="647">
      <c r="K647" s="320"/>
    </row>
    <row r="648">
      <c r="K648" s="320"/>
    </row>
    <row r="649">
      <c r="K649" s="320"/>
    </row>
    <row r="650">
      <c r="K650" s="320"/>
    </row>
    <row r="651">
      <c r="K651" s="320"/>
    </row>
    <row r="652">
      <c r="K652" s="320"/>
    </row>
    <row r="653">
      <c r="K653" s="320"/>
    </row>
    <row r="654">
      <c r="K654" s="320"/>
    </row>
    <row r="655">
      <c r="K655" s="320"/>
    </row>
    <row r="656">
      <c r="K656" s="320"/>
    </row>
    <row r="657">
      <c r="K657" s="320"/>
    </row>
    <row r="658">
      <c r="K658" s="320"/>
    </row>
    <row r="659">
      <c r="K659" s="320"/>
    </row>
    <row r="660">
      <c r="K660" s="320"/>
    </row>
    <row r="661">
      <c r="K661" s="320"/>
    </row>
    <row r="662">
      <c r="K662" s="320"/>
    </row>
    <row r="663">
      <c r="K663" s="320"/>
    </row>
    <row r="664">
      <c r="K664" s="320"/>
    </row>
    <row r="665">
      <c r="K665" s="320"/>
    </row>
    <row r="666">
      <c r="K666" s="320"/>
    </row>
    <row r="667">
      <c r="K667" s="320"/>
    </row>
    <row r="668">
      <c r="K668" s="320"/>
    </row>
    <row r="669">
      <c r="K669" s="320"/>
    </row>
    <row r="670">
      <c r="K670" s="320"/>
    </row>
    <row r="671">
      <c r="K671" s="320"/>
    </row>
    <row r="672">
      <c r="K672" s="320"/>
    </row>
    <row r="673">
      <c r="K673" s="320"/>
    </row>
    <row r="674">
      <c r="K674" s="320"/>
    </row>
    <row r="675">
      <c r="K675" s="320"/>
    </row>
    <row r="676">
      <c r="K676" s="320"/>
    </row>
    <row r="677">
      <c r="K677" s="320"/>
    </row>
    <row r="678">
      <c r="K678" s="320"/>
    </row>
    <row r="679">
      <c r="K679" s="320"/>
    </row>
    <row r="680">
      <c r="K680" s="320"/>
    </row>
    <row r="681">
      <c r="K681" s="320"/>
    </row>
    <row r="682">
      <c r="K682" s="320"/>
    </row>
    <row r="683">
      <c r="K683" s="320"/>
    </row>
    <row r="684">
      <c r="K684" s="320"/>
    </row>
    <row r="685">
      <c r="K685" s="320"/>
    </row>
    <row r="686">
      <c r="K686" s="320"/>
    </row>
    <row r="687">
      <c r="K687" s="320"/>
    </row>
    <row r="688">
      <c r="K688" s="320"/>
    </row>
    <row r="689">
      <c r="K689" s="320"/>
    </row>
    <row r="690">
      <c r="K690" s="320"/>
    </row>
    <row r="691">
      <c r="K691" s="320"/>
    </row>
    <row r="692">
      <c r="K692" s="320"/>
    </row>
    <row r="693">
      <c r="K693" s="320"/>
    </row>
    <row r="694">
      <c r="K694" s="320"/>
    </row>
    <row r="695">
      <c r="K695" s="320"/>
    </row>
    <row r="696">
      <c r="K696" s="320"/>
    </row>
    <row r="697">
      <c r="K697" s="320"/>
    </row>
    <row r="698">
      <c r="K698" s="320"/>
    </row>
    <row r="699">
      <c r="K699" s="320"/>
    </row>
    <row r="700">
      <c r="K700" s="320"/>
    </row>
    <row r="701">
      <c r="K701" s="320"/>
    </row>
    <row r="702">
      <c r="K702" s="320"/>
    </row>
    <row r="703">
      <c r="K703" s="320"/>
    </row>
    <row r="704">
      <c r="K704" s="320"/>
    </row>
    <row r="705">
      <c r="K705" s="320"/>
    </row>
    <row r="706">
      <c r="K706" s="320"/>
    </row>
    <row r="707">
      <c r="K707" s="320"/>
    </row>
    <row r="708">
      <c r="K708" s="320"/>
    </row>
    <row r="709">
      <c r="K709" s="320"/>
    </row>
    <row r="710">
      <c r="K710" s="320"/>
    </row>
    <row r="711">
      <c r="K711" s="320"/>
    </row>
    <row r="712">
      <c r="K712" s="320"/>
    </row>
    <row r="713">
      <c r="K713" s="320"/>
    </row>
    <row r="714">
      <c r="K714" s="320"/>
    </row>
    <row r="715">
      <c r="K715" s="320"/>
    </row>
    <row r="716">
      <c r="K716" s="320"/>
    </row>
    <row r="717">
      <c r="K717" s="320"/>
    </row>
    <row r="718">
      <c r="K718" s="320"/>
    </row>
    <row r="719">
      <c r="K719" s="320"/>
    </row>
    <row r="720">
      <c r="K720" s="320"/>
    </row>
    <row r="721">
      <c r="K721" s="320"/>
    </row>
    <row r="722">
      <c r="K722" s="320"/>
    </row>
    <row r="723">
      <c r="K723" s="320"/>
    </row>
    <row r="724">
      <c r="K724" s="320"/>
    </row>
    <row r="725">
      <c r="K725" s="320"/>
    </row>
    <row r="726">
      <c r="K726" s="320"/>
    </row>
    <row r="727">
      <c r="K727" s="320"/>
    </row>
    <row r="728">
      <c r="K728" s="320"/>
    </row>
    <row r="729">
      <c r="K729" s="320"/>
    </row>
    <row r="730">
      <c r="K730" s="320"/>
    </row>
    <row r="731">
      <c r="K731" s="320"/>
    </row>
    <row r="732">
      <c r="K732" s="320"/>
    </row>
    <row r="733">
      <c r="K733" s="320"/>
    </row>
    <row r="734">
      <c r="K734" s="320"/>
    </row>
    <row r="735">
      <c r="K735" s="320"/>
    </row>
    <row r="736">
      <c r="K736" s="320"/>
    </row>
    <row r="737">
      <c r="K737" s="320"/>
    </row>
    <row r="738">
      <c r="K738" s="320"/>
    </row>
    <row r="739">
      <c r="K739" s="320"/>
    </row>
    <row r="740">
      <c r="K740" s="320"/>
    </row>
    <row r="741">
      <c r="K741" s="320"/>
    </row>
    <row r="742">
      <c r="K742" s="320"/>
    </row>
    <row r="743">
      <c r="K743" s="320"/>
    </row>
    <row r="744">
      <c r="K744" s="320"/>
    </row>
    <row r="745">
      <c r="K745" s="320"/>
    </row>
    <row r="746">
      <c r="K746" s="320"/>
    </row>
    <row r="747">
      <c r="K747" s="320"/>
    </row>
    <row r="748">
      <c r="K748" s="320"/>
    </row>
    <row r="749">
      <c r="K749" s="320"/>
    </row>
    <row r="750">
      <c r="K750" s="320"/>
    </row>
    <row r="751">
      <c r="K751" s="320"/>
    </row>
    <row r="752">
      <c r="K752" s="320"/>
    </row>
    <row r="753">
      <c r="K753" s="320"/>
    </row>
    <row r="754">
      <c r="K754" s="320"/>
    </row>
    <row r="755">
      <c r="K755" s="320"/>
    </row>
    <row r="756">
      <c r="K756" s="320"/>
    </row>
    <row r="757">
      <c r="K757" s="320"/>
    </row>
    <row r="758">
      <c r="K758" s="320"/>
    </row>
    <row r="759">
      <c r="K759" s="320"/>
    </row>
    <row r="760">
      <c r="K760" s="320"/>
    </row>
    <row r="761">
      <c r="K761" s="320"/>
    </row>
    <row r="762">
      <c r="K762" s="320"/>
    </row>
    <row r="763">
      <c r="K763" s="320"/>
    </row>
    <row r="764">
      <c r="K764" s="320"/>
    </row>
    <row r="765">
      <c r="K765" s="320"/>
    </row>
    <row r="766">
      <c r="K766" s="320"/>
    </row>
    <row r="767">
      <c r="K767" s="320"/>
    </row>
    <row r="768">
      <c r="K768" s="320"/>
    </row>
    <row r="769">
      <c r="K769" s="320"/>
    </row>
    <row r="770">
      <c r="K770" s="320"/>
    </row>
    <row r="771">
      <c r="K771" s="320"/>
    </row>
    <row r="772">
      <c r="K772" s="320"/>
    </row>
    <row r="773">
      <c r="K773" s="320"/>
    </row>
    <row r="774">
      <c r="K774" s="320"/>
    </row>
    <row r="775">
      <c r="K775" s="320"/>
    </row>
    <row r="776">
      <c r="K776" s="320"/>
    </row>
    <row r="777">
      <c r="K777" s="320"/>
    </row>
    <row r="778">
      <c r="K778" s="320"/>
    </row>
    <row r="779">
      <c r="K779" s="320"/>
    </row>
    <row r="780">
      <c r="K780" s="320"/>
    </row>
    <row r="781">
      <c r="K781" s="320"/>
    </row>
    <row r="782">
      <c r="K782" s="320"/>
    </row>
    <row r="783">
      <c r="K783" s="320"/>
    </row>
    <row r="784">
      <c r="K784" s="320"/>
    </row>
    <row r="785">
      <c r="K785" s="320"/>
    </row>
    <row r="786">
      <c r="K786" s="320"/>
    </row>
    <row r="787">
      <c r="K787" s="320"/>
    </row>
    <row r="788">
      <c r="K788" s="320"/>
    </row>
    <row r="789">
      <c r="K789" s="320"/>
    </row>
    <row r="790">
      <c r="K790" s="320"/>
    </row>
    <row r="791">
      <c r="K791" s="320"/>
    </row>
    <row r="792">
      <c r="K792" s="320"/>
    </row>
    <row r="793">
      <c r="K793" s="320"/>
    </row>
    <row r="794">
      <c r="K794" s="320"/>
    </row>
    <row r="795">
      <c r="K795" s="320"/>
    </row>
    <row r="796">
      <c r="K796" s="320"/>
    </row>
    <row r="797">
      <c r="K797" s="320"/>
    </row>
    <row r="798">
      <c r="K798" s="320"/>
    </row>
    <row r="799">
      <c r="K799" s="320"/>
    </row>
    <row r="800">
      <c r="K800" s="320"/>
    </row>
    <row r="801">
      <c r="K801" s="320"/>
    </row>
    <row r="802">
      <c r="K802" s="320"/>
    </row>
    <row r="803">
      <c r="K803" s="320"/>
    </row>
    <row r="804">
      <c r="K804" s="320"/>
    </row>
    <row r="805">
      <c r="K805" s="320"/>
    </row>
    <row r="806">
      <c r="K806" s="320"/>
    </row>
    <row r="807">
      <c r="K807" s="320"/>
    </row>
    <row r="808">
      <c r="K808" s="320"/>
    </row>
    <row r="809">
      <c r="K809" s="320"/>
    </row>
    <row r="810">
      <c r="K810" s="320"/>
    </row>
    <row r="811">
      <c r="K811" s="320"/>
    </row>
    <row r="812">
      <c r="K812" s="320"/>
    </row>
    <row r="813">
      <c r="K813" s="320"/>
    </row>
    <row r="814">
      <c r="K814" s="320"/>
    </row>
    <row r="815">
      <c r="K815" s="320"/>
    </row>
    <row r="816">
      <c r="K816" s="320"/>
    </row>
    <row r="817">
      <c r="K817" s="320"/>
    </row>
    <row r="818">
      <c r="K818" s="320"/>
    </row>
    <row r="819">
      <c r="K819" s="320"/>
    </row>
    <row r="820">
      <c r="K820" s="320"/>
    </row>
    <row r="821">
      <c r="K821" s="320"/>
    </row>
    <row r="822">
      <c r="K822" s="320"/>
    </row>
    <row r="823">
      <c r="K823" s="320"/>
    </row>
    <row r="824">
      <c r="K824" s="320"/>
    </row>
    <row r="825">
      <c r="K825" s="320"/>
    </row>
    <row r="826">
      <c r="K826" s="320"/>
    </row>
    <row r="827">
      <c r="K827" s="320"/>
    </row>
    <row r="828">
      <c r="K828" s="320"/>
    </row>
    <row r="829">
      <c r="K829" s="320"/>
    </row>
    <row r="830">
      <c r="K830" s="320"/>
    </row>
    <row r="831">
      <c r="K831" s="320"/>
    </row>
    <row r="832">
      <c r="K832" s="320"/>
    </row>
    <row r="833">
      <c r="K833" s="320"/>
    </row>
    <row r="834">
      <c r="K834" s="320"/>
    </row>
    <row r="835">
      <c r="K835" s="320"/>
    </row>
    <row r="836">
      <c r="K836" s="320"/>
    </row>
    <row r="837">
      <c r="K837" s="320"/>
    </row>
    <row r="838">
      <c r="K838" s="320"/>
    </row>
    <row r="839">
      <c r="K839" s="320"/>
    </row>
    <row r="840">
      <c r="K840" s="320"/>
    </row>
    <row r="841">
      <c r="K841" s="320"/>
    </row>
    <row r="842">
      <c r="K842" s="320"/>
    </row>
    <row r="843">
      <c r="K843" s="320"/>
    </row>
    <row r="844">
      <c r="K844" s="320"/>
    </row>
    <row r="845">
      <c r="K845" s="320"/>
    </row>
    <row r="846">
      <c r="K846" s="320"/>
    </row>
    <row r="847">
      <c r="K847" s="320"/>
    </row>
    <row r="848">
      <c r="K848" s="320"/>
    </row>
    <row r="849">
      <c r="K849" s="320"/>
    </row>
    <row r="850">
      <c r="K850" s="320"/>
    </row>
    <row r="851">
      <c r="K851" s="320"/>
    </row>
    <row r="852">
      <c r="K852" s="320"/>
    </row>
    <row r="853">
      <c r="K853" s="320"/>
    </row>
    <row r="854">
      <c r="K854" s="320"/>
    </row>
    <row r="855">
      <c r="K855" s="320"/>
    </row>
    <row r="856">
      <c r="K856" s="320"/>
    </row>
    <row r="857">
      <c r="K857" s="320"/>
    </row>
    <row r="858">
      <c r="K858" s="320"/>
    </row>
    <row r="859">
      <c r="K859" s="320"/>
    </row>
    <row r="860">
      <c r="K860" s="320"/>
    </row>
    <row r="861">
      <c r="K861" s="320"/>
    </row>
    <row r="862">
      <c r="K862" s="320"/>
    </row>
    <row r="863">
      <c r="K863" s="320"/>
    </row>
    <row r="864">
      <c r="K864" s="320"/>
    </row>
    <row r="865">
      <c r="K865" s="320"/>
    </row>
    <row r="866">
      <c r="K866" s="320"/>
    </row>
    <row r="867">
      <c r="K867" s="320"/>
    </row>
    <row r="868">
      <c r="K868" s="320"/>
    </row>
    <row r="869">
      <c r="K869" s="320"/>
    </row>
    <row r="870">
      <c r="K870" s="320"/>
    </row>
    <row r="871">
      <c r="K871" s="320"/>
    </row>
    <row r="872">
      <c r="K872" s="320"/>
    </row>
    <row r="873">
      <c r="K873" s="320"/>
    </row>
    <row r="874">
      <c r="K874" s="320"/>
    </row>
    <row r="875">
      <c r="K875" s="320"/>
    </row>
    <row r="876">
      <c r="K876" s="320"/>
    </row>
    <row r="877">
      <c r="K877" s="320"/>
    </row>
    <row r="878">
      <c r="K878" s="320"/>
    </row>
    <row r="879">
      <c r="K879" s="320"/>
    </row>
    <row r="880">
      <c r="K880" s="320"/>
    </row>
    <row r="881">
      <c r="K881" s="320"/>
    </row>
    <row r="882">
      <c r="K882" s="320"/>
    </row>
    <row r="883">
      <c r="K883" s="320"/>
    </row>
    <row r="884">
      <c r="K884" s="320"/>
    </row>
    <row r="885">
      <c r="K885" s="320"/>
    </row>
    <row r="886">
      <c r="K886" s="320"/>
    </row>
    <row r="887">
      <c r="K887" s="320"/>
    </row>
    <row r="888">
      <c r="K888" s="320"/>
    </row>
    <row r="889">
      <c r="K889" s="320"/>
    </row>
    <row r="890">
      <c r="K890" s="320"/>
    </row>
    <row r="891">
      <c r="K891" s="320"/>
    </row>
    <row r="892">
      <c r="K892" s="320"/>
    </row>
    <row r="893">
      <c r="K893" s="320"/>
    </row>
    <row r="894">
      <c r="K894" s="320"/>
    </row>
    <row r="895">
      <c r="K895" s="320"/>
    </row>
    <row r="896">
      <c r="K896" s="320"/>
    </row>
    <row r="897">
      <c r="K897" s="320"/>
    </row>
    <row r="898">
      <c r="K898" s="320"/>
    </row>
    <row r="899">
      <c r="K899" s="320"/>
    </row>
    <row r="900">
      <c r="K900" s="320"/>
    </row>
    <row r="901">
      <c r="K901" s="320"/>
    </row>
    <row r="902">
      <c r="K902" s="320"/>
    </row>
    <row r="903">
      <c r="K903" s="320"/>
    </row>
    <row r="904">
      <c r="K904" s="320"/>
    </row>
    <row r="905">
      <c r="K905" s="320"/>
    </row>
    <row r="906">
      <c r="K906" s="320"/>
    </row>
    <row r="907">
      <c r="K907" s="320"/>
    </row>
    <row r="908">
      <c r="K908" s="320"/>
    </row>
    <row r="909">
      <c r="K909" s="320"/>
    </row>
    <row r="910">
      <c r="K910" s="320"/>
    </row>
    <row r="911">
      <c r="K911" s="320"/>
    </row>
    <row r="912">
      <c r="K912" s="320"/>
    </row>
    <row r="913">
      <c r="K913" s="320"/>
    </row>
    <row r="914">
      <c r="K914" s="320"/>
    </row>
    <row r="915">
      <c r="K915" s="320"/>
    </row>
    <row r="916">
      <c r="K916" s="320"/>
    </row>
    <row r="917">
      <c r="K917" s="320"/>
    </row>
    <row r="918">
      <c r="K918" s="320"/>
    </row>
    <row r="919">
      <c r="K919" s="320"/>
    </row>
    <row r="920">
      <c r="K920" s="320"/>
    </row>
    <row r="921">
      <c r="K921" s="320"/>
    </row>
    <row r="922">
      <c r="K922" s="320"/>
    </row>
    <row r="923">
      <c r="K923" s="320"/>
    </row>
    <row r="924">
      <c r="K924" s="320"/>
    </row>
    <row r="925">
      <c r="K925" s="320"/>
    </row>
    <row r="926">
      <c r="K926" s="320"/>
    </row>
    <row r="927">
      <c r="K927" s="320"/>
    </row>
    <row r="928">
      <c r="K928" s="320"/>
    </row>
    <row r="929">
      <c r="K929" s="320"/>
    </row>
    <row r="930">
      <c r="K930" s="320"/>
    </row>
    <row r="931">
      <c r="K931" s="320"/>
    </row>
    <row r="932">
      <c r="K932" s="320"/>
    </row>
    <row r="933">
      <c r="K933" s="320"/>
    </row>
    <row r="934">
      <c r="K934" s="320"/>
    </row>
    <row r="935">
      <c r="K935" s="320"/>
    </row>
    <row r="936">
      <c r="K936" s="320"/>
    </row>
    <row r="937">
      <c r="K937" s="320"/>
    </row>
    <row r="938">
      <c r="K938" s="320"/>
    </row>
    <row r="939">
      <c r="K939" s="320"/>
    </row>
    <row r="940">
      <c r="K940" s="320"/>
    </row>
    <row r="941">
      <c r="K941" s="320"/>
    </row>
    <row r="942">
      <c r="K942" s="320"/>
    </row>
    <row r="943">
      <c r="K943" s="320"/>
    </row>
    <row r="944">
      <c r="K944" s="320"/>
    </row>
    <row r="945">
      <c r="K945" s="320"/>
    </row>
    <row r="946">
      <c r="K946" s="320"/>
    </row>
    <row r="947">
      <c r="K947" s="320"/>
    </row>
    <row r="948">
      <c r="K948" s="320"/>
    </row>
    <row r="949">
      <c r="K949" s="320"/>
    </row>
    <row r="950">
      <c r="K950" s="320"/>
    </row>
    <row r="951">
      <c r="K951" s="320"/>
    </row>
    <row r="952">
      <c r="K952" s="320"/>
    </row>
    <row r="953">
      <c r="K953" s="320"/>
    </row>
    <row r="954">
      <c r="K954" s="320"/>
    </row>
    <row r="955">
      <c r="K955" s="320"/>
    </row>
    <row r="956">
      <c r="K956" s="320"/>
    </row>
    <row r="957">
      <c r="K957" s="320"/>
    </row>
    <row r="958">
      <c r="K958" s="320"/>
    </row>
    <row r="959">
      <c r="K959" s="320"/>
    </row>
    <row r="960">
      <c r="K960" s="320"/>
    </row>
    <row r="961">
      <c r="K961" s="320"/>
    </row>
    <row r="962">
      <c r="K962" s="320"/>
    </row>
    <row r="963">
      <c r="K963" s="320"/>
    </row>
    <row r="964">
      <c r="K964" s="320"/>
    </row>
    <row r="965">
      <c r="K965" s="320"/>
    </row>
    <row r="966">
      <c r="K966" s="320"/>
    </row>
    <row r="967">
      <c r="K967" s="320"/>
    </row>
    <row r="968">
      <c r="K968" s="320"/>
    </row>
    <row r="969">
      <c r="K969" s="320"/>
    </row>
    <row r="970">
      <c r="K970" s="320"/>
    </row>
    <row r="971">
      <c r="K971" s="320"/>
    </row>
    <row r="972">
      <c r="K972" s="320"/>
    </row>
    <row r="973">
      <c r="K973" s="320"/>
    </row>
    <row r="974">
      <c r="K974" s="320"/>
    </row>
    <row r="975">
      <c r="K975" s="320"/>
    </row>
    <row r="976">
      <c r="K976" s="320"/>
    </row>
    <row r="977">
      <c r="K977" s="320"/>
    </row>
    <row r="978">
      <c r="K978" s="320"/>
    </row>
    <row r="979">
      <c r="K979" s="320"/>
    </row>
    <row r="980">
      <c r="K980" s="320"/>
    </row>
    <row r="981">
      <c r="K981" s="320"/>
    </row>
    <row r="982">
      <c r="K982" s="320"/>
    </row>
    <row r="983">
      <c r="K983" s="320"/>
    </row>
    <row r="984">
      <c r="K984" s="320"/>
    </row>
    <row r="985">
      <c r="K985" s="320"/>
    </row>
    <row r="986">
      <c r="K986" s="320"/>
    </row>
    <row r="987">
      <c r="K987" s="320"/>
    </row>
    <row r="988">
      <c r="K988" s="320"/>
    </row>
    <row r="989">
      <c r="K989" s="320"/>
    </row>
    <row r="990">
      <c r="K990" s="320"/>
    </row>
    <row r="991">
      <c r="K991" s="320"/>
    </row>
    <row r="992">
      <c r="K992" s="320"/>
    </row>
    <row r="993">
      <c r="K993" s="320"/>
    </row>
    <row r="994">
      <c r="K994" s="320"/>
    </row>
    <row r="995">
      <c r="K995" s="320"/>
    </row>
    <row r="996">
      <c r="K996" s="320"/>
    </row>
    <row r="997">
      <c r="K997" s="320"/>
    </row>
    <row r="998">
      <c r="K998" s="320"/>
    </row>
    <row r="999">
      <c r="K999" s="320"/>
    </row>
    <row r="1000">
      <c r="K1000" s="320"/>
    </row>
  </sheetData>
  <autoFilter ref="$A$1:$D$146">
    <sortState ref="A1:D146">
      <sortCondition descending="1" ref="D1:D146"/>
      <sortCondition descending="1" ref="C1:C146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26.25"/>
    <col customWidth="1" min="9" max="9" width="17.0"/>
  </cols>
  <sheetData>
    <row r="1">
      <c r="A1" s="322"/>
      <c r="B1" s="323"/>
      <c r="C1" s="323"/>
      <c r="D1" s="323"/>
      <c r="E1" s="323"/>
      <c r="F1" s="323"/>
      <c r="G1" s="323"/>
      <c r="H1" s="324"/>
      <c r="I1" s="323"/>
      <c r="J1" s="324"/>
      <c r="K1" s="323"/>
      <c r="L1" s="323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>
      <c r="A2" s="171"/>
      <c r="B2" s="325" t="s">
        <v>638</v>
      </c>
      <c r="C2" s="326"/>
      <c r="D2" s="326"/>
      <c r="E2" s="326"/>
      <c r="F2" s="326"/>
      <c r="G2" s="327"/>
      <c r="H2" s="178"/>
      <c r="I2" s="171"/>
      <c r="J2" s="178"/>
      <c r="K2" s="171"/>
      <c r="L2" s="171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>
      <c r="A3" s="171"/>
      <c r="B3" s="171"/>
      <c r="C3" s="171"/>
      <c r="D3" s="171"/>
      <c r="E3" s="171"/>
      <c r="F3" s="171"/>
      <c r="G3" s="178"/>
      <c r="H3" s="178"/>
      <c r="I3" s="171"/>
      <c r="J3" s="178"/>
      <c r="K3" s="171"/>
      <c r="L3" s="171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</row>
    <row r="4">
      <c r="A4" s="171"/>
      <c r="B4" s="328" t="s">
        <v>639</v>
      </c>
      <c r="C4" s="329">
        <v>0.1</v>
      </c>
      <c r="D4" s="171"/>
      <c r="E4" s="171"/>
      <c r="F4" s="171"/>
      <c r="G4" s="178"/>
      <c r="H4" s="178"/>
      <c r="I4" s="171"/>
      <c r="J4" s="178"/>
      <c r="K4" s="171"/>
      <c r="L4" s="171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</row>
    <row r="5">
      <c r="A5" s="330"/>
      <c r="B5" s="328" t="s">
        <v>327</v>
      </c>
      <c r="C5" s="331">
        <v>0.1</v>
      </c>
      <c r="D5" s="171"/>
      <c r="E5" s="171"/>
      <c r="F5" s="171"/>
      <c r="G5" s="171"/>
      <c r="H5" s="178"/>
      <c r="I5" s="178"/>
      <c r="J5" s="171"/>
      <c r="K5" s="171"/>
      <c r="L5" s="171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</row>
    <row r="6">
      <c r="A6" s="330"/>
      <c r="B6" s="330"/>
      <c r="C6" s="178"/>
      <c r="D6" s="178"/>
      <c r="E6" s="178"/>
      <c r="F6" s="178"/>
      <c r="G6" s="178"/>
      <c r="H6" s="178"/>
      <c r="I6" s="332"/>
      <c r="J6" s="178"/>
      <c r="K6" s="178"/>
      <c r="L6" s="171"/>
      <c r="M6" s="171"/>
      <c r="N6" s="171"/>
      <c r="O6" s="171"/>
      <c r="P6" s="178"/>
      <c r="Q6" s="332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</row>
    <row r="7">
      <c r="A7" s="178"/>
      <c r="B7" s="333"/>
      <c r="C7" s="334" t="s">
        <v>640</v>
      </c>
      <c r="D7" s="335" t="s">
        <v>641</v>
      </c>
      <c r="E7" s="335" t="s">
        <v>642</v>
      </c>
      <c r="F7" s="335" t="s">
        <v>643</v>
      </c>
      <c r="G7" s="335" t="s">
        <v>215</v>
      </c>
      <c r="H7" s="335" t="s">
        <v>330</v>
      </c>
      <c r="I7" s="336" t="s">
        <v>644</v>
      </c>
      <c r="J7" s="178"/>
      <c r="K7" s="171"/>
      <c r="L7" s="171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</row>
    <row r="8">
      <c r="A8" s="178"/>
      <c r="B8" s="337" t="s">
        <v>645</v>
      </c>
      <c r="C8" s="338"/>
      <c r="D8" s="338"/>
      <c r="E8" s="338"/>
      <c r="F8" s="338"/>
      <c r="G8" s="338"/>
      <c r="H8" s="338"/>
      <c r="I8" s="339"/>
      <c r="J8" s="178"/>
      <c r="K8" s="171"/>
      <c r="L8" s="171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</row>
    <row r="9">
      <c r="A9" s="178"/>
      <c r="B9" s="340"/>
      <c r="C9" s="341">
        <f t="shared" ref="C9:C10" si="1">SUM($C$4+E9)</f>
        <v>0.1</v>
      </c>
      <c r="D9" s="342"/>
      <c r="E9" s="178"/>
      <c r="F9" s="324"/>
      <c r="G9" s="341">
        <f t="shared" ref="G9:G18" si="2">F9/1.21</f>
        <v>0</v>
      </c>
      <c r="H9" s="341">
        <f t="shared" ref="H9:H18" si="3">G9-C9</f>
        <v>-0.1</v>
      </c>
      <c r="I9" s="343" t="str">
        <f t="shared" ref="I9:I18" si="4">1-(H9/G9)</f>
        <v>#DIV/0!</v>
      </c>
      <c r="J9" s="178"/>
      <c r="K9" s="171"/>
      <c r="L9" s="171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</row>
    <row r="10">
      <c r="A10" s="178"/>
      <c r="B10" s="344"/>
      <c r="C10" s="341">
        <f t="shared" si="1"/>
        <v>0.1</v>
      </c>
      <c r="D10" s="342"/>
      <c r="E10" s="178"/>
      <c r="F10" s="324"/>
      <c r="G10" s="341">
        <f t="shared" si="2"/>
        <v>0</v>
      </c>
      <c r="H10" s="341">
        <f t="shared" si="3"/>
        <v>-0.1</v>
      </c>
      <c r="I10" s="343" t="str">
        <f t="shared" si="4"/>
        <v>#DIV/0!</v>
      </c>
      <c r="J10" s="178"/>
      <c r="K10" s="171"/>
      <c r="L10" s="171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</row>
    <row r="11">
      <c r="A11" s="178"/>
      <c r="B11" s="344"/>
      <c r="C11" s="341">
        <v>0.1</v>
      </c>
      <c r="D11" s="342"/>
      <c r="E11" s="178"/>
      <c r="F11" s="324"/>
      <c r="G11" s="341">
        <f t="shared" si="2"/>
        <v>0</v>
      </c>
      <c r="H11" s="341">
        <f t="shared" si="3"/>
        <v>-0.1</v>
      </c>
      <c r="I11" s="343" t="str">
        <f t="shared" si="4"/>
        <v>#DIV/0!</v>
      </c>
      <c r="J11" s="178"/>
      <c r="K11" s="171"/>
      <c r="L11" s="171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</row>
    <row r="12">
      <c r="A12" s="178"/>
      <c r="B12" s="344"/>
      <c r="C12" s="341">
        <f t="shared" ref="C12:C33" si="5">SUM($C$4+E12)</f>
        <v>0.1</v>
      </c>
      <c r="D12" s="342"/>
      <c r="E12" s="178"/>
      <c r="F12" s="324"/>
      <c r="G12" s="341">
        <f t="shared" si="2"/>
        <v>0</v>
      </c>
      <c r="H12" s="341">
        <f t="shared" si="3"/>
        <v>-0.1</v>
      </c>
      <c r="I12" s="343" t="str">
        <f t="shared" si="4"/>
        <v>#DIV/0!</v>
      </c>
      <c r="J12" s="178"/>
      <c r="K12" s="171"/>
      <c r="L12" s="171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</row>
    <row r="13">
      <c r="A13" s="178"/>
      <c r="B13" s="344"/>
      <c r="C13" s="341">
        <f t="shared" si="5"/>
        <v>0.1</v>
      </c>
      <c r="D13" s="342"/>
      <c r="E13" s="178"/>
      <c r="F13" s="324"/>
      <c r="G13" s="341">
        <f t="shared" si="2"/>
        <v>0</v>
      </c>
      <c r="H13" s="341">
        <f t="shared" si="3"/>
        <v>-0.1</v>
      </c>
      <c r="I13" s="343" t="str">
        <f t="shared" si="4"/>
        <v>#DIV/0!</v>
      </c>
      <c r="J13" s="178"/>
      <c r="K13" s="171"/>
      <c r="L13" s="171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</row>
    <row r="14">
      <c r="A14" s="178"/>
      <c r="B14" s="344"/>
      <c r="C14" s="341">
        <f t="shared" si="5"/>
        <v>0.1</v>
      </c>
      <c r="D14" s="342"/>
      <c r="E14" s="178"/>
      <c r="F14" s="324"/>
      <c r="G14" s="341">
        <f t="shared" si="2"/>
        <v>0</v>
      </c>
      <c r="H14" s="341">
        <f t="shared" si="3"/>
        <v>-0.1</v>
      </c>
      <c r="I14" s="343" t="str">
        <f t="shared" si="4"/>
        <v>#DIV/0!</v>
      </c>
      <c r="J14" s="178"/>
      <c r="K14" s="171"/>
      <c r="L14" s="171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</row>
    <row r="15">
      <c r="A15" s="178"/>
      <c r="B15" s="344"/>
      <c r="C15" s="341">
        <f t="shared" si="5"/>
        <v>0.1</v>
      </c>
      <c r="D15" s="342"/>
      <c r="E15" s="178"/>
      <c r="F15" s="324"/>
      <c r="G15" s="341">
        <f t="shared" si="2"/>
        <v>0</v>
      </c>
      <c r="H15" s="341">
        <f t="shared" si="3"/>
        <v>-0.1</v>
      </c>
      <c r="I15" s="343" t="str">
        <f t="shared" si="4"/>
        <v>#DIV/0!</v>
      </c>
      <c r="J15" s="178"/>
      <c r="K15" s="171"/>
      <c r="L15" s="171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</row>
    <row r="16">
      <c r="A16" s="178"/>
      <c r="B16" s="344"/>
      <c r="C16" s="341">
        <f t="shared" si="5"/>
        <v>0.1</v>
      </c>
      <c r="D16" s="342"/>
      <c r="E16" s="178"/>
      <c r="F16" s="324"/>
      <c r="G16" s="341">
        <f t="shared" si="2"/>
        <v>0</v>
      </c>
      <c r="H16" s="341">
        <f t="shared" si="3"/>
        <v>-0.1</v>
      </c>
      <c r="I16" s="343" t="str">
        <f t="shared" si="4"/>
        <v>#DIV/0!</v>
      </c>
      <c r="J16" s="178"/>
      <c r="K16" s="171"/>
      <c r="L16" s="171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</row>
    <row r="17">
      <c r="A17" s="178"/>
      <c r="B17" s="344"/>
      <c r="C17" s="341">
        <f t="shared" si="5"/>
        <v>0.1</v>
      </c>
      <c r="D17" s="342"/>
      <c r="E17" s="178"/>
      <c r="F17" s="324"/>
      <c r="G17" s="341">
        <f t="shared" si="2"/>
        <v>0</v>
      </c>
      <c r="H17" s="341">
        <f t="shared" si="3"/>
        <v>-0.1</v>
      </c>
      <c r="I17" s="343" t="str">
        <f t="shared" si="4"/>
        <v>#DIV/0!</v>
      </c>
      <c r="J17" s="178"/>
      <c r="K17" s="171"/>
      <c r="L17" s="171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</row>
    <row r="18">
      <c r="A18" s="178"/>
      <c r="B18" s="345"/>
      <c r="C18" s="341">
        <f t="shared" si="5"/>
        <v>0.1</v>
      </c>
      <c r="D18" s="342"/>
      <c r="E18" s="178"/>
      <c r="F18" s="324"/>
      <c r="G18" s="341">
        <f t="shared" si="2"/>
        <v>0</v>
      </c>
      <c r="H18" s="341">
        <f t="shared" si="3"/>
        <v>-0.1</v>
      </c>
      <c r="I18" s="343" t="str">
        <f t="shared" si="4"/>
        <v>#DIV/0!</v>
      </c>
      <c r="J18" s="178"/>
      <c r="K18" s="171"/>
      <c r="L18" s="171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</row>
    <row r="19">
      <c r="A19" s="178"/>
      <c r="B19" s="337" t="s">
        <v>646</v>
      </c>
      <c r="C19" s="341">
        <f t="shared" si="5"/>
        <v>0.1</v>
      </c>
      <c r="D19" s="346"/>
      <c r="E19" s="338"/>
      <c r="F19" s="338"/>
      <c r="G19" s="338"/>
      <c r="H19" s="338"/>
      <c r="I19" s="339"/>
      <c r="J19" s="178"/>
      <c r="K19" s="171"/>
      <c r="L19" s="171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</row>
    <row r="20">
      <c r="A20" s="178"/>
      <c r="B20" s="340" t="str">
        <f>'Base de datos'!C102</f>
        <v>LATA AQUARIOUS LIMON</v>
      </c>
      <c r="C20" s="341">
        <f t="shared" si="5"/>
        <v>0.8279166667</v>
      </c>
      <c r="D20" s="342"/>
      <c r="E20" s="178">
        <f>'Base de datos'!H102</f>
        <v>0.7279166667</v>
      </c>
      <c r="F20" s="193">
        <v>1.6</v>
      </c>
      <c r="G20" s="341">
        <f t="shared" ref="G20:G29" si="6">F20/1.21</f>
        <v>1.32231405</v>
      </c>
      <c r="H20" s="341">
        <f t="shared" ref="H20:H33" si="7">G20-C20</f>
        <v>0.4943973829</v>
      </c>
      <c r="I20" s="343">
        <f t="shared" ref="I20:I33" si="8">1-(H20/G20)</f>
        <v>0.6261119792</v>
      </c>
      <c r="J20" s="178"/>
      <c r="K20" s="171"/>
      <c r="L20" s="171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</row>
    <row r="21">
      <c r="A21" s="178"/>
      <c r="B21" s="340" t="str">
        <f>'Base de datos'!C103</f>
        <v>LATA AQUARIOUS NARANJA</v>
      </c>
      <c r="C21" s="341">
        <f t="shared" si="5"/>
        <v>0.8279166667</v>
      </c>
      <c r="D21" s="347"/>
      <c r="E21" s="178">
        <f>'Base de datos'!H103</f>
        <v>0.7279166667</v>
      </c>
      <c r="F21" s="193">
        <v>1.6</v>
      </c>
      <c r="G21" s="341">
        <f t="shared" si="6"/>
        <v>1.32231405</v>
      </c>
      <c r="H21" s="341">
        <f t="shared" si="7"/>
        <v>0.4943973829</v>
      </c>
      <c r="I21" s="343">
        <f t="shared" si="8"/>
        <v>0.6261119792</v>
      </c>
      <c r="J21" s="178"/>
      <c r="K21" s="171"/>
      <c r="L21" s="171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</row>
    <row r="22">
      <c r="A22" s="178"/>
      <c r="B22" s="340" t="str">
        <f>'Base de datos'!C104</f>
        <v>LATA COCACOLA</v>
      </c>
      <c r="C22" s="341">
        <f t="shared" si="5"/>
        <v>0.71375</v>
      </c>
      <c r="D22" s="342"/>
      <c r="E22" s="178">
        <f>'Base de datos'!H104</f>
        <v>0.61375</v>
      </c>
      <c r="F22" s="193">
        <v>1.5</v>
      </c>
      <c r="G22" s="341">
        <f t="shared" si="6"/>
        <v>1.239669421</v>
      </c>
      <c r="H22" s="341">
        <f t="shared" si="7"/>
        <v>0.5259194215</v>
      </c>
      <c r="I22" s="343">
        <f t="shared" si="8"/>
        <v>0.5757583333</v>
      </c>
      <c r="J22" s="178"/>
      <c r="K22" s="171"/>
      <c r="L22" s="171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</row>
    <row r="23">
      <c r="A23" s="178"/>
      <c r="B23" s="340" t="str">
        <f>'Base de datos'!C105</f>
        <v>LATA COCACOLA ZERO</v>
      </c>
      <c r="C23" s="341">
        <f t="shared" si="5"/>
        <v>0.71375</v>
      </c>
      <c r="D23" s="342"/>
      <c r="E23" s="178">
        <f>'Base de datos'!H105</f>
        <v>0.61375</v>
      </c>
      <c r="F23" s="193">
        <v>1.5</v>
      </c>
      <c r="G23" s="341">
        <f t="shared" si="6"/>
        <v>1.239669421</v>
      </c>
      <c r="H23" s="341">
        <f t="shared" si="7"/>
        <v>0.5259194215</v>
      </c>
      <c r="I23" s="343">
        <f t="shared" si="8"/>
        <v>0.5757583333</v>
      </c>
      <c r="J23" s="178"/>
      <c r="K23" s="171"/>
      <c r="L23" s="171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</row>
    <row r="24">
      <c r="A24" s="178"/>
      <c r="B24" s="340" t="str">
        <f>'Base de datos'!C106</f>
        <v>LATA COLACOLA ZERO ZERO</v>
      </c>
      <c r="C24" s="341">
        <f t="shared" si="5"/>
        <v>0.71375</v>
      </c>
      <c r="D24" s="342"/>
      <c r="E24" s="178">
        <f>'Base de datos'!H106</f>
        <v>0.61375</v>
      </c>
      <c r="F24" s="193">
        <v>1.5</v>
      </c>
      <c r="G24" s="341">
        <f t="shared" si="6"/>
        <v>1.239669421</v>
      </c>
      <c r="H24" s="341">
        <f t="shared" si="7"/>
        <v>0.5259194215</v>
      </c>
      <c r="I24" s="343">
        <f t="shared" si="8"/>
        <v>0.5757583333</v>
      </c>
      <c r="J24" s="178"/>
      <c r="K24" s="171"/>
      <c r="L24" s="171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</row>
    <row r="25">
      <c r="A25" s="178"/>
      <c r="B25" s="340" t="str">
        <f>'Base de datos'!C107</f>
        <v>LATA FANTA LIMON</v>
      </c>
      <c r="C25" s="341">
        <f t="shared" si="5"/>
        <v>0.6266666667</v>
      </c>
      <c r="D25" s="342"/>
      <c r="E25" s="178">
        <f>'Base de datos'!H107</f>
        <v>0.5266666667</v>
      </c>
      <c r="F25" s="193">
        <v>1.5</v>
      </c>
      <c r="G25" s="341">
        <f t="shared" si="6"/>
        <v>1.239669421</v>
      </c>
      <c r="H25" s="341">
        <f t="shared" si="7"/>
        <v>0.6130027548</v>
      </c>
      <c r="I25" s="343">
        <f t="shared" si="8"/>
        <v>0.5055111111</v>
      </c>
      <c r="J25" s="178"/>
      <c r="K25" s="171"/>
      <c r="L25" s="171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</row>
    <row r="26">
      <c r="A26" s="178"/>
      <c r="B26" s="340" t="str">
        <f>'Base de datos'!C108</f>
        <v>LATA FANTA NARANJA</v>
      </c>
      <c r="C26" s="341">
        <f t="shared" si="5"/>
        <v>0.6266666667</v>
      </c>
      <c r="D26" s="342"/>
      <c r="E26" s="178">
        <f>'Base de datos'!H108</f>
        <v>0.5266666667</v>
      </c>
      <c r="F26" s="193">
        <v>1.5</v>
      </c>
      <c r="G26" s="341">
        <f t="shared" si="6"/>
        <v>1.239669421</v>
      </c>
      <c r="H26" s="341">
        <f t="shared" si="7"/>
        <v>0.6130027548</v>
      </c>
      <c r="I26" s="343">
        <f t="shared" si="8"/>
        <v>0.5055111111</v>
      </c>
      <c r="J26" s="178"/>
      <c r="K26" s="171"/>
      <c r="L26" s="171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</row>
    <row r="27">
      <c r="A27" s="178"/>
      <c r="B27" s="340" t="str">
        <f>'Base de datos'!C109</f>
        <v>LATA FUZEE TEA LIMON</v>
      </c>
      <c r="C27" s="341">
        <f t="shared" si="5"/>
        <v>0.735</v>
      </c>
      <c r="D27" s="342"/>
      <c r="E27" s="178">
        <f>'Base de datos'!H109</f>
        <v>0.635</v>
      </c>
      <c r="F27" s="193">
        <v>1.6</v>
      </c>
      <c r="G27" s="341">
        <f t="shared" si="6"/>
        <v>1.32231405</v>
      </c>
      <c r="H27" s="341">
        <f t="shared" si="7"/>
        <v>0.5873140496</v>
      </c>
      <c r="I27" s="343">
        <f t="shared" si="8"/>
        <v>0.55584375</v>
      </c>
      <c r="J27" s="178"/>
      <c r="K27" s="171"/>
      <c r="L27" s="171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</row>
    <row r="28">
      <c r="A28" s="178"/>
      <c r="B28" s="340" t="str">
        <f>'Base de datos'!C110</f>
        <v>LATA FUZEE TEA MARACUYA</v>
      </c>
      <c r="C28" s="341">
        <f t="shared" si="5"/>
        <v>0.735</v>
      </c>
      <c r="D28" s="342"/>
      <c r="E28" s="178">
        <f>'Base de datos'!H110</f>
        <v>0.635</v>
      </c>
      <c r="F28" s="193">
        <v>1.6</v>
      </c>
      <c r="G28" s="341">
        <f t="shared" si="6"/>
        <v>1.32231405</v>
      </c>
      <c r="H28" s="341">
        <f t="shared" si="7"/>
        <v>0.5873140496</v>
      </c>
      <c r="I28" s="343">
        <f t="shared" si="8"/>
        <v>0.55584375</v>
      </c>
      <c r="J28" s="178"/>
      <c r="K28" s="171"/>
      <c r="L28" s="171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</row>
    <row r="29">
      <c r="A29" s="178"/>
      <c r="B29" s="340"/>
      <c r="C29" s="341">
        <f t="shared" si="5"/>
        <v>0.1</v>
      </c>
      <c r="D29" s="342"/>
      <c r="E29" s="178"/>
      <c r="F29" s="178"/>
      <c r="G29" s="341">
        <f t="shared" si="6"/>
        <v>0</v>
      </c>
      <c r="H29" s="341">
        <f t="shared" si="7"/>
        <v>-0.1</v>
      </c>
      <c r="I29" s="343" t="str">
        <f t="shared" si="8"/>
        <v>#DIV/0!</v>
      </c>
      <c r="J29" s="178"/>
      <c r="K29" s="171"/>
      <c r="L29" s="171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</row>
    <row r="30">
      <c r="A30" s="178"/>
      <c r="B30" s="345"/>
      <c r="C30" s="341">
        <f t="shared" si="5"/>
        <v>0.1</v>
      </c>
      <c r="D30" s="342"/>
      <c r="E30" s="178"/>
      <c r="F30" s="178"/>
      <c r="G30" s="341">
        <f>F30/1.1</f>
        <v>0</v>
      </c>
      <c r="H30" s="341">
        <f t="shared" si="7"/>
        <v>-0.1</v>
      </c>
      <c r="I30" s="343" t="str">
        <f t="shared" si="8"/>
        <v>#DIV/0!</v>
      </c>
      <c r="J30" s="178"/>
      <c r="K30" s="171"/>
      <c r="L30" s="171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</row>
    <row r="31">
      <c r="A31" s="178"/>
      <c r="B31" s="345"/>
      <c r="C31" s="341">
        <f t="shared" si="5"/>
        <v>0.1</v>
      </c>
      <c r="D31" s="342"/>
      <c r="E31" s="178"/>
      <c r="F31" s="178"/>
      <c r="G31" s="341">
        <f t="shared" ref="G31:G32" si="9">F31/1.21</f>
        <v>0</v>
      </c>
      <c r="H31" s="341">
        <f t="shared" si="7"/>
        <v>-0.1</v>
      </c>
      <c r="I31" s="343" t="str">
        <f t="shared" si="8"/>
        <v>#DIV/0!</v>
      </c>
      <c r="J31" s="178"/>
      <c r="K31" s="171"/>
      <c r="L31" s="171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</row>
    <row r="32">
      <c r="A32" s="178"/>
      <c r="B32" s="345"/>
      <c r="C32" s="341">
        <f t="shared" si="5"/>
        <v>0.1</v>
      </c>
      <c r="D32" s="342"/>
      <c r="E32" s="178"/>
      <c r="F32" s="178"/>
      <c r="G32" s="341">
        <f t="shared" si="9"/>
        <v>0</v>
      </c>
      <c r="H32" s="341">
        <f t="shared" si="7"/>
        <v>-0.1</v>
      </c>
      <c r="I32" s="343" t="str">
        <f t="shared" si="8"/>
        <v>#DIV/0!</v>
      </c>
      <c r="J32" s="178"/>
      <c r="K32" s="171"/>
      <c r="L32" s="171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</row>
    <row r="33">
      <c r="A33" s="178"/>
      <c r="B33" s="345"/>
      <c r="C33" s="341">
        <f t="shared" si="5"/>
        <v>0.1</v>
      </c>
      <c r="D33" s="342"/>
      <c r="E33" s="178"/>
      <c r="F33" s="178"/>
      <c r="G33" s="341">
        <f>F33/1.1</f>
        <v>0</v>
      </c>
      <c r="H33" s="341">
        <f t="shared" si="7"/>
        <v>-0.1</v>
      </c>
      <c r="I33" s="343" t="str">
        <f t="shared" si="8"/>
        <v>#DIV/0!</v>
      </c>
      <c r="J33" s="178"/>
      <c r="K33" s="171"/>
      <c r="L33" s="171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</row>
    <row r="34">
      <c r="A34" s="178"/>
      <c r="B34" s="337" t="s">
        <v>647</v>
      </c>
      <c r="C34" s="348"/>
      <c r="D34" s="346"/>
      <c r="E34" s="338"/>
      <c r="F34" s="338"/>
      <c r="G34" s="338"/>
      <c r="H34" s="338"/>
      <c r="I34" s="339"/>
      <c r="J34" s="178"/>
      <c r="K34" s="171"/>
      <c r="L34" s="171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</row>
    <row r="35">
      <c r="A35" s="178"/>
      <c r="B35" s="340"/>
      <c r="C35" s="341">
        <f t="shared" ref="C35:C45" si="10">SUM(E35)</f>
        <v>0</v>
      </c>
      <c r="D35" s="342"/>
      <c r="E35" s="178"/>
      <c r="F35" s="178"/>
      <c r="G35" s="349">
        <f t="shared" ref="G35:G45" si="11">F35/1.21</f>
        <v>0</v>
      </c>
      <c r="H35" s="349">
        <f t="shared" ref="H35:H45" si="12">G35-C35</f>
        <v>0</v>
      </c>
      <c r="I35" s="350" t="str">
        <f t="shared" ref="I35:I45" si="13">1-(H35/G35)</f>
        <v>#DIV/0!</v>
      </c>
      <c r="J35" s="178"/>
      <c r="K35" s="351" t="s">
        <v>648</v>
      </c>
      <c r="L35" s="297"/>
      <c r="M35" s="297"/>
      <c r="N35" s="29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</row>
    <row r="36">
      <c r="A36" s="178"/>
      <c r="B36" s="344"/>
      <c r="C36" s="341">
        <f t="shared" si="10"/>
        <v>0</v>
      </c>
      <c r="D36" s="342"/>
      <c r="E36" s="178"/>
      <c r="F36" s="178"/>
      <c r="G36" s="349">
        <f t="shared" si="11"/>
        <v>0</v>
      </c>
      <c r="H36" s="349">
        <f t="shared" si="12"/>
        <v>0</v>
      </c>
      <c r="I36" s="350" t="str">
        <f t="shared" si="13"/>
        <v>#DIV/0!</v>
      </c>
      <c r="J36" s="178"/>
      <c r="K36" s="352"/>
      <c r="L36" s="305"/>
      <c r="M36" s="305"/>
      <c r="N36" s="274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</row>
    <row r="37">
      <c r="A37" s="178"/>
      <c r="B37" s="344"/>
      <c r="C37" s="341">
        <f t="shared" si="10"/>
        <v>0</v>
      </c>
      <c r="D37" s="342"/>
      <c r="E37" s="178"/>
      <c r="F37" s="178"/>
      <c r="G37" s="349">
        <f t="shared" si="11"/>
        <v>0</v>
      </c>
      <c r="H37" s="349">
        <f t="shared" si="12"/>
        <v>0</v>
      </c>
      <c r="I37" s="350" t="str">
        <f t="shared" si="13"/>
        <v>#DIV/0!</v>
      </c>
      <c r="J37" s="178"/>
      <c r="K37" s="171"/>
      <c r="L37" s="171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</row>
    <row r="38">
      <c r="A38" s="178"/>
      <c r="B38" s="344"/>
      <c r="C38" s="341">
        <f t="shared" si="10"/>
        <v>0</v>
      </c>
      <c r="D38" s="342"/>
      <c r="E38" s="178"/>
      <c r="F38" s="178"/>
      <c r="G38" s="349">
        <f t="shared" si="11"/>
        <v>0</v>
      </c>
      <c r="H38" s="349">
        <f t="shared" si="12"/>
        <v>0</v>
      </c>
      <c r="I38" s="350" t="str">
        <f t="shared" si="13"/>
        <v>#DIV/0!</v>
      </c>
      <c r="J38" s="178"/>
      <c r="K38" s="171"/>
      <c r="L38" s="171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</row>
    <row r="39">
      <c r="A39" s="178"/>
      <c r="B39" s="344"/>
      <c r="C39" s="341">
        <f t="shared" si="10"/>
        <v>0</v>
      </c>
      <c r="D39" s="342"/>
      <c r="E39" s="178"/>
      <c r="F39" s="178"/>
      <c r="G39" s="349">
        <f t="shared" si="11"/>
        <v>0</v>
      </c>
      <c r="H39" s="349">
        <f t="shared" si="12"/>
        <v>0</v>
      </c>
      <c r="I39" s="350" t="str">
        <f t="shared" si="13"/>
        <v>#DIV/0!</v>
      </c>
      <c r="J39" s="178"/>
      <c r="K39" s="171"/>
      <c r="L39" s="171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</row>
    <row r="40">
      <c r="A40" s="178"/>
      <c r="B40" s="344"/>
      <c r="C40" s="341">
        <f t="shared" si="10"/>
        <v>0</v>
      </c>
      <c r="D40" s="342"/>
      <c r="E40" s="178"/>
      <c r="F40" s="178"/>
      <c r="G40" s="349">
        <f t="shared" si="11"/>
        <v>0</v>
      </c>
      <c r="H40" s="349">
        <f t="shared" si="12"/>
        <v>0</v>
      </c>
      <c r="I40" s="350" t="str">
        <f t="shared" si="13"/>
        <v>#DIV/0!</v>
      </c>
      <c r="J40" s="178"/>
      <c r="K40" s="171"/>
      <c r="L40" s="171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</row>
    <row r="41">
      <c r="A41" s="178"/>
      <c r="B41" s="344"/>
      <c r="C41" s="341">
        <f t="shared" si="10"/>
        <v>0</v>
      </c>
      <c r="D41" s="342"/>
      <c r="E41" s="178"/>
      <c r="F41" s="178"/>
      <c r="G41" s="349">
        <f t="shared" si="11"/>
        <v>0</v>
      </c>
      <c r="H41" s="349">
        <f t="shared" si="12"/>
        <v>0</v>
      </c>
      <c r="I41" s="350" t="str">
        <f t="shared" si="13"/>
        <v>#DIV/0!</v>
      </c>
      <c r="J41" s="178"/>
      <c r="K41" s="171"/>
      <c r="L41" s="171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</row>
    <row r="42">
      <c r="A42" s="178"/>
      <c r="B42" s="344"/>
      <c r="C42" s="341">
        <f t="shared" si="10"/>
        <v>0</v>
      </c>
      <c r="D42" s="342"/>
      <c r="E42" s="178"/>
      <c r="F42" s="178"/>
      <c r="G42" s="349">
        <f t="shared" si="11"/>
        <v>0</v>
      </c>
      <c r="H42" s="349">
        <f t="shared" si="12"/>
        <v>0</v>
      </c>
      <c r="I42" s="350" t="str">
        <f t="shared" si="13"/>
        <v>#DIV/0!</v>
      </c>
      <c r="J42" s="178"/>
      <c r="K42" s="171"/>
      <c r="L42" s="171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</row>
    <row r="43">
      <c r="A43" s="178"/>
      <c r="B43" s="344"/>
      <c r="C43" s="341">
        <f t="shared" si="10"/>
        <v>0</v>
      </c>
      <c r="D43" s="342"/>
      <c r="E43" s="178"/>
      <c r="F43" s="178"/>
      <c r="G43" s="349">
        <f t="shared" si="11"/>
        <v>0</v>
      </c>
      <c r="H43" s="349">
        <f t="shared" si="12"/>
        <v>0</v>
      </c>
      <c r="I43" s="350" t="str">
        <f t="shared" si="13"/>
        <v>#DIV/0!</v>
      </c>
      <c r="J43" s="178"/>
      <c r="K43" s="171"/>
      <c r="L43" s="171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</row>
    <row r="44">
      <c r="A44" s="178"/>
      <c r="B44" s="344"/>
      <c r="C44" s="341">
        <f t="shared" si="10"/>
        <v>0</v>
      </c>
      <c r="D44" s="342"/>
      <c r="E44" s="178"/>
      <c r="F44" s="178"/>
      <c r="G44" s="349">
        <f t="shared" si="11"/>
        <v>0</v>
      </c>
      <c r="H44" s="349">
        <f t="shared" si="12"/>
        <v>0</v>
      </c>
      <c r="I44" s="350" t="str">
        <f t="shared" si="13"/>
        <v>#DIV/0!</v>
      </c>
      <c r="J44" s="178"/>
      <c r="K44" s="171"/>
      <c r="L44" s="171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</row>
    <row r="45">
      <c r="A45" s="178"/>
      <c r="B45" s="345"/>
      <c r="C45" s="341">
        <f t="shared" si="10"/>
        <v>0</v>
      </c>
      <c r="D45" s="342"/>
      <c r="E45" s="178"/>
      <c r="F45" s="178"/>
      <c r="G45" s="349">
        <f t="shared" si="11"/>
        <v>0</v>
      </c>
      <c r="H45" s="349">
        <f t="shared" si="12"/>
        <v>0</v>
      </c>
      <c r="I45" s="350" t="str">
        <f t="shared" si="13"/>
        <v>#DIV/0!</v>
      </c>
      <c r="J45" s="178"/>
      <c r="K45" s="171"/>
      <c r="L45" s="171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</row>
    <row r="46">
      <c r="A46" s="178"/>
      <c r="B46" s="337" t="s">
        <v>649</v>
      </c>
      <c r="C46" s="348"/>
      <c r="D46" s="346"/>
      <c r="E46" s="338"/>
      <c r="F46" s="338"/>
      <c r="G46" s="338"/>
      <c r="H46" s="338"/>
      <c r="I46" s="339"/>
      <c r="J46" s="178"/>
      <c r="K46" s="171"/>
      <c r="L46" s="171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</row>
    <row r="47">
      <c r="A47" s="178"/>
      <c r="B47" s="340"/>
      <c r="C47" s="341">
        <f t="shared" ref="C47:C58" si="14">SUM(E47)</f>
        <v>0</v>
      </c>
      <c r="D47" s="342"/>
      <c r="E47" s="171"/>
      <c r="F47" s="178"/>
      <c r="G47" s="349">
        <f t="shared" ref="G47:G58" si="15">F47/1.21</f>
        <v>0</v>
      </c>
      <c r="H47" s="349">
        <f t="shared" ref="H47:H58" si="16">G47-C47</f>
        <v>0</v>
      </c>
      <c r="I47" s="350" t="str">
        <f t="shared" ref="I47:I58" si="17">1-(H47/G47)</f>
        <v>#DIV/0!</v>
      </c>
      <c r="J47" s="178"/>
      <c r="K47" s="171"/>
      <c r="L47" s="171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</row>
    <row r="48">
      <c r="A48" s="178"/>
      <c r="B48" s="344"/>
      <c r="C48" s="341">
        <f t="shared" si="14"/>
        <v>0</v>
      </c>
      <c r="D48" s="342"/>
      <c r="E48" s="178"/>
      <c r="F48" s="178"/>
      <c r="G48" s="349">
        <f t="shared" si="15"/>
        <v>0</v>
      </c>
      <c r="H48" s="349">
        <f t="shared" si="16"/>
        <v>0</v>
      </c>
      <c r="I48" s="350" t="str">
        <f t="shared" si="17"/>
        <v>#DIV/0!</v>
      </c>
      <c r="J48" s="178"/>
      <c r="K48" s="171"/>
      <c r="L48" s="171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</row>
    <row r="49">
      <c r="A49" s="178"/>
      <c r="B49" s="344"/>
      <c r="C49" s="341">
        <f t="shared" si="14"/>
        <v>0</v>
      </c>
      <c r="D49" s="342"/>
      <c r="E49" s="178"/>
      <c r="F49" s="178"/>
      <c r="G49" s="349">
        <f t="shared" si="15"/>
        <v>0</v>
      </c>
      <c r="H49" s="349">
        <f t="shared" si="16"/>
        <v>0</v>
      </c>
      <c r="I49" s="350" t="str">
        <f t="shared" si="17"/>
        <v>#DIV/0!</v>
      </c>
      <c r="J49" s="178"/>
      <c r="K49" s="171"/>
      <c r="L49" s="171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</row>
    <row r="50">
      <c r="A50" s="178"/>
      <c r="B50" s="344"/>
      <c r="C50" s="341">
        <f t="shared" si="14"/>
        <v>0</v>
      </c>
      <c r="D50" s="342"/>
      <c r="E50" s="178"/>
      <c r="F50" s="178"/>
      <c r="G50" s="349">
        <f t="shared" si="15"/>
        <v>0</v>
      </c>
      <c r="H50" s="349">
        <f t="shared" si="16"/>
        <v>0</v>
      </c>
      <c r="I50" s="350" t="str">
        <f t="shared" si="17"/>
        <v>#DIV/0!</v>
      </c>
      <c r="J50" s="178"/>
      <c r="K50" s="171"/>
      <c r="L50" s="171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</row>
    <row r="51">
      <c r="A51" s="178"/>
      <c r="B51" s="344"/>
      <c r="C51" s="341">
        <f t="shared" si="14"/>
        <v>0</v>
      </c>
      <c r="D51" s="342"/>
      <c r="E51" s="178"/>
      <c r="F51" s="178"/>
      <c r="G51" s="349">
        <f t="shared" si="15"/>
        <v>0</v>
      </c>
      <c r="H51" s="349">
        <f t="shared" si="16"/>
        <v>0</v>
      </c>
      <c r="I51" s="350" t="str">
        <f t="shared" si="17"/>
        <v>#DIV/0!</v>
      </c>
      <c r="J51" s="178"/>
      <c r="K51" s="171"/>
      <c r="L51" s="171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</row>
    <row r="52">
      <c r="A52" s="178"/>
      <c r="B52" s="344"/>
      <c r="C52" s="341">
        <f t="shared" si="14"/>
        <v>0</v>
      </c>
      <c r="D52" s="342"/>
      <c r="E52" s="178"/>
      <c r="F52" s="178"/>
      <c r="G52" s="349">
        <f t="shared" si="15"/>
        <v>0</v>
      </c>
      <c r="H52" s="349">
        <f t="shared" si="16"/>
        <v>0</v>
      </c>
      <c r="I52" s="350" t="str">
        <f t="shared" si="17"/>
        <v>#DIV/0!</v>
      </c>
      <c r="J52" s="178"/>
      <c r="K52" s="171"/>
      <c r="L52" s="171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</row>
    <row r="53">
      <c r="A53" s="178"/>
      <c r="B53" s="344"/>
      <c r="C53" s="341">
        <f t="shared" si="14"/>
        <v>0</v>
      </c>
      <c r="D53" s="342"/>
      <c r="E53" s="178"/>
      <c r="F53" s="178"/>
      <c r="G53" s="349">
        <f t="shared" si="15"/>
        <v>0</v>
      </c>
      <c r="H53" s="349">
        <f t="shared" si="16"/>
        <v>0</v>
      </c>
      <c r="I53" s="350" t="str">
        <f t="shared" si="17"/>
        <v>#DIV/0!</v>
      </c>
      <c r="J53" s="178"/>
      <c r="K53" s="171"/>
      <c r="L53" s="171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</row>
    <row r="54">
      <c r="A54" s="178"/>
      <c r="B54" s="344"/>
      <c r="C54" s="341">
        <f t="shared" si="14"/>
        <v>0</v>
      </c>
      <c r="D54" s="342"/>
      <c r="E54" s="178"/>
      <c r="F54" s="178"/>
      <c r="G54" s="349">
        <f t="shared" si="15"/>
        <v>0</v>
      </c>
      <c r="H54" s="349">
        <f t="shared" si="16"/>
        <v>0</v>
      </c>
      <c r="I54" s="350" t="str">
        <f t="shared" si="17"/>
        <v>#DIV/0!</v>
      </c>
      <c r="J54" s="178"/>
      <c r="K54" s="171"/>
      <c r="L54" s="171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</row>
    <row r="55">
      <c r="A55" s="178"/>
      <c r="B55" s="344"/>
      <c r="C55" s="341">
        <f t="shared" si="14"/>
        <v>0</v>
      </c>
      <c r="D55" s="342"/>
      <c r="E55" s="178"/>
      <c r="F55" s="178"/>
      <c r="G55" s="349">
        <f t="shared" si="15"/>
        <v>0</v>
      </c>
      <c r="H55" s="349">
        <f t="shared" si="16"/>
        <v>0</v>
      </c>
      <c r="I55" s="350" t="str">
        <f t="shared" si="17"/>
        <v>#DIV/0!</v>
      </c>
      <c r="J55" s="178"/>
      <c r="K55" s="171"/>
      <c r="L55" s="171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</row>
    <row r="56">
      <c r="A56" s="178"/>
      <c r="B56" s="344"/>
      <c r="C56" s="341">
        <f t="shared" si="14"/>
        <v>0</v>
      </c>
      <c r="D56" s="342"/>
      <c r="E56" s="178"/>
      <c r="F56" s="178"/>
      <c r="G56" s="349">
        <f t="shared" si="15"/>
        <v>0</v>
      </c>
      <c r="H56" s="349">
        <f t="shared" si="16"/>
        <v>0</v>
      </c>
      <c r="I56" s="350" t="str">
        <f t="shared" si="17"/>
        <v>#DIV/0!</v>
      </c>
      <c r="J56" s="178"/>
      <c r="K56" s="171"/>
      <c r="L56" s="171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</row>
    <row r="57">
      <c r="A57" s="178"/>
      <c r="B57" s="344"/>
      <c r="C57" s="341">
        <f t="shared" si="14"/>
        <v>0</v>
      </c>
      <c r="D57" s="342"/>
      <c r="E57" s="178"/>
      <c r="F57" s="178"/>
      <c r="G57" s="349">
        <f t="shared" si="15"/>
        <v>0</v>
      </c>
      <c r="H57" s="349">
        <f t="shared" si="16"/>
        <v>0</v>
      </c>
      <c r="I57" s="350" t="str">
        <f t="shared" si="17"/>
        <v>#DIV/0!</v>
      </c>
      <c r="J57" s="178"/>
      <c r="K57" s="171"/>
      <c r="L57" s="171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</row>
    <row r="58">
      <c r="A58" s="178"/>
      <c r="B58" s="353"/>
      <c r="C58" s="341">
        <f t="shared" si="14"/>
        <v>0</v>
      </c>
      <c r="D58" s="347"/>
      <c r="E58" s="354"/>
      <c r="F58" s="354"/>
      <c r="G58" s="355">
        <f t="shared" si="15"/>
        <v>0</v>
      </c>
      <c r="H58" s="355">
        <f t="shared" si="16"/>
        <v>0</v>
      </c>
      <c r="I58" s="356" t="str">
        <f t="shared" si="17"/>
        <v>#DIV/0!</v>
      </c>
      <c r="J58" s="178"/>
      <c r="K58" s="171"/>
      <c r="L58" s="171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</row>
    <row r="59">
      <c r="A59" s="178"/>
      <c r="B59" s="178"/>
      <c r="C59" s="178"/>
      <c r="D59" s="178"/>
      <c r="E59" s="178"/>
      <c r="F59" s="178"/>
      <c r="G59" s="178"/>
      <c r="H59" s="178"/>
      <c r="I59" s="332"/>
      <c r="J59" s="178"/>
      <c r="K59" s="171"/>
      <c r="L59" s="171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</row>
    <row r="60">
      <c r="A60" s="178"/>
      <c r="B60" s="178"/>
      <c r="C60" s="178"/>
      <c r="D60" s="178"/>
      <c r="E60" s="178"/>
      <c r="F60" s="178"/>
      <c r="G60" s="178"/>
      <c r="H60" s="178"/>
      <c r="I60" s="332"/>
      <c r="J60" s="178"/>
      <c r="K60" s="171"/>
      <c r="L60" s="171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</row>
    <row r="61">
      <c r="A61" s="178"/>
      <c r="B61" s="178"/>
      <c r="C61" s="178"/>
      <c r="D61" s="178"/>
      <c r="E61" s="178"/>
      <c r="F61" s="178"/>
      <c r="G61" s="178"/>
      <c r="H61" s="178"/>
      <c r="I61" s="332"/>
      <c r="J61" s="178"/>
      <c r="K61" s="171"/>
      <c r="L61" s="171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</row>
    <row r="62">
      <c r="A62" s="178"/>
      <c r="B62" s="349" t="s">
        <v>650</v>
      </c>
      <c r="C62" s="357" t="str">
        <f>AVERAGE(I9:I45)</f>
        <v>#DIV/0!</v>
      </c>
      <c r="D62" s="358"/>
      <c r="E62" s="358"/>
      <c r="F62" s="358"/>
      <c r="G62" s="358"/>
      <c r="H62" s="358"/>
      <c r="I62" s="358"/>
      <c r="J62" s="178"/>
      <c r="K62" s="171"/>
      <c r="L62" s="171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</row>
    <row r="63">
      <c r="A63" s="178"/>
      <c r="B63" s="178"/>
      <c r="C63" s="178"/>
      <c r="D63" s="178"/>
      <c r="E63" s="178"/>
      <c r="F63" s="178"/>
      <c r="G63" s="178"/>
      <c r="H63" s="178"/>
      <c r="I63" s="332"/>
      <c r="J63" s="178"/>
      <c r="K63" s="171"/>
      <c r="L63" s="171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</row>
    <row r="64">
      <c r="A64" s="178"/>
      <c r="B64" s="178"/>
      <c r="C64" s="178"/>
      <c r="D64" s="178"/>
      <c r="E64" s="178"/>
      <c r="F64" s="178"/>
      <c r="G64" s="178"/>
      <c r="H64" s="178"/>
      <c r="I64" s="332"/>
      <c r="J64" s="178"/>
      <c r="K64" s="171"/>
      <c r="L64" s="171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</row>
    <row r="65">
      <c r="A65" s="178"/>
      <c r="B65" s="178"/>
      <c r="C65" s="178"/>
      <c r="D65" s="178"/>
      <c r="E65" s="178"/>
      <c r="F65" s="178"/>
      <c r="G65" s="178"/>
      <c r="H65" s="178"/>
      <c r="I65" s="332"/>
      <c r="J65" s="178"/>
      <c r="K65" s="171"/>
      <c r="L65" s="171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</row>
    <row r="66">
      <c r="A66" s="178"/>
      <c r="B66" s="178"/>
      <c r="C66" s="178"/>
      <c r="D66" s="178"/>
      <c r="E66" s="178"/>
      <c r="F66" s="178"/>
      <c r="G66" s="178"/>
      <c r="H66" s="178"/>
      <c r="I66" s="332"/>
      <c r="J66" s="178"/>
      <c r="K66" s="171"/>
      <c r="L66" s="171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</row>
    <row r="67">
      <c r="A67" s="178"/>
      <c r="B67" s="178"/>
      <c r="C67" s="178"/>
      <c r="D67" s="178"/>
      <c r="E67" s="178"/>
      <c r="F67" s="178"/>
      <c r="G67" s="178"/>
      <c r="H67" s="178"/>
      <c r="I67" s="332"/>
      <c r="J67" s="178"/>
      <c r="K67" s="171"/>
      <c r="L67" s="171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</row>
    <row r="68">
      <c r="A68" s="178"/>
      <c r="B68" s="178"/>
      <c r="C68" s="178"/>
      <c r="D68" s="178"/>
      <c r="E68" s="178"/>
      <c r="F68" s="178"/>
      <c r="G68" s="178"/>
      <c r="H68" s="178"/>
      <c r="I68" s="332"/>
      <c r="J68" s="178"/>
      <c r="K68" s="171"/>
      <c r="L68" s="171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</row>
    <row r="69">
      <c r="A69" s="178"/>
      <c r="B69" s="178"/>
      <c r="C69" s="178"/>
      <c r="D69" s="178"/>
      <c r="E69" s="178"/>
      <c r="F69" s="178"/>
      <c r="G69" s="178"/>
      <c r="H69" s="178"/>
      <c r="I69" s="332"/>
      <c r="J69" s="178"/>
      <c r="K69" s="171"/>
      <c r="L69" s="171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</row>
    <row r="70">
      <c r="A70" s="178"/>
      <c r="B70" s="178"/>
      <c r="C70" s="178"/>
      <c r="D70" s="178"/>
      <c r="E70" s="178"/>
      <c r="F70" s="178"/>
      <c r="G70" s="178"/>
      <c r="H70" s="178"/>
      <c r="I70" s="332"/>
      <c r="J70" s="178"/>
      <c r="K70" s="171"/>
      <c r="L70" s="171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</row>
    <row r="71">
      <c r="A71" s="178"/>
      <c r="B71" s="178"/>
      <c r="C71" s="178"/>
      <c r="D71" s="178"/>
      <c r="E71" s="178"/>
      <c r="F71" s="178"/>
      <c r="G71" s="178"/>
      <c r="H71" s="178"/>
      <c r="I71" s="332"/>
      <c r="J71" s="178"/>
      <c r="K71" s="171"/>
      <c r="L71" s="171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</row>
    <row r="72">
      <c r="A72" s="178"/>
      <c r="B72" s="178"/>
      <c r="C72" s="178"/>
      <c r="D72" s="178"/>
      <c r="E72" s="178"/>
      <c r="F72" s="178"/>
      <c r="G72" s="178"/>
      <c r="H72" s="178"/>
      <c r="I72" s="332"/>
      <c r="J72" s="178"/>
      <c r="K72" s="171"/>
      <c r="L72" s="171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</row>
    <row r="73">
      <c r="A73" s="178"/>
      <c r="B73" s="178"/>
      <c r="C73" s="178"/>
      <c r="D73" s="178"/>
      <c r="E73" s="178"/>
      <c r="F73" s="178"/>
      <c r="G73" s="178"/>
      <c r="H73" s="178"/>
      <c r="I73" s="332"/>
      <c r="J73" s="178"/>
      <c r="K73" s="171"/>
      <c r="L73" s="171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</row>
    <row r="74">
      <c r="A74" s="178"/>
      <c r="B74" s="178"/>
      <c r="C74" s="178"/>
      <c r="D74" s="178"/>
      <c r="E74" s="178"/>
      <c r="F74" s="178"/>
      <c r="G74" s="178"/>
      <c r="H74" s="178"/>
      <c r="I74" s="332"/>
      <c r="J74" s="178"/>
      <c r="K74" s="171"/>
      <c r="L74" s="171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</row>
    <row r="75">
      <c r="A75" s="178"/>
      <c r="B75" s="178"/>
      <c r="C75" s="178"/>
      <c r="D75" s="178"/>
      <c r="E75" s="178"/>
      <c r="F75" s="178"/>
      <c r="G75" s="178"/>
      <c r="H75" s="178"/>
      <c r="I75" s="332"/>
      <c r="J75" s="178"/>
      <c r="K75" s="171"/>
      <c r="L75" s="171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</row>
    <row r="76">
      <c r="A76" s="178"/>
      <c r="B76" s="178"/>
      <c r="C76" s="178"/>
      <c r="D76" s="178"/>
      <c r="E76" s="178"/>
      <c r="F76" s="178"/>
      <c r="G76" s="178"/>
      <c r="H76" s="178"/>
      <c r="I76" s="332"/>
      <c r="J76" s="178"/>
      <c r="K76" s="171"/>
      <c r="L76" s="171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</row>
    <row r="77">
      <c r="A77" s="178"/>
      <c r="B77" s="178"/>
      <c r="C77" s="178"/>
      <c r="D77" s="178"/>
      <c r="E77" s="178"/>
      <c r="F77" s="178"/>
      <c r="G77" s="178"/>
      <c r="H77" s="178"/>
      <c r="I77" s="332"/>
      <c r="J77" s="178"/>
      <c r="K77" s="171"/>
      <c r="L77" s="171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</row>
    <row r="78">
      <c r="A78" s="178"/>
      <c r="B78" s="178"/>
      <c r="C78" s="178"/>
      <c r="D78" s="178"/>
      <c r="E78" s="178"/>
      <c r="F78" s="178"/>
      <c r="G78" s="178"/>
      <c r="H78" s="178"/>
      <c r="I78" s="332"/>
      <c r="J78" s="178"/>
      <c r="K78" s="171"/>
      <c r="L78" s="171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</row>
    <row r="79">
      <c r="A79" s="178"/>
      <c r="B79" s="178"/>
      <c r="C79" s="178"/>
      <c r="D79" s="178"/>
      <c r="E79" s="178"/>
      <c r="F79" s="178"/>
      <c r="G79" s="178"/>
      <c r="H79" s="178"/>
      <c r="I79" s="332"/>
      <c r="J79" s="178"/>
      <c r="K79" s="171"/>
      <c r="L79" s="171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</row>
    <row r="80">
      <c r="A80" s="178"/>
      <c r="B80" s="178"/>
      <c r="C80" s="178"/>
      <c r="D80" s="178"/>
      <c r="E80" s="178"/>
      <c r="F80" s="178"/>
      <c r="G80" s="178"/>
      <c r="H80" s="178"/>
      <c r="I80" s="332"/>
      <c r="J80" s="178"/>
      <c r="K80" s="171"/>
      <c r="L80" s="171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</row>
    <row r="81">
      <c r="A81" s="178"/>
      <c r="B81" s="178"/>
      <c r="C81" s="178"/>
      <c r="D81" s="178"/>
      <c r="E81" s="178"/>
      <c r="F81" s="178"/>
      <c r="G81" s="178"/>
      <c r="H81" s="178"/>
      <c r="I81" s="332"/>
      <c r="J81" s="178"/>
      <c r="K81" s="171"/>
      <c r="L81" s="171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</row>
    <row r="82">
      <c r="A82" s="178"/>
      <c r="B82" s="178"/>
      <c r="C82" s="178"/>
      <c r="D82" s="178"/>
      <c r="E82" s="178"/>
      <c r="F82" s="178"/>
      <c r="G82" s="178"/>
      <c r="H82" s="178"/>
      <c r="I82" s="332"/>
      <c r="J82" s="178"/>
      <c r="K82" s="171"/>
      <c r="L82" s="171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</row>
    <row r="83">
      <c r="A83" s="178"/>
      <c r="B83" s="178"/>
      <c r="C83" s="178"/>
      <c r="D83" s="178"/>
      <c r="E83" s="178"/>
      <c r="F83" s="178"/>
      <c r="G83" s="178"/>
      <c r="H83" s="178"/>
      <c r="I83" s="332"/>
      <c r="J83" s="178"/>
      <c r="K83" s="171"/>
      <c r="L83" s="171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</row>
    <row r="84">
      <c r="A84" s="178"/>
      <c r="B84" s="178"/>
      <c r="C84" s="178"/>
      <c r="D84" s="178"/>
      <c r="E84" s="178"/>
      <c r="F84" s="178"/>
      <c r="G84" s="178"/>
      <c r="H84" s="178"/>
      <c r="I84" s="332"/>
      <c r="J84" s="178"/>
      <c r="K84" s="171"/>
      <c r="L84" s="171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</row>
    <row r="85">
      <c r="A85" s="178"/>
      <c r="B85" s="178"/>
      <c r="C85" s="178"/>
      <c r="D85" s="178"/>
      <c r="E85" s="178"/>
      <c r="F85" s="178"/>
      <c r="G85" s="178"/>
      <c r="H85" s="178"/>
      <c r="I85" s="332"/>
      <c r="J85" s="178"/>
      <c r="K85" s="171"/>
      <c r="L85" s="171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</row>
    <row r="86">
      <c r="A86" s="178"/>
      <c r="B86" s="178"/>
      <c r="C86" s="178"/>
      <c r="D86" s="178"/>
      <c r="E86" s="178"/>
      <c r="F86" s="178"/>
      <c r="G86" s="178"/>
      <c r="H86" s="178"/>
      <c r="I86" s="332"/>
      <c r="J86" s="178"/>
      <c r="K86" s="171"/>
      <c r="L86" s="171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</row>
    <row r="87">
      <c r="A87" s="178"/>
      <c r="B87" s="178"/>
      <c r="C87" s="178"/>
      <c r="D87" s="178"/>
      <c r="E87" s="178"/>
      <c r="F87" s="178"/>
      <c r="G87" s="178"/>
      <c r="H87" s="178"/>
      <c r="I87" s="332"/>
      <c r="J87" s="178"/>
      <c r="K87" s="171"/>
      <c r="L87" s="171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</row>
    <row r="88">
      <c r="A88" s="178"/>
      <c r="B88" s="178"/>
      <c r="C88" s="178"/>
      <c r="D88" s="178"/>
      <c r="E88" s="178"/>
      <c r="F88" s="178"/>
      <c r="G88" s="178"/>
      <c r="H88" s="178"/>
      <c r="I88" s="332"/>
      <c r="J88" s="178"/>
      <c r="K88" s="171"/>
      <c r="L88" s="171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</row>
    <row r="89">
      <c r="A89" s="178"/>
      <c r="B89" s="178"/>
      <c r="C89" s="178"/>
      <c r="D89" s="178"/>
      <c r="E89" s="178"/>
      <c r="F89" s="178"/>
      <c r="G89" s="178"/>
      <c r="H89" s="178"/>
      <c r="I89" s="332"/>
      <c r="J89" s="178"/>
      <c r="K89" s="171"/>
      <c r="L89" s="171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</row>
    <row r="90">
      <c r="A90" s="178"/>
      <c r="B90" s="178"/>
      <c r="C90" s="178"/>
      <c r="D90" s="178"/>
      <c r="E90" s="178"/>
      <c r="F90" s="178"/>
      <c r="G90" s="178"/>
      <c r="H90" s="178"/>
      <c r="I90" s="332"/>
      <c r="J90" s="178"/>
      <c r="K90" s="171"/>
      <c r="L90" s="171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</row>
    <row r="91">
      <c r="A91" s="178"/>
      <c r="B91" s="178"/>
      <c r="C91" s="178"/>
      <c r="D91" s="178"/>
      <c r="E91" s="178"/>
      <c r="F91" s="178"/>
      <c r="G91" s="178"/>
      <c r="H91" s="178"/>
      <c r="I91" s="332"/>
      <c r="J91" s="178"/>
      <c r="K91" s="171"/>
      <c r="L91" s="171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</row>
    <row r="92">
      <c r="A92" s="178"/>
      <c r="B92" s="178"/>
      <c r="C92" s="178"/>
      <c r="D92" s="178"/>
      <c r="E92" s="178"/>
      <c r="F92" s="178"/>
      <c r="G92" s="178"/>
      <c r="H92" s="178"/>
      <c r="I92" s="332"/>
      <c r="J92" s="178"/>
      <c r="K92" s="171"/>
      <c r="L92" s="171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</row>
    <row r="93">
      <c r="A93" s="178"/>
      <c r="B93" s="178"/>
      <c r="C93" s="178"/>
      <c r="D93" s="178"/>
      <c r="E93" s="178"/>
      <c r="F93" s="178"/>
      <c r="G93" s="178"/>
      <c r="H93" s="178"/>
      <c r="I93" s="332"/>
      <c r="J93" s="178"/>
      <c r="K93" s="171"/>
      <c r="L93" s="171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</row>
    <row r="94">
      <c r="A94" s="178"/>
      <c r="B94" s="178"/>
      <c r="C94" s="178"/>
      <c r="D94" s="178"/>
      <c r="E94" s="178"/>
      <c r="F94" s="178"/>
      <c r="G94" s="178"/>
      <c r="H94" s="178"/>
      <c r="I94" s="332"/>
      <c r="J94" s="178"/>
      <c r="K94" s="171"/>
      <c r="L94" s="171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</row>
    <row r="95">
      <c r="A95" s="178"/>
      <c r="B95" s="178"/>
      <c r="C95" s="178"/>
      <c r="D95" s="178"/>
      <c r="E95" s="178"/>
      <c r="F95" s="178"/>
      <c r="G95" s="178"/>
      <c r="H95" s="178"/>
      <c r="I95" s="332"/>
      <c r="J95" s="178"/>
      <c r="K95" s="171"/>
      <c r="L95" s="171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</row>
    <row r="96">
      <c r="A96" s="178"/>
      <c r="B96" s="178"/>
      <c r="C96" s="178"/>
      <c r="D96" s="178"/>
      <c r="E96" s="178"/>
      <c r="F96" s="178"/>
      <c r="G96" s="178"/>
      <c r="H96" s="178"/>
      <c r="I96" s="332"/>
      <c r="J96" s="178"/>
      <c r="K96" s="171"/>
      <c r="L96" s="171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</row>
    <row r="97">
      <c r="A97" s="178"/>
      <c r="B97" s="178"/>
      <c r="C97" s="178"/>
      <c r="D97" s="178"/>
      <c r="E97" s="178"/>
      <c r="F97" s="178"/>
      <c r="G97" s="178"/>
      <c r="H97" s="178"/>
      <c r="I97" s="332"/>
      <c r="J97" s="178"/>
      <c r="K97" s="171"/>
      <c r="L97" s="171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</row>
    <row r="98">
      <c r="A98" s="178"/>
      <c r="B98" s="178"/>
      <c r="C98" s="178"/>
      <c r="D98" s="178"/>
      <c r="E98" s="178"/>
      <c r="F98" s="178"/>
      <c r="G98" s="178"/>
      <c r="H98" s="178"/>
      <c r="I98" s="332"/>
      <c r="J98" s="178"/>
      <c r="K98" s="171"/>
      <c r="L98" s="171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</row>
    <row r="99">
      <c r="A99" s="178"/>
      <c r="B99" s="178"/>
      <c r="C99" s="178"/>
      <c r="D99" s="178"/>
      <c r="E99" s="178"/>
      <c r="F99" s="178"/>
      <c r="G99" s="178"/>
      <c r="H99" s="178"/>
      <c r="I99" s="332"/>
      <c r="J99" s="178"/>
      <c r="K99" s="171"/>
      <c r="L99" s="171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332"/>
      <c r="J100" s="178"/>
      <c r="K100" s="171"/>
      <c r="L100" s="171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332"/>
      <c r="J101" s="178"/>
      <c r="K101" s="171"/>
      <c r="L101" s="171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332"/>
      <c r="J102" s="178"/>
      <c r="K102" s="171"/>
      <c r="L102" s="171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332"/>
      <c r="J103" s="178"/>
      <c r="K103" s="171"/>
      <c r="L103" s="171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332"/>
      <c r="J104" s="178"/>
      <c r="K104" s="171"/>
      <c r="L104" s="171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332"/>
      <c r="J105" s="178"/>
      <c r="K105" s="171"/>
      <c r="L105" s="171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332"/>
      <c r="J106" s="178"/>
      <c r="K106" s="171"/>
      <c r="L106" s="171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332"/>
      <c r="J107" s="178"/>
      <c r="K107" s="171"/>
      <c r="L107" s="171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332"/>
      <c r="J108" s="178"/>
      <c r="K108" s="171"/>
      <c r="L108" s="171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332"/>
      <c r="J109" s="178"/>
      <c r="K109" s="171"/>
      <c r="L109" s="171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332"/>
      <c r="J110" s="178"/>
      <c r="K110" s="171"/>
      <c r="L110" s="171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332"/>
      <c r="J111" s="178"/>
      <c r="K111" s="171"/>
      <c r="L111" s="171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332"/>
      <c r="J112" s="178"/>
      <c r="K112" s="171"/>
      <c r="L112" s="171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332"/>
      <c r="J113" s="178"/>
      <c r="K113" s="171"/>
      <c r="L113" s="171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332"/>
      <c r="J114" s="178"/>
      <c r="K114" s="171"/>
      <c r="L114" s="171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332"/>
      <c r="J115" s="178"/>
      <c r="K115" s="171"/>
      <c r="L115" s="171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332"/>
      <c r="J116" s="178"/>
      <c r="K116" s="171"/>
      <c r="L116" s="171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332"/>
      <c r="J117" s="178"/>
      <c r="K117" s="171"/>
      <c r="L117" s="171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332"/>
      <c r="J118" s="178"/>
      <c r="K118" s="171"/>
      <c r="L118" s="171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332"/>
      <c r="J119" s="178"/>
      <c r="K119" s="171"/>
      <c r="L119" s="171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332"/>
      <c r="J120" s="178"/>
      <c r="K120" s="171"/>
      <c r="L120" s="171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332"/>
      <c r="J121" s="178"/>
      <c r="K121" s="171"/>
      <c r="L121" s="171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332"/>
      <c r="J122" s="178"/>
      <c r="K122" s="171"/>
      <c r="L122" s="171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332"/>
      <c r="J123" s="178"/>
      <c r="K123" s="171"/>
      <c r="L123" s="171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332"/>
      <c r="J124" s="178"/>
      <c r="K124" s="171"/>
      <c r="L124" s="171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332"/>
      <c r="J125" s="178"/>
      <c r="K125" s="171"/>
      <c r="L125" s="171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332"/>
      <c r="J126" s="178"/>
      <c r="K126" s="171"/>
      <c r="L126" s="171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332"/>
      <c r="J127" s="178"/>
      <c r="K127" s="171"/>
      <c r="L127" s="171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332"/>
      <c r="J128" s="178"/>
      <c r="K128" s="171"/>
      <c r="L128" s="171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332"/>
      <c r="J129" s="178"/>
      <c r="K129" s="171"/>
      <c r="L129" s="171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332"/>
      <c r="J130" s="178"/>
      <c r="K130" s="171"/>
      <c r="L130" s="171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332"/>
      <c r="J131" s="178"/>
      <c r="K131" s="171"/>
      <c r="L131" s="171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332"/>
      <c r="J132" s="178"/>
      <c r="K132" s="171"/>
      <c r="L132" s="171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332"/>
      <c r="J133" s="178"/>
      <c r="K133" s="171"/>
      <c r="L133" s="171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332"/>
      <c r="J134" s="178"/>
      <c r="K134" s="171"/>
      <c r="L134" s="171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332"/>
      <c r="J135" s="178"/>
      <c r="K135" s="171"/>
      <c r="L135" s="171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332"/>
      <c r="J136" s="178"/>
      <c r="K136" s="171"/>
      <c r="L136" s="171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332"/>
      <c r="J137" s="178"/>
      <c r="K137" s="171"/>
      <c r="L137" s="171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332"/>
      <c r="J138" s="178"/>
      <c r="K138" s="171"/>
      <c r="L138" s="171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332"/>
      <c r="J139" s="178"/>
      <c r="K139" s="171"/>
      <c r="L139" s="171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332"/>
      <c r="J140" s="178"/>
      <c r="K140" s="171"/>
      <c r="L140" s="171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332"/>
      <c r="J141" s="178"/>
      <c r="K141" s="171"/>
      <c r="L141" s="171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  <c r="AC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332"/>
      <c r="J142" s="178"/>
      <c r="K142" s="171"/>
      <c r="L142" s="171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  <c r="AC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332"/>
      <c r="J143" s="178"/>
      <c r="K143" s="171"/>
      <c r="L143" s="171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  <c r="AC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332"/>
      <c r="J144" s="178"/>
      <c r="K144" s="171"/>
      <c r="L144" s="171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  <c r="AC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332"/>
      <c r="J145" s="178"/>
      <c r="K145" s="171"/>
      <c r="L145" s="171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  <c r="AC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332"/>
      <c r="J146" s="178"/>
      <c r="K146" s="171"/>
      <c r="L146" s="171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  <c r="AC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332"/>
      <c r="J147" s="178"/>
      <c r="K147" s="171"/>
      <c r="L147" s="171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  <c r="AC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332"/>
      <c r="J148" s="178"/>
      <c r="K148" s="171"/>
      <c r="L148" s="171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  <c r="AC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332"/>
      <c r="J149" s="178"/>
      <c r="K149" s="171"/>
      <c r="L149" s="171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332"/>
      <c r="J150" s="178"/>
      <c r="K150" s="171"/>
      <c r="L150" s="171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332"/>
      <c r="J151" s="178"/>
      <c r="K151" s="171"/>
      <c r="L151" s="171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332"/>
      <c r="J152" s="178"/>
      <c r="K152" s="171"/>
      <c r="L152" s="171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332"/>
      <c r="J153" s="178"/>
      <c r="K153" s="171"/>
      <c r="L153" s="171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332"/>
      <c r="J154" s="178"/>
      <c r="K154" s="171"/>
      <c r="L154" s="171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332"/>
      <c r="J155" s="178"/>
      <c r="K155" s="171"/>
      <c r="L155" s="171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332"/>
      <c r="J156" s="178"/>
      <c r="K156" s="171"/>
      <c r="L156" s="171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332"/>
      <c r="J157" s="178"/>
      <c r="K157" s="171"/>
      <c r="L157" s="171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332"/>
      <c r="J158" s="178"/>
      <c r="K158" s="171"/>
      <c r="L158" s="171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332"/>
      <c r="J159" s="178"/>
      <c r="K159" s="171"/>
      <c r="L159" s="171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332"/>
      <c r="J160" s="178"/>
      <c r="K160" s="171"/>
      <c r="L160" s="171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332"/>
      <c r="J161" s="178"/>
      <c r="K161" s="171"/>
      <c r="L161" s="171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332"/>
      <c r="J162" s="178"/>
      <c r="K162" s="171"/>
      <c r="L162" s="171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332"/>
      <c r="J163" s="178"/>
      <c r="K163" s="171"/>
      <c r="L163" s="171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332"/>
      <c r="J164" s="178"/>
      <c r="K164" s="171"/>
      <c r="L164" s="171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332"/>
      <c r="J165" s="178"/>
      <c r="K165" s="171"/>
      <c r="L165" s="171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332"/>
      <c r="J166" s="178"/>
      <c r="K166" s="171"/>
      <c r="L166" s="171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332"/>
      <c r="J167" s="178"/>
      <c r="K167" s="171"/>
      <c r="L167" s="171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332"/>
      <c r="J168" s="178"/>
      <c r="K168" s="171"/>
      <c r="L168" s="171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332"/>
      <c r="J169" s="178"/>
      <c r="K169" s="171"/>
      <c r="L169" s="171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332"/>
      <c r="J170" s="178"/>
      <c r="K170" s="171"/>
      <c r="L170" s="171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  <c r="AC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332"/>
      <c r="J171" s="178"/>
      <c r="K171" s="171"/>
      <c r="L171" s="171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  <c r="AC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332"/>
      <c r="J172" s="178"/>
      <c r="K172" s="171"/>
      <c r="L172" s="171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332"/>
      <c r="J173" s="178"/>
      <c r="K173" s="171"/>
      <c r="L173" s="171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332"/>
      <c r="J174" s="178"/>
      <c r="K174" s="171"/>
      <c r="L174" s="171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332"/>
      <c r="J175" s="178"/>
      <c r="K175" s="171"/>
      <c r="L175" s="171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332"/>
      <c r="J176" s="178"/>
      <c r="K176" s="171"/>
      <c r="L176" s="171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332"/>
      <c r="J177" s="178"/>
      <c r="K177" s="171"/>
      <c r="L177" s="171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332"/>
      <c r="J178" s="178"/>
      <c r="K178" s="171"/>
      <c r="L178" s="171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332"/>
      <c r="J179" s="178"/>
      <c r="K179" s="171"/>
      <c r="L179" s="171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332"/>
      <c r="J180" s="178"/>
      <c r="K180" s="171"/>
      <c r="L180" s="171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332"/>
      <c r="J181" s="178"/>
      <c r="K181" s="171"/>
      <c r="L181" s="171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332"/>
      <c r="J182" s="178"/>
      <c r="K182" s="171"/>
      <c r="L182" s="171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332"/>
      <c r="J183" s="178"/>
      <c r="K183" s="171"/>
      <c r="L183" s="171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332"/>
      <c r="J184" s="178"/>
      <c r="K184" s="171"/>
      <c r="L184" s="171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332"/>
      <c r="J185" s="178"/>
      <c r="K185" s="171"/>
      <c r="L185" s="171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332"/>
      <c r="J186" s="178"/>
      <c r="K186" s="171"/>
      <c r="L186" s="171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332"/>
      <c r="J187" s="178"/>
      <c r="K187" s="171"/>
      <c r="L187" s="171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332"/>
      <c r="J188" s="178"/>
      <c r="K188" s="171"/>
      <c r="L188" s="171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332"/>
      <c r="J189" s="178"/>
      <c r="K189" s="171"/>
      <c r="L189" s="171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332"/>
      <c r="J190" s="178"/>
      <c r="K190" s="171"/>
      <c r="L190" s="171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332"/>
      <c r="J191" s="178"/>
      <c r="K191" s="171"/>
      <c r="L191" s="171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332"/>
      <c r="J192" s="178"/>
      <c r="K192" s="171"/>
      <c r="L192" s="171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332"/>
      <c r="J193" s="178"/>
      <c r="K193" s="171"/>
      <c r="L193" s="171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332"/>
      <c r="J194" s="178"/>
      <c r="K194" s="171"/>
      <c r="L194" s="171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332"/>
      <c r="J195" s="178"/>
      <c r="K195" s="171"/>
      <c r="L195" s="171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332"/>
      <c r="J196" s="178"/>
      <c r="K196" s="171"/>
      <c r="L196" s="171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332"/>
      <c r="J197" s="178"/>
      <c r="K197" s="171"/>
      <c r="L197" s="171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332"/>
      <c r="J198" s="178"/>
      <c r="K198" s="171"/>
      <c r="L198" s="171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332"/>
      <c r="J199" s="178"/>
      <c r="K199" s="171"/>
      <c r="L199" s="171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332"/>
      <c r="J200" s="178"/>
      <c r="K200" s="171"/>
      <c r="L200" s="171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332"/>
      <c r="J201" s="178"/>
      <c r="K201" s="171"/>
      <c r="L201" s="171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332"/>
      <c r="J202" s="178"/>
      <c r="K202" s="171"/>
      <c r="L202" s="171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332"/>
      <c r="J203" s="178"/>
      <c r="K203" s="171"/>
      <c r="L203" s="171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332"/>
      <c r="J204" s="178"/>
      <c r="K204" s="171"/>
      <c r="L204" s="171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332"/>
      <c r="J205" s="178"/>
      <c r="K205" s="171"/>
      <c r="L205" s="171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332"/>
      <c r="J206" s="178"/>
      <c r="K206" s="171"/>
      <c r="L206" s="171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332"/>
      <c r="J207" s="178"/>
      <c r="K207" s="171"/>
      <c r="L207" s="171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332"/>
      <c r="J208" s="178"/>
      <c r="K208" s="171"/>
      <c r="L208" s="171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332"/>
      <c r="J209" s="178"/>
      <c r="K209" s="171"/>
      <c r="L209" s="171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332"/>
      <c r="J210" s="178"/>
      <c r="K210" s="171"/>
      <c r="L210" s="171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332"/>
      <c r="J211" s="178"/>
      <c r="K211" s="171"/>
      <c r="L211" s="171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332"/>
      <c r="J212" s="178"/>
      <c r="K212" s="171"/>
      <c r="L212" s="171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332"/>
      <c r="J213" s="178"/>
      <c r="K213" s="171"/>
      <c r="L213" s="171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332"/>
      <c r="J214" s="178"/>
      <c r="K214" s="171"/>
      <c r="L214" s="171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332"/>
      <c r="J215" s="178"/>
      <c r="K215" s="171"/>
      <c r="L215" s="171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332"/>
      <c r="J216" s="178"/>
      <c r="K216" s="171"/>
      <c r="L216" s="171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332"/>
      <c r="J217" s="178"/>
      <c r="K217" s="171"/>
      <c r="L217" s="171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332"/>
      <c r="J218" s="178"/>
      <c r="K218" s="171"/>
      <c r="L218" s="171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332"/>
      <c r="J219" s="178"/>
      <c r="K219" s="171"/>
      <c r="L219" s="171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332"/>
      <c r="J220" s="178"/>
      <c r="K220" s="171"/>
      <c r="L220" s="171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332"/>
      <c r="J221" s="178"/>
      <c r="K221" s="171"/>
      <c r="L221" s="171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332"/>
      <c r="J222" s="178"/>
      <c r="K222" s="171"/>
      <c r="L222" s="171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332"/>
      <c r="J223" s="178"/>
      <c r="K223" s="171"/>
      <c r="L223" s="171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332"/>
      <c r="J224" s="178"/>
      <c r="K224" s="171"/>
      <c r="L224" s="171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332"/>
      <c r="J225" s="178"/>
      <c r="K225" s="171"/>
      <c r="L225" s="171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332"/>
      <c r="J226" s="178"/>
      <c r="K226" s="171"/>
      <c r="L226" s="171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332"/>
      <c r="J227" s="178"/>
      <c r="K227" s="171"/>
      <c r="L227" s="171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332"/>
      <c r="J228" s="178"/>
      <c r="K228" s="171"/>
      <c r="L228" s="171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332"/>
      <c r="J229" s="178"/>
      <c r="K229" s="171"/>
      <c r="L229" s="171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332"/>
      <c r="J230" s="178"/>
      <c r="K230" s="171"/>
      <c r="L230" s="171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332"/>
      <c r="J231" s="178"/>
      <c r="K231" s="171"/>
      <c r="L231" s="171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332"/>
      <c r="J232" s="178"/>
      <c r="K232" s="171"/>
      <c r="L232" s="171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332"/>
      <c r="J233" s="178"/>
      <c r="K233" s="171"/>
      <c r="L233" s="171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332"/>
      <c r="J234" s="178"/>
      <c r="K234" s="171"/>
      <c r="L234" s="171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332"/>
      <c r="J235" s="178"/>
      <c r="K235" s="171"/>
      <c r="L235" s="171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332"/>
      <c r="J236" s="178"/>
      <c r="K236" s="171"/>
      <c r="L236" s="171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332"/>
      <c r="J237" s="178"/>
      <c r="K237" s="171"/>
      <c r="L237" s="171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332"/>
      <c r="J238" s="178"/>
      <c r="K238" s="171"/>
      <c r="L238" s="171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332"/>
      <c r="J239" s="178"/>
      <c r="K239" s="171"/>
      <c r="L239" s="171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332"/>
      <c r="J240" s="178"/>
      <c r="K240" s="171"/>
      <c r="L240" s="171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332"/>
      <c r="J241" s="178"/>
      <c r="K241" s="171"/>
      <c r="L241" s="171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332"/>
      <c r="J242" s="178"/>
      <c r="K242" s="171"/>
      <c r="L242" s="171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332"/>
      <c r="J243" s="178"/>
      <c r="K243" s="171"/>
      <c r="L243" s="171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332"/>
      <c r="J244" s="178"/>
      <c r="K244" s="171"/>
      <c r="L244" s="171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332"/>
      <c r="J245" s="178"/>
      <c r="K245" s="171"/>
      <c r="L245" s="171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332"/>
      <c r="J246" s="178"/>
      <c r="K246" s="171"/>
      <c r="L246" s="171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332"/>
      <c r="J247" s="178"/>
      <c r="K247" s="171"/>
      <c r="L247" s="171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332"/>
      <c r="J248" s="178"/>
      <c r="K248" s="171"/>
      <c r="L248" s="171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332"/>
      <c r="J249" s="178"/>
      <c r="K249" s="171"/>
      <c r="L249" s="171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332"/>
      <c r="J250" s="178"/>
      <c r="K250" s="171"/>
      <c r="L250" s="171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332"/>
      <c r="J251" s="178"/>
      <c r="K251" s="171"/>
      <c r="L251" s="171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332"/>
      <c r="J252" s="178"/>
      <c r="K252" s="171"/>
      <c r="L252" s="171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332"/>
      <c r="J253" s="178"/>
      <c r="K253" s="171"/>
      <c r="L253" s="171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332"/>
      <c r="J254" s="178"/>
      <c r="K254" s="171"/>
      <c r="L254" s="171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332"/>
      <c r="J255" s="178"/>
      <c r="K255" s="171"/>
      <c r="L255" s="171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332"/>
      <c r="J256" s="178"/>
      <c r="K256" s="171"/>
      <c r="L256" s="171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332"/>
      <c r="J257" s="178"/>
      <c r="K257" s="171"/>
      <c r="L257" s="171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332"/>
      <c r="J258" s="178"/>
      <c r="K258" s="171"/>
      <c r="L258" s="171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332"/>
      <c r="J259" s="178"/>
      <c r="K259" s="171"/>
      <c r="L259" s="171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332"/>
      <c r="J260" s="178"/>
      <c r="K260" s="171"/>
      <c r="L260" s="171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332"/>
      <c r="J261" s="178"/>
      <c r="K261" s="171"/>
      <c r="L261" s="171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332"/>
      <c r="J262" s="178"/>
      <c r="K262" s="171"/>
      <c r="L262" s="171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332"/>
      <c r="J263" s="178"/>
      <c r="K263" s="171"/>
      <c r="L263" s="171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332"/>
      <c r="J264" s="178"/>
      <c r="K264" s="171"/>
      <c r="L264" s="171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332"/>
      <c r="J265" s="178"/>
      <c r="K265" s="171"/>
      <c r="L265" s="171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332"/>
      <c r="J266" s="178"/>
      <c r="K266" s="171"/>
      <c r="L266" s="171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332"/>
      <c r="J267" s="178"/>
      <c r="K267" s="171"/>
      <c r="L267" s="171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332"/>
      <c r="J268" s="178"/>
      <c r="K268" s="171"/>
      <c r="L268" s="171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332"/>
      <c r="J269" s="178"/>
      <c r="K269" s="171"/>
      <c r="L269" s="171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332"/>
      <c r="J270" s="178"/>
      <c r="K270" s="171"/>
      <c r="L270" s="171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332"/>
      <c r="J271" s="178"/>
      <c r="K271" s="171"/>
      <c r="L271" s="171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332"/>
      <c r="J272" s="178"/>
      <c r="K272" s="171"/>
      <c r="L272" s="171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332"/>
      <c r="J273" s="178"/>
      <c r="K273" s="171"/>
      <c r="L273" s="171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332"/>
      <c r="J274" s="178"/>
      <c r="K274" s="171"/>
      <c r="L274" s="171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332"/>
      <c r="J275" s="178"/>
      <c r="K275" s="171"/>
      <c r="L275" s="171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332"/>
      <c r="J276" s="178"/>
      <c r="K276" s="171"/>
      <c r="L276" s="171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332"/>
      <c r="J277" s="178"/>
      <c r="K277" s="171"/>
      <c r="L277" s="171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332"/>
      <c r="J278" s="178"/>
      <c r="K278" s="171"/>
      <c r="L278" s="171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332"/>
      <c r="J279" s="178"/>
      <c r="K279" s="171"/>
      <c r="L279" s="171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332"/>
      <c r="J280" s="178"/>
      <c r="K280" s="171"/>
      <c r="L280" s="171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332"/>
      <c r="J281" s="178"/>
      <c r="K281" s="171"/>
      <c r="L281" s="171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332"/>
      <c r="J282" s="178"/>
      <c r="K282" s="171"/>
      <c r="L282" s="171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332"/>
      <c r="J283" s="178"/>
      <c r="K283" s="171"/>
      <c r="L283" s="171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332"/>
      <c r="J284" s="178"/>
      <c r="K284" s="171"/>
      <c r="L284" s="171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332"/>
      <c r="J285" s="178"/>
      <c r="K285" s="171"/>
      <c r="L285" s="171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332"/>
      <c r="J286" s="178"/>
      <c r="K286" s="171"/>
      <c r="L286" s="171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332"/>
      <c r="J287" s="178"/>
      <c r="K287" s="171"/>
      <c r="L287" s="171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332"/>
      <c r="J288" s="178"/>
      <c r="K288" s="171"/>
      <c r="L288" s="171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332"/>
      <c r="J289" s="178"/>
      <c r="K289" s="171"/>
      <c r="L289" s="171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332"/>
      <c r="J290" s="178"/>
      <c r="K290" s="171"/>
      <c r="L290" s="171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332"/>
      <c r="J291" s="178"/>
      <c r="K291" s="171"/>
      <c r="L291" s="171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332"/>
      <c r="J292" s="178"/>
      <c r="K292" s="171"/>
      <c r="L292" s="171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332"/>
      <c r="J293" s="178"/>
      <c r="K293" s="171"/>
      <c r="L293" s="171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332"/>
      <c r="J294" s="178"/>
      <c r="K294" s="171"/>
      <c r="L294" s="171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332"/>
      <c r="J295" s="178"/>
      <c r="K295" s="171"/>
      <c r="L295" s="171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332"/>
      <c r="J296" s="178"/>
      <c r="K296" s="171"/>
      <c r="L296" s="171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332"/>
      <c r="J297" s="178"/>
      <c r="K297" s="171"/>
      <c r="L297" s="171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332"/>
      <c r="J298" s="178"/>
      <c r="K298" s="171"/>
      <c r="L298" s="171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332"/>
      <c r="J299" s="178"/>
      <c r="K299" s="171"/>
      <c r="L299" s="171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332"/>
      <c r="J300" s="178"/>
      <c r="K300" s="171"/>
      <c r="L300" s="171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332"/>
      <c r="J301" s="178"/>
      <c r="K301" s="171"/>
      <c r="L301" s="171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332"/>
      <c r="J302" s="178"/>
      <c r="K302" s="171"/>
      <c r="L302" s="171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332"/>
      <c r="J303" s="178"/>
      <c r="K303" s="171"/>
      <c r="L303" s="171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332"/>
      <c r="J304" s="178"/>
      <c r="K304" s="171"/>
      <c r="L304" s="171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332"/>
      <c r="J305" s="178"/>
      <c r="K305" s="171"/>
      <c r="L305" s="171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332"/>
      <c r="J306" s="178"/>
      <c r="K306" s="171"/>
      <c r="L306" s="171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332"/>
      <c r="J307" s="178"/>
      <c r="K307" s="171"/>
      <c r="L307" s="171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332"/>
      <c r="J308" s="178"/>
      <c r="K308" s="171"/>
      <c r="L308" s="171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332"/>
      <c r="J309" s="178"/>
      <c r="K309" s="171"/>
      <c r="L309" s="171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332"/>
      <c r="J310" s="178"/>
      <c r="K310" s="171"/>
      <c r="L310" s="171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332"/>
      <c r="J311" s="178"/>
      <c r="K311" s="171"/>
      <c r="L311" s="171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332"/>
      <c r="J312" s="178"/>
      <c r="K312" s="171"/>
      <c r="L312" s="171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332"/>
      <c r="J313" s="178"/>
      <c r="K313" s="171"/>
      <c r="L313" s="171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332"/>
      <c r="J314" s="178"/>
      <c r="K314" s="171"/>
      <c r="L314" s="171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332"/>
      <c r="J315" s="178"/>
      <c r="K315" s="171"/>
      <c r="L315" s="171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332"/>
      <c r="J316" s="178"/>
      <c r="K316" s="171"/>
      <c r="L316" s="171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332"/>
      <c r="J317" s="178"/>
      <c r="K317" s="171"/>
      <c r="L317" s="171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332"/>
      <c r="J318" s="178"/>
      <c r="K318" s="171"/>
      <c r="L318" s="171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332"/>
      <c r="J319" s="178"/>
      <c r="K319" s="171"/>
      <c r="L319" s="171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332"/>
      <c r="J320" s="178"/>
      <c r="K320" s="171"/>
      <c r="L320" s="171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332"/>
      <c r="J321" s="178"/>
      <c r="K321" s="171"/>
      <c r="L321" s="171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332"/>
      <c r="J322" s="178"/>
      <c r="K322" s="171"/>
      <c r="L322" s="171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332"/>
      <c r="J323" s="178"/>
      <c r="K323" s="171"/>
      <c r="L323" s="171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332"/>
      <c r="J324" s="178"/>
      <c r="K324" s="171"/>
      <c r="L324" s="171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332"/>
      <c r="J325" s="178"/>
      <c r="K325" s="171"/>
      <c r="L325" s="171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332"/>
      <c r="J326" s="178"/>
      <c r="K326" s="171"/>
      <c r="L326" s="171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332"/>
      <c r="J327" s="178"/>
      <c r="K327" s="171"/>
      <c r="L327" s="171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332"/>
      <c r="J328" s="178"/>
      <c r="K328" s="171"/>
      <c r="L328" s="171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332"/>
      <c r="J329" s="178"/>
      <c r="K329" s="171"/>
      <c r="L329" s="171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332"/>
      <c r="J330" s="178"/>
      <c r="K330" s="171"/>
      <c r="L330" s="171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332"/>
      <c r="J331" s="178"/>
      <c r="K331" s="171"/>
      <c r="L331" s="171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332"/>
      <c r="J332" s="178"/>
      <c r="K332" s="171"/>
      <c r="L332" s="171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332"/>
      <c r="J333" s="178"/>
      <c r="K333" s="171"/>
      <c r="L333" s="171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332"/>
      <c r="J334" s="178"/>
      <c r="K334" s="171"/>
      <c r="L334" s="171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332"/>
      <c r="J335" s="178"/>
      <c r="K335" s="171"/>
      <c r="L335" s="171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332"/>
      <c r="J336" s="178"/>
      <c r="K336" s="171"/>
      <c r="L336" s="171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332"/>
      <c r="J337" s="178"/>
      <c r="K337" s="171"/>
      <c r="L337" s="171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332"/>
      <c r="J338" s="178"/>
      <c r="K338" s="171"/>
      <c r="L338" s="171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332"/>
      <c r="J339" s="178"/>
      <c r="K339" s="171"/>
      <c r="L339" s="171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332"/>
      <c r="J340" s="178"/>
      <c r="K340" s="171"/>
      <c r="L340" s="171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332"/>
      <c r="J341" s="178"/>
      <c r="K341" s="171"/>
      <c r="L341" s="171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332"/>
      <c r="J342" s="178"/>
      <c r="K342" s="171"/>
      <c r="L342" s="171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332"/>
      <c r="J343" s="178"/>
      <c r="K343" s="171"/>
      <c r="L343" s="171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332"/>
      <c r="J344" s="178"/>
      <c r="K344" s="171"/>
      <c r="L344" s="171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332"/>
      <c r="J345" s="178"/>
      <c r="K345" s="171"/>
      <c r="L345" s="171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332"/>
      <c r="J346" s="178"/>
      <c r="K346" s="171"/>
      <c r="L346" s="171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332"/>
      <c r="J347" s="178"/>
      <c r="K347" s="171"/>
      <c r="L347" s="171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332"/>
      <c r="J348" s="178"/>
      <c r="K348" s="171"/>
      <c r="L348" s="171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332"/>
      <c r="J349" s="178"/>
      <c r="K349" s="171"/>
      <c r="L349" s="171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332"/>
      <c r="J350" s="178"/>
      <c r="K350" s="171"/>
      <c r="L350" s="171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332"/>
      <c r="J351" s="178"/>
      <c r="K351" s="171"/>
      <c r="L351" s="171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332"/>
      <c r="J352" s="178"/>
      <c r="K352" s="171"/>
      <c r="L352" s="171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332"/>
      <c r="J353" s="178"/>
      <c r="K353" s="171"/>
      <c r="L353" s="171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332"/>
      <c r="J354" s="178"/>
      <c r="K354" s="171"/>
      <c r="L354" s="171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332"/>
      <c r="J355" s="178"/>
      <c r="K355" s="171"/>
      <c r="L355" s="171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332"/>
      <c r="J356" s="178"/>
      <c r="K356" s="171"/>
      <c r="L356" s="171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332"/>
      <c r="J357" s="178"/>
      <c r="K357" s="171"/>
      <c r="L357" s="171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332"/>
      <c r="J358" s="178"/>
      <c r="K358" s="171"/>
      <c r="L358" s="171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332"/>
      <c r="J359" s="178"/>
      <c r="K359" s="171"/>
      <c r="L359" s="171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332"/>
      <c r="J360" s="178"/>
      <c r="K360" s="171"/>
      <c r="L360" s="171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332"/>
      <c r="J361" s="178"/>
      <c r="K361" s="171"/>
      <c r="L361" s="171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332"/>
      <c r="J362" s="178"/>
      <c r="K362" s="171"/>
      <c r="L362" s="171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332"/>
      <c r="J363" s="178"/>
      <c r="K363" s="171"/>
      <c r="L363" s="171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332"/>
      <c r="J364" s="178"/>
      <c r="K364" s="171"/>
      <c r="L364" s="171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332"/>
      <c r="J365" s="178"/>
      <c r="K365" s="171"/>
      <c r="L365" s="171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332"/>
      <c r="J366" s="178"/>
      <c r="K366" s="171"/>
      <c r="L366" s="171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332"/>
      <c r="J367" s="178"/>
      <c r="K367" s="171"/>
      <c r="L367" s="171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332"/>
      <c r="J368" s="178"/>
      <c r="K368" s="171"/>
      <c r="L368" s="171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332"/>
      <c r="J369" s="178"/>
      <c r="K369" s="171"/>
      <c r="L369" s="171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332"/>
      <c r="J370" s="178"/>
      <c r="K370" s="171"/>
      <c r="L370" s="171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332"/>
      <c r="J371" s="178"/>
      <c r="K371" s="171"/>
      <c r="L371" s="171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332"/>
      <c r="J372" s="178"/>
      <c r="K372" s="171"/>
      <c r="L372" s="171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332"/>
      <c r="J373" s="178"/>
      <c r="K373" s="171"/>
      <c r="L373" s="171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332"/>
      <c r="J374" s="178"/>
      <c r="K374" s="171"/>
      <c r="L374" s="171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332"/>
      <c r="J375" s="178"/>
      <c r="K375" s="171"/>
      <c r="L375" s="171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332"/>
      <c r="J376" s="178"/>
      <c r="K376" s="171"/>
      <c r="L376" s="171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332"/>
      <c r="J377" s="178"/>
      <c r="K377" s="171"/>
      <c r="L377" s="171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332"/>
      <c r="J378" s="178"/>
      <c r="K378" s="171"/>
      <c r="L378" s="171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332"/>
      <c r="J379" s="178"/>
      <c r="K379" s="171"/>
      <c r="L379" s="171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332"/>
      <c r="J380" s="178"/>
      <c r="K380" s="171"/>
      <c r="L380" s="171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332"/>
      <c r="J381" s="178"/>
      <c r="K381" s="171"/>
      <c r="L381" s="171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332"/>
      <c r="J382" s="178"/>
      <c r="K382" s="171"/>
      <c r="L382" s="171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332"/>
      <c r="J383" s="178"/>
      <c r="K383" s="171"/>
      <c r="L383" s="171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332"/>
      <c r="J384" s="178"/>
      <c r="K384" s="171"/>
      <c r="L384" s="171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332"/>
      <c r="J385" s="178"/>
      <c r="K385" s="171"/>
      <c r="L385" s="171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332"/>
      <c r="J386" s="178"/>
      <c r="K386" s="171"/>
      <c r="L386" s="171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332"/>
      <c r="J387" s="178"/>
      <c r="K387" s="171"/>
      <c r="L387" s="171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332"/>
      <c r="J388" s="178"/>
      <c r="K388" s="171"/>
      <c r="L388" s="171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332"/>
      <c r="J389" s="178"/>
      <c r="K389" s="171"/>
      <c r="L389" s="171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332"/>
      <c r="J390" s="178"/>
      <c r="K390" s="171"/>
      <c r="L390" s="171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332"/>
      <c r="J391" s="178"/>
      <c r="K391" s="171"/>
      <c r="L391" s="171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332"/>
      <c r="J392" s="178"/>
      <c r="K392" s="171"/>
      <c r="L392" s="171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332"/>
      <c r="J393" s="178"/>
      <c r="K393" s="171"/>
      <c r="L393" s="171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332"/>
      <c r="J394" s="178"/>
      <c r="K394" s="171"/>
      <c r="L394" s="171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332"/>
      <c r="J395" s="178"/>
      <c r="K395" s="171"/>
      <c r="L395" s="171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332"/>
      <c r="J396" s="178"/>
      <c r="K396" s="171"/>
      <c r="L396" s="171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332"/>
      <c r="J397" s="178"/>
      <c r="K397" s="171"/>
      <c r="L397" s="171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332"/>
      <c r="J398" s="178"/>
      <c r="K398" s="171"/>
      <c r="L398" s="171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332"/>
      <c r="J399" s="178"/>
      <c r="K399" s="171"/>
      <c r="L399" s="171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332"/>
      <c r="J400" s="178"/>
      <c r="K400" s="171"/>
      <c r="L400" s="171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332"/>
      <c r="J401" s="178"/>
      <c r="K401" s="171"/>
      <c r="L401" s="171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332"/>
      <c r="J402" s="178"/>
      <c r="K402" s="171"/>
      <c r="L402" s="171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332"/>
      <c r="J403" s="178"/>
      <c r="K403" s="171"/>
      <c r="L403" s="171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332"/>
      <c r="J404" s="178"/>
      <c r="K404" s="171"/>
      <c r="L404" s="171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332"/>
      <c r="J405" s="178"/>
      <c r="K405" s="171"/>
      <c r="L405" s="171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332"/>
      <c r="J406" s="178"/>
      <c r="K406" s="171"/>
      <c r="L406" s="171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332"/>
      <c r="J407" s="178"/>
      <c r="K407" s="171"/>
      <c r="L407" s="171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332"/>
      <c r="J408" s="178"/>
      <c r="K408" s="171"/>
      <c r="L408" s="171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332"/>
      <c r="J409" s="178"/>
      <c r="K409" s="171"/>
      <c r="L409" s="171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332"/>
      <c r="J410" s="178"/>
      <c r="K410" s="171"/>
      <c r="L410" s="171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332"/>
      <c r="J411" s="178"/>
      <c r="K411" s="171"/>
      <c r="L411" s="171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332"/>
      <c r="J412" s="178"/>
      <c r="K412" s="171"/>
      <c r="L412" s="171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332"/>
      <c r="J413" s="178"/>
      <c r="K413" s="171"/>
      <c r="L413" s="171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332"/>
      <c r="J414" s="178"/>
      <c r="K414" s="171"/>
      <c r="L414" s="171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332"/>
      <c r="J415" s="178"/>
      <c r="K415" s="171"/>
      <c r="L415" s="171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332"/>
      <c r="J416" s="178"/>
      <c r="K416" s="171"/>
      <c r="L416" s="171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332"/>
      <c r="J417" s="178"/>
      <c r="K417" s="171"/>
      <c r="L417" s="171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332"/>
      <c r="J418" s="178"/>
      <c r="K418" s="171"/>
      <c r="L418" s="171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332"/>
      <c r="J419" s="178"/>
      <c r="K419" s="171"/>
      <c r="L419" s="171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332"/>
      <c r="J420" s="178"/>
      <c r="K420" s="171"/>
      <c r="L420" s="171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332"/>
      <c r="J421" s="178"/>
      <c r="K421" s="171"/>
      <c r="L421" s="171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332"/>
      <c r="J422" s="178"/>
      <c r="K422" s="171"/>
      <c r="L422" s="171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332"/>
      <c r="J423" s="178"/>
      <c r="K423" s="171"/>
      <c r="L423" s="171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332"/>
      <c r="J424" s="178"/>
      <c r="K424" s="171"/>
      <c r="L424" s="171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332"/>
      <c r="J425" s="178"/>
      <c r="K425" s="171"/>
      <c r="L425" s="171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332"/>
      <c r="J426" s="178"/>
      <c r="K426" s="171"/>
      <c r="L426" s="171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332"/>
      <c r="J427" s="178"/>
      <c r="K427" s="171"/>
      <c r="L427" s="171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332"/>
      <c r="J428" s="178"/>
      <c r="K428" s="171"/>
      <c r="L428" s="171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332"/>
      <c r="J429" s="178"/>
      <c r="K429" s="171"/>
      <c r="L429" s="171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332"/>
      <c r="J430" s="178"/>
      <c r="K430" s="171"/>
      <c r="L430" s="171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332"/>
      <c r="J431" s="178"/>
      <c r="K431" s="171"/>
      <c r="L431" s="171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332"/>
      <c r="J432" s="178"/>
      <c r="K432" s="171"/>
      <c r="L432" s="171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332"/>
      <c r="J433" s="178"/>
      <c r="K433" s="171"/>
      <c r="L433" s="171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332"/>
      <c r="J434" s="178"/>
      <c r="K434" s="171"/>
      <c r="L434" s="171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332"/>
      <c r="J435" s="178"/>
      <c r="K435" s="171"/>
      <c r="L435" s="171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332"/>
      <c r="J436" s="178"/>
      <c r="K436" s="171"/>
      <c r="L436" s="171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332"/>
      <c r="J437" s="178"/>
      <c r="K437" s="171"/>
      <c r="L437" s="171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332"/>
      <c r="J438" s="178"/>
      <c r="K438" s="171"/>
      <c r="L438" s="171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332"/>
      <c r="J439" s="178"/>
      <c r="K439" s="171"/>
      <c r="L439" s="171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332"/>
      <c r="J440" s="178"/>
      <c r="K440" s="171"/>
      <c r="L440" s="171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332"/>
      <c r="J441" s="178"/>
      <c r="K441" s="171"/>
      <c r="L441" s="171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332"/>
      <c r="J442" s="178"/>
      <c r="K442" s="171"/>
      <c r="L442" s="171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332"/>
      <c r="J443" s="178"/>
      <c r="K443" s="171"/>
      <c r="L443" s="171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332"/>
      <c r="J444" s="178"/>
      <c r="K444" s="171"/>
      <c r="L444" s="171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332"/>
      <c r="J445" s="178"/>
      <c r="K445" s="171"/>
      <c r="L445" s="171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332"/>
      <c r="J446" s="178"/>
      <c r="K446" s="171"/>
      <c r="L446" s="171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332"/>
      <c r="J447" s="178"/>
      <c r="K447" s="171"/>
      <c r="L447" s="171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332"/>
      <c r="J448" s="178"/>
      <c r="K448" s="171"/>
      <c r="L448" s="171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332"/>
      <c r="J449" s="178"/>
      <c r="K449" s="171"/>
      <c r="L449" s="171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332"/>
      <c r="J450" s="178"/>
      <c r="K450" s="171"/>
      <c r="L450" s="171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332"/>
      <c r="J451" s="178"/>
      <c r="K451" s="171"/>
      <c r="L451" s="171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332"/>
      <c r="J452" s="178"/>
      <c r="K452" s="171"/>
      <c r="L452" s="171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332"/>
      <c r="J453" s="178"/>
      <c r="K453" s="171"/>
      <c r="L453" s="171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332"/>
      <c r="J454" s="178"/>
      <c r="K454" s="171"/>
      <c r="L454" s="171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332"/>
      <c r="J455" s="178"/>
      <c r="K455" s="171"/>
      <c r="L455" s="171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332"/>
      <c r="J456" s="178"/>
      <c r="K456" s="171"/>
      <c r="L456" s="171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332"/>
      <c r="J457" s="178"/>
      <c r="K457" s="171"/>
      <c r="L457" s="171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332"/>
      <c r="J458" s="178"/>
      <c r="K458" s="171"/>
      <c r="L458" s="171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332"/>
      <c r="J459" s="178"/>
      <c r="K459" s="171"/>
      <c r="L459" s="171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332"/>
      <c r="J460" s="178"/>
      <c r="K460" s="171"/>
      <c r="L460" s="171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332"/>
      <c r="J461" s="178"/>
      <c r="K461" s="171"/>
      <c r="L461" s="171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332"/>
      <c r="J462" s="178"/>
      <c r="K462" s="171"/>
      <c r="L462" s="171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332"/>
      <c r="J463" s="178"/>
      <c r="K463" s="171"/>
      <c r="L463" s="171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332"/>
      <c r="J464" s="178"/>
      <c r="K464" s="171"/>
      <c r="L464" s="171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332"/>
      <c r="J465" s="178"/>
      <c r="K465" s="171"/>
      <c r="L465" s="171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332"/>
      <c r="J466" s="178"/>
      <c r="K466" s="171"/>
      <c r="L466" s="171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332"/>
      <c r="J467" s="178"/>
      <c r="K467" s="171"/>
      <c r="L467" s="171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332"/>
      <c r="J468" s="178"/>
      <c r="K468" s="171"/>
      <c r="L468" s="171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332"/>
      <c r="J469" s="178"/>
      <c r="K469" s="171"/>
      <c r="L469" s="171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332"/>
      <c r="J470" s="178"/>
      <c r="K470" s="171"/>
      <c r="L470" s="171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332"/>
      <c r="J471" s="178"/>
      <c r="K471" s="171"/>
      <c r="L471" s="171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332"/>
      <c r="J472" s="178"/>
      <c r="K472" s="171"/>
      <c r="L472" s="171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332"/>
      <c r="J473" s="178"/>
      <c r="K473" s="171"/>
      <c r="L473" s="171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332"/>
      <c r="J474" s="178"/>
      <c r="K474" s="171"/>
      <c r="L474" s="171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332"/>
      <c r="J475" s="178"/>
      <c r="K475" s="171"/>
      <c r="L475" s="171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332"/>
      <c r="J476" s="178"/>
      <c r="K476" s="171"/>
      <c r="L476" s="171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332"/>
      <c r="J477" s="178"/>
      <c r="K477" s="171"/>
      <c r="L477" s="171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332"/>
      <c r="J478" s="178"/>
      <c r="K478" s="171"/>
      <c r="L478" s="171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332"/>
      <c r="J479" s="178"/>
      <c r="K479" s="171"/>
      <c r="L479" s="171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332"/>
      <c r="J480" s="178"/>
      <c r="K480" s="171"/>
      <c r="L480" s="171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332"/>
      <c r="J481" s="178"/>
      <c r="K481" s="171"/>
      <c r="L481" s="171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332"/>
      <c r="J482" s="178"/>
      <c r="K482" s="171"/>
      <c r="L482" s="171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332"/>
      <c r="J483" s="178"/>
      <c r="K483" s="171"/>
      <c r="L483" s="171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332"/>
      <c r="J484" s="178"/>
      <c r="K484" s="171"/>
      <c r="L484" s="171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332"/>
      <c r="J485" s="178"/>
      <c r="K485" s="171"/>
      <c r="L485" s="171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332"/>
      <c r="J486" s="178"/>
      <c r="K486" s="171"/>
      <c r="L486" s="171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332"/>
      <c r="J487" s="178"/>
      <c r="K487" s="171"/>
      <c r="L487" s="171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332"/>
      <c r="J488" s="178"/>
      <c r="K488" s="171"/>
      <c r="L488" s="171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332"/>
      <c r="J489" s="178"/>
      <c r="K489" s="171"/>
      <c r="L489" s="171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332"/>
      <c r="J490" s="178"/>
      <c r="K490" s="171"/>
      <c r="L490" s="171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332"/>
      <c r="J491" s="178"/>
      <c r="K491" s="171"/>
      <c r="L491" s="171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332"/>
      <c r="J492" s="178"/>
      <c r="K492" s="171"/>
      <c r="L492" s="171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332"/>
      <c r="J493" s="178"/>
      <c r="K493" s="171"/>
      <c r="L493" s="171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332"/>
      <c r="J494" s="178"/>
      <c r="K494" s="171"/>
      <c r="L494" s="171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332"/>
      <c r="J495" s="178"/>
      <c r="K495" s="171"/>
      <c r="L495" s="171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332"/>
      <c r="J496" s="178"/>
      <c r="K496" s="171"/>
      <c r="L496" s="171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332"/>
      <c r="J497" s="178"/>
      <c r="K497" s="171"/>
      <c r="L497" s="171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332"/>
      <c r="J498" s="178"/>
      <c r="K498" s="171"/>
      <c r="L498" s="171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332"/>
      <c r="J499" s="178"/>
      <c r="K499" s="171"/>
      <c r="L499" s="171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332"/>
      <c r="J500" s="178"/>
      <c r="K500" s="171"/>
      <c r="L500" s="171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332"/>
      <c r="J501" s="178"/>
      <c r="K501" s="171"/>
      <c r="L501" s="171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332"/>
      <c r="J502" s="178"/>
      <c r="K502" s="171"/>
      <c r="L502" s="171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332"/>
      <c r="J503" s="178"/>
      <c r="K503" s="171"/>
      <c r="L503" s="171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332"/>
      <c r="J504" s="178"/>
      <c r="K504" s="171"/>
      <c r="L504" s="171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332"/>
      <c r="J505" s="178"/>
      <c r="K505" s="171"/>
      <c r="L505" s="171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332"/>
      <c r="J506" s="178"/>
      <c r="K506" s="171"/>
      <c r="L506" s="171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332"/>
      <c r="J507" s="178"/>
      <c r="K507" s="171"/>
      <c r="L507" s="171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332"/>
      <c r="J508" s="178"/>
      <c r="K508" s="171"/>
      <c r="L508" s="171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332"/>
      <c r="J509" s="178"/>
      <c r="K509" s="171"/>
      <c r="L509" s="171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332"/>
      <c r="J510" s="178"/>
      <c r="K510" s="171"/>
      <c r="L510" s="171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332"/>
      <c r="J511" s="178"/>
      <c r="K511" s="171"/>
      <c r="L511" s="171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332"/>
      <c r="J512" s="178"/>
      <c r="K512" s="171"/>
      <c r="L512" s="171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332"/>
      <c r="J513" s="178"/>
      <c r="K513" s="171"/>
      <c r="L513" s="171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332"/>
      <c r="J514" s="178"/>
      <c r="K514" s="171"/>
      <c r="L514" s="171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332"/>
      <c r="J515" s="178"/>
      <c r="K515" s="171"/>
      <c r="L515" s="171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332"/>
      <c r="J516" s="178"/>
      <c r="K516" s="171"/>
      <c r="L516" s="171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332"/>
      <c r="J517" s="178"/>
      <c r="K517" s="171"/>
      <c r="L517" s="171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332"/>
      <c r="J518" s="178"/>
      <c r="K518" s="171"/>
      <c r="L518" s="171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332"/>
      <c r="J519" s="178"/>
      <c r="K519" s="171"/>
      <c r="L519" s="171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332"/>
      <c r="J520" s="178"/>
      <c r="K520" s="171"/>
      <c r="L520" s="171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332"/>
      <c r="J521" s="178"/>
      <c r="K521" s="171"/>
      <c r="L521" s="171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332"/>
      <c r="J522" s="178"/>
      <c r="K522" s="171"/>
      <c r="L522" s="171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332"/>
      <c r="J523" s="178"/>
      <c r="K523" s="171"/>
      <c r="L523" s="171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332"/>
      <c r="J524" s="178"/>
      <c r="K524" s="171"/>
      <c r="L524" s="171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332"/>
      <c r="J525" s="178"/>
      <c r="K525" s="171"/>
      <c r="L525" s="171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332"/>
      <c r="J526" s="178"/>
      <c r="K526" s="171"/>
      <c r="L526" s="171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332"/>
      <c r="J527" s="178"/>
      <c r="K527" s="171"/>
      <c r="L527" s="171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332"/>
      <c r="J528" s="178"/>
      <c r="K528" s="171"/>
      <c r="L528" s="171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332"/>
      <c r="J529" s="178"/>
      <c r="K529" s="171"/>
      <c r="L529" s="171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332"/>
      <c r="J530" s="178"/>
      <c r="K530" s="171"/>
      <c r="L530" s="171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332"/>
      <c r="J531" s="178"/>
      <c r="K531" s="171"/>
      <c r="L531" s="171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332"/>
      <c r="J532" s="178"/>
      <c r="K532" s="171"/>
      <c r="L532" s="171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332"/>
      <c r="J533" s="178"/>
      <c r="K533" s="171"/>
      <c r="L533" s="171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332"/>
      <c r="J534" s="178"/>
      <c r="K534" s="171"/>
      <c r="L534" s="171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332"/>
      <c r="J535" s="178"/>
      <c r="K535" s="171"/>
      <c r="L535" s="171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332"/>
      <c r="J536" s="178"/>
      <c r="K536" s="171"/>
      <c r="L536" s="171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332"/>
      <c r="J537" s="178"/>
      <c r="K537" s="171"/>
      <c r="L537" s="171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332"/>
      <c r="J538" s="178"/>
      <c r="K538" s="171"/>
      <c r="L538" s="171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332"/>
      <c r="J539" s="178"/>
      <c r="K539" s="171"/>
      <c r="L539" s="171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332"/>
      <c r="J540" s="178"/>
      <c r="K540" s="171"/>
      <c r="L540" s="171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332"/>
      <c r="J541" s="178"/>
      <c r="K541" s="171"/>
      <c r="L541" s="171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332"/>
      <c r="J542" s="178"/>
      <c r="K542" s="171"/>
      <c r="L542" s="171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332"/>
      <c r="J543" s="178"/>
      <c r="K543" s="171"/>
      <c r="L543" s="171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332"/>
      <c r="J544" s="178"/>
      <c r="K544" s="171"/>
      <c r="L544" s="171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332"/>
      <c r="J545" s="178"/>
      <c r="K545" s="171"/>
      <c r="L545" s="171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332"/>
      <c r="J546" s="178"/>
      <c r="K546" s="171"/>
      <c r="L546" s="171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332"/>
      <c r="J547" s="178"/>
      <c r="K547" s="171"/>
      <c r="L547" s="171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332"/>
      <c r="J548" s="178"/>
      <c r="K548" s="171"/>
      <c r="L548" s="171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332"/>
      <c r="J549" s="178"/>
      <c r="K549" s="171"/>
      <c r="L549" s="171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332"/>
      <c r="J550" s="178"/>
      <c r="K550" s="171"/>
      <c r="L550" s="171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332"/>
      <c r="J551" s="178"/>
      <c r="K551" s="171"/>
      <c r="L551" s="171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332"/>
      <c r="J552" s="178"/>
      <c r="K552" s="171"/>
      <c r="L552" s="171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332"/>
      <c r="J553" s="178"/>
      <c r="K553" s="171"/>
      <c r="L553" s="171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332"/>
      <c r="J554" s="178"/>
      <c r="K554" s="171"/>
      <c r="L554" s="171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332"/>
      <c r="J555" s="178"/>
      <c r="K555" s="171"/>
      <c r="L555" s="171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332"/>
      <c r="J556" s="178"/>
      <c r="K556" s="171"/>
      <c r="L556" s="171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332"/>
      <c r="J557" s="178"/>
      <c r="K557" s="171"/>
      <c r="L557" s="171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332"/>
      <c r="J558" s="178"/>
      <c r="K558" s="171"/>
      <c r="L558" s="171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332"/>
      <c r="J559" s="178"/>
      <c r="K559" s="171"/>
      <c r="L559" s="171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332"/>
      <c r="J560" s="178"/>
      <c r="K560" s="171"/>
      <c r="L560" s="171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332"/>
      <c r="J561" s="178"/>
      <c r="K561" s="171"/>
      <c r="L561" s="171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332"/>
      <c r="J562" s="178"/>
      <c r="K562" s="171"/>
      <c r="L562" s="171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332"/>
      <c r="J563" s="178"/>
      <c r="K563" s="171"/>
      <c r="L563" s="171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332"/>
      <c r="J564" s="178"/>
      <c r="K564" s="171"/>
      <c r="L564" s="171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332"/>
      <c r="J565" s="178"/>
      <c r="K565" s="171"/>
      <c r="L565" s="171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332"/>
      <c r="J566" s="178"/>
      <c r="K566" s="171"/>
      <c r="L566" s="171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332"/>
      <c r="J567" s="178"/>
      <c r="K567" s="171"/>
      <c r="L567" s="171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332"/>
      <c r="J568" s="178"/>
      <c r="K568" s="171"/>
      <c r="L568" s="171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332"/>
      <c r="J569" s="178"/>
      <c r="K569" s="171"/>
      <c r="L569" s="171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332"/>
      <c r="J570" s="178"/>
      <c r="K570" s="171"/>
      <c r="L570" s="171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332"/>
      <c r="J571" s="178"/>
      <c r="K571" s="171"/>
      <c r="L571" s="171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332"/>
      <c r="J572" s="178"/>
      <c r="K572" s="171"/>
      <c r="L572" s="171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332"/>
      <c r="J573" s="178"/>
      <c r="K573" s="171"/>
      <c r="L573" s="171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332"/>
      <c r="J574" s="178"/>
      <c r="K574" s="171"/>
      <c r="L574" s="171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332"/>
      <c r="J575" s="178"/>
      <c r="K575" s="171"/>
      <c r="L575" s="171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332"/>
      <c r="J576" s="178"/>
      <c r="K576" s="171"/>
      <c r="L576" s="171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332"/>
      <c r="J577" s="178"/>
      <c r="K577" s="171"/>
      <c r="L577" s="171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332"/>
      <c r="J578" s="178"/>
      <c r="K578" s="171"/>
      <c r="L578" s="171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332"/>
      <c r="J579" s="178"/>
      <c r="K579" s="171"/>
      <c r="L579" s="171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332"/>
      <c r="J580" s="178"/>
      <c r="K580" s="171"/>
      <c r="L580" s="171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332"/>
      <c r="J581" s="178"/>
      <c r="K581" s="171"/>
      <c r="L581" s="171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332"/>
      <c r="J582" s="178"/>
      <c r="K582" s="171"/>
      <c r="L582" s="171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332"/>
      <c r="J583" s="178"/>
      <c r="K583" s="171"/>
      <c r="L583" s="171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332"/>
      <c r="J584" s="178"/>
      <c r="K584" s="171"/>
      <c r="L584" s="171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332"/>
      <c r="J585" s="178"/>
      <c r="K585" s="171"/>
      <c r="L585" s="171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332"/>
      <c r="J586" s="178"/>
      <c r="K586" s="171"/>
      <c r="L586" s="171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332"/>
      <c r="J587" s="178"/>
      <c r="K587" s="171"/>
      <c r="L587" s="171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332"/>
      <c r="J588" s="178"/>
      <c r="K588" s="171"/>
      <c r="L588" s="171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332"/>
      <c r="J589" s="178"/>
      <c r="K589" s="171"/>
      <c r="L589" s="171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332"/>
      <c r="J590" s="178"/>
      <c r="K590" s="171"/>
      <c r="L590" s="171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332"/>
      <c r="J591" s="178"/>
      <c r="K591" s="171"/>
      <c r="L591" s="171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332"/>
      <c r="J592" s="178"/>
      <c r="K592" s="171"/>
      <c r="L592" s="171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332"/>
      <c r="J593" s="178"/>
      <c r="K593" s="171"/>
      <c r="L593" s="171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332"/>
      <c r="J594" s="178"/>
      <c r="K594" s="171"/>
      <c r="L594" s="171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332"/>
      <c r="J595" s="178"/>
      <c r="K595" s="171"/>
      <c r="L595" s="171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332"/>
      <c r="J596" s="178"/>
      <c r="K596" s="171"/>
      <c r="L596" s="171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332"/>
      <c r="J597" s="178"/>
      <c r="K597" s="171"/>
      <c r="L597" s="171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332"/>
      <c r="J598" s="178"/>
      <c r="K598" s="171"/>
      <c r="L598" s="171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332"/>
      <c r="J599" s="178"/>
      <c r="K599" s="171"/>
      <c r="L599" s="171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332"/>
      <c r="J600" s="178"/>
      <c r="K600" s="171"/>
      <c r="L600" s="171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332"/>
      <c r="J601" s="178"/>
      <c r="K601" s="171"/>
      <c r="L601" s="171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332"/>
      <c r="J602" s="178"/>
      <c r="K602" s="171"/>
      <c r="L602" s="171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332"/>
      <c r="J603" s="178"/>
      <c r="K603" s="171"/>
      <c r="L603" s="171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332"/>
      <c r="J604" s="178"/>
      <c r="K604" s="171"/>
      <c r="L604" s="171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332"/>
      <c r="J605" s="178"/>
      <c r="K605" s="171"/>
      <c r="L605" s="171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332"/>
      <c r="J606" s="178"/>
      <c r="K606" s="171"/>
      <c r="L606" s="171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332"/>
      <c r="J607" s="178"/>
      <c r="K607" s="171"/>
      <c r="L607" s="171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332"/>
      <c r="J608" s="178"/>
      <c r="K608" s="171"/>
      <c r="L608" s="171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332"/>
      <c r="J609" s="178"/>
      <c r="K609" s="171"/>
      <c r="L609" s="171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332"/>
      <c r="J610" s="178"/>
      <c r="K610" s="171"/>
      <c r="L610" s="171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332"/>
      <c r="J611" s="178"/>
      <c r="K611" s="171"/>
      <c r="L611" s="171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332"/>
      <c r="J612" s="178"/>
      <c r="K612" s="171"/>
      <c r="L612" s="171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332"/>
      <c r="J613" s="178"/>
      <c r="K613" s="171"/>
      <c r="L613" s="171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332"/>
      <c r="J614" s="178"/>
      <c r="K614" s="171"/>
      <c r="L614" s="171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332"/>
      <c r="J615" s="178"/>
      <c r="K615" s="171"/>
      <c r="L615" s="171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332"/>
      <c r="J616" s="178"/>
      <c r="K616" s="171"/>
      <c r="L616" s="171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332"/>
      <c r="J617" s="178"/>
      <c r="K617" s="171"/>
      <c r="L617" s="171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332"/>
      <c r="J618" s="178"/>
      <c r="K618" s="171"/>
      <c r="L618" s="171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332"/>
      <c r="J619" s="178"/>
      <c r="K619" s="171"/>
      <c r="L619" s="171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332"/>
      <c r="J620" s="178"/>
      <c r="K620" s="171"/>
      <c r="L620" s="171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332"/>
      <c r="J621" s="178"/>
      <c r="K621" s="171"/>
      <c r="L621" s="171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332"/>
      <c r="J622" s="178"/>
      <c r="K622" s="171"/>
      <c r="L622" s="171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332"/>
      <c r="J623" s="178"/>
      <c r="K623" s="171"/>
      <c r="L623" s="171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332"/>
      <c r="J624" s="178"/>
      <c r="K624" s="171"/>
      <c r="L624" s="171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332"/>
      <c r="J625" s="178"/>
      <c r="K625" s="171"/>
      <c r="L625" s="171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332"/>
      <c r="J626" s="178"/>
      <c r="K626" s="171"/>
      <c r="L626" s="171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332"/>
      <c r="J627" s="178"/>
      <c r="K627" s="171"/>
      <c r="L627" s="171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332"/>
      <c r="J628" s="178"/>
      <c r="K628" s="171"/>
      <c r="L628" s="171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332"/>
      <c r="J629" s="178"/>
      <c r="K629" s="171"/>
      <c r="L629" s="171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332"/>
      <c r="J630" s="178"/>
      <c r="K630" s="171"/>
      <c r="L630" s="171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332"/>
      <c r="J631" s="178"/>
      <c r="K631" s="171"/>
      <c r="L631" s="171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332"/>
      <c r="J632" s="178"/>
      <c r="K632" s="171"/>
      <c r="L632" s="171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332"/>
      <c r="J633" s="178"/>
      <c r="K633" s="171"/>
      <c r="L633" s="171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332"/>
      <c r="J634" s="178"/>
      <c r="K634" s="171"/>
      <c r="L634" s="171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332"/>
      <c r="J635" s="178"/>
      <c r="K635" s="171"/>
      <c r="L635" s="171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332"/>
      <c r="J636" s="178"/>
      <c r="K636" s="171"/>
      <c r="L636" s="171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332"/>
      <c r="J637" s="178"/>
      <c r="K637" s="171"/>
      <c r="L637" s="171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332"/>
      <c r="J638" s="178"/>
      <c r="K638" s="171"/>
      <c r="L638" s="171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332"/>
      <c r="J639" s="178"/>
      <c r="K639" s="171"/>
      <c r="L639" s="171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332"/>
      <c r="J640" s="178"/>
      <c r="K640" s="171"/>
      <c r="L640" s="171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332"/>
      <c r="J641" s="178"/>
      <c r="K641" s="171"/>
      <c r="L641" s="171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332"/>
      <c r="J642" s="178"/>
      <c r="K642" s="171"/>
      <c r="L642" s="171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332"/>
      <c r="J643" s="178"/>
      <c r="K643" s="171"/>
      <c r="L643" s="171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332"/>
      <c r="J644" s="178"/>
      <c r="K644" s="171"/>
      <c r="L644" s="171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332"/>
      <c r="J645" s="178"/>
      <c r="K645" s="171"/>
      <c r="L645" s="171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332"/>
      <c r="J646" s="178"/>
      <c r="K646" s="171"/>
      <c r="L646" s="171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332"/>
      <c r="J647" s="178"/>
      <c r="K647" s="171"/>
      <c r="L647" s="171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332"/>
      <c r="J648" s="178"/>
      <c r="K648" s="171"/>
      <c r="L648" s="171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332"/>
      <c r="J649" s="178"/>
      <c r="K649" s="171"/>
      <c r="L649" s="171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332"/>
      <c r="J650" s="178"/>
      <c r="K650" s="171"/>
      <c r="L650" s="171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332"/>
      <c r="J651" s="178"/>
      <c r="K651" s="171"/>
      <c r="L651" s="171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332"/>
      <c r="J652" s="178"/>
      <c r="K652" s="171"/>
      <c r="L652" s="171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332"/>
      <c r="J653" s="178"/>
      <c r="K653" s="171"/>
      <c r="L653" s="171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332"/>
      <c r="J654" s="178"/>
      <c r="K654" s="171"/>
      <c r="L654" s="171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332"/>
      <c r="J655" s="178"/>
      <c r="K655" s="171"/>
      <c r="L655" s="171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332"/>
      <c r="J656" s="178"/>
      <c r="K656" s="171"/>
      <c r="L656" s="171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332"/>
      <c r="J657" s="178"/>
      <c r="K657" s="171"/>
      <c r="L657" s="171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332"/>
      <c r="J658" s="178"/>
      <c r="K658" s="171"/>
      <c r="L658" s="171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332"/>
      <c r="J659" s="178"/>
      <c r="K659" s="171"/>
      <c r="L659" s="171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332"/>
      <c r="J660" s="178"/>
      <c r="K660" s="171"/>
      <c r="L660" s="171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332"/>
      <c r="J661" s="178"/>
      <c r="K661" s="171"/>
      <c r="L661" s="171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332"/>
      <c r="J662" s="178"/>
      <c r="K662" s="171"/>
      <c r="L662" s="171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332"/>
      <c r="J663" s="178"/>
      <c r="K663" s="171"/>
      <c r="L663" s="171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332"/>
      <c r="J664" s="178"/>
      <c r="K664" s="171"/>
      <c r="L664" s="171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332"/>
      <c r="J665" s="178"/>
      <c r="K665" s="171"/>
      <c r="L665" s="171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332"/>
      <c r="J666" s="178"/>
      <c r="K666" s="171"/>
      <c r="L666" s="171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332"/>
      <c r="J667" s="178"/>
      <c r="K667" s="171"/>
      <c r="L667" s="171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332"/>
      <c r="J668" s="178"/>
      <c r="K668" s="171"/>
      <c r="L668" s="171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332"/>
      <c r="J669" s="178"/>
      <c r="K669" s="171"/>
      <c r="L669" s="171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332"/>
      <c r="J670" s="178"/>
      <c r="K670" s="171"/>
      <c r="L670" s="171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332"/>
      <c r="J671" s="178"/>
      <c r="K671" s="171"/>
      <c r="L671" s="171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332"/>
      <c r="J672" s="178"/>
      <c r="K672" s="171"/>
      <c r="L672" s="171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332"/>
      <c r="J673" s="178"/>
      <c r="K673" s="171"/>
      <c r="L673" s="171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332"/>
      <c r="J674" s="178"/>
      <c r="K674" s="171"/>
      <c r="L674" s="171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332"/>
      <c r="J675" s="178"/>
      <c r="K675" s="171"/>
      <c r="L675" s="171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332"/>
      <c r="J676" s="178"/>
      <c r="K676" s="171"/>
      <c r="L676" s="171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332"/>
      <c r="J677" s="178"/>
      <c r="K677" s="171"/>
      <c r="L677" s="171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332"/>
      <c r="J678" s="178"/>
      <c r="K678" s="171"/>
      <c r="L678" s="171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332"/>
      <c r="J679" s="178"/>
      <c r="K679" s="171"/>
      <c r="L679" s="171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332"/>
      <c r="J680" s="178"/>
      <c r="K680" s="171"/>
      <c r="L680" s="171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332"/>
      <c r="J681" s="178"/>
      <c r="K681" s="171"/>
      <c r="L681" s="171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332"/>
      <c r="J682" s="178"/>
      <c r="K682" s="171"/>
      <c r="L682" s="171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332"/>
      <c r="J683" s="178"/>
      <c r="K683" s="171"/>
      <c r="L683" s="171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332"/>
      <c r="J684" s="178"/>
      <c r="K684" s="171"/>
      <c r="L684" s="171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332"/>
      <c r="J685" s="178"/>
      <c r="K685" s="171"/>
      <c r="L685" s="171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332"/>
      <c r="J686" s="178"/>
      <c r="K686" s="171"/>
      <c r="L686" s="171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332"/>
      <c r="J687" s="178"/>
      <c r="K687" s="171"/>
      <c r="L687" s="171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332"/>
      <c r="J688" s="178"/>
      <c r="K688" s="171"/>
      <c r="L688" s="171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332"/>
      <c r="J689" s="178"/>
      <c r="K689" s="171"/>
      <c r="L689" s="171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332"/>
      <c r="J690" s="178"/>
      <c r="K690" s="171"/>
      <c r="L690" s="171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332"/>
      <c r="J691" s="178"/>
      <c r="K691" s="171"/>
      <c r="L691" s="171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332"/>
      <c r="J692" s="178"/>
      <c r="K692" s="171"/>
      <c r="L692" s="171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332"/>
      <c r="J693" s="178"/>
      <c r="K693" s="171"/>
      <c r="L693" s="171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332"/>
      <c r="J694" s="178"/>
      <c r="K694" s="171"/>
      <c r="L694" s="171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332"/>
      <c r="J695" s="178"/>
      <c r="K695" s="171"/>
      <c r="L695" s="171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332"/>
      <c r="J696" s="178"/>
      <c r="K696" s="171"/>
      <c r="L696" s="171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332"/>
      <c r="J697" s="178"/>
      <c r="K697" s="171"/>
      <c r="L697" s="171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332"/>
      <c r="J698" s="178"/>
      <c r="K698" s="171"/>
      <c r="L698" s="171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332"/>
      <c r="J699" s="178"/>
      <c r="K699" s="171"/>
      <c r="L699" s="171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332"/>
      <c r="J700" s="178"/>
      <c r="K700" s="171"/>
      <c r="L700" s="171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332"/>
      <c r="J701" s="178"/>
      <c r="K701" s="171"/>
      <c r="L701" s="171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332"/>
      <c r="J702" s="178"/>
      <c r="K702" s="171"/>
      <c r="L702" s="171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332"/>
      <c r="J703" s="178"/>
      <c r="K703" s="171"/>
      <c r="L703" s="171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332"/>
      <c r="J704" s="178"/>
      <c r="K704" s="171"/>
      <c r="L704" s="171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332"/>
      <c r="J705" s="178"/>
      <c r="K705" s="171"/>
      <c r="L705" s="171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332"/>
      <c r="J706" s="178"/>
      <c r="K706" s="171"/>
      <c r="L706" s="171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332"/>
      <c r="J707" s="178"/>
      <c r="K707" s="171"/>
      <c r="L707" s="171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332"/>
      <c r="J708" s="178"/>
      <c r="K708" s="171"/>
      <c r="L708" s="171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332"/>
      <c r="J709" s="178"/>
      <c r="K709" s="171"/>
      <c r="L709" s="171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332"/>
      <c r="J710" s="178"/>
      <c r="K710" s="171"/>
      <c r="L710" s="171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332"/>
      <c r="J711" s="178"/>
      <c r="K711" s="171"/>
      <c r="L711" s="171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332"/>
      <c r="J712" s="178"/>
      <c r="K712" s="171"/>
      <c r="L712" s="171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332"/>
      <c r="J713" s="178"/>
      <c r="K713" s="171"/>
      <c r="L713" s="171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332"/>
      <c r="J714" s="178"/>
      <c r="K714" s="171"/>
      <c r="L714" s="171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332"/>
      <c r="J715" s="178"/>
      <c r="K715" s="171"/>
      <c r="L715" s="171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332"/>
      <c r="J716" s="178"/>
      <c r="K716" s="171"/>
      <c r="L716" s="171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332"/>
      <c r="J717" s="178"/>
      <c r="K717" s="171"/>
      <c r="L717" s="171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332"/>
      <c r="J718" s="178"/>
      <c r="K718" s="171"/>
      <c r="L718" s="171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332"/>
      <c r="J719" s="178"/>
      <c r="K719" s="171"/>
      <c r="L719" s="171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332"/>
      <c r="J720" s="178"/>
      <c r="K720" s="171"/>
      <c r="L720" s="171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332"/>
      <c r="J721" s="178"/>
      <c r="K721" s="171"/>
      <c r="L721" s="171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332"/>
      <c r="J722" s="178"/>
      <c r="K722" s="171"/>
      <c r="L722" s="171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332"/>
      <c r="J723" s="178"/>
      <c r="K723" s="171"/>
      <c r="L723" s="171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332"/>
      <c r="J724" s="178"/>
      <c r="K724" s="171"/>
      <c r="L724" s="171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332"/>
      <c r="J725" s="178"/>
      <c r="K725" s="171"/>
      <c r="L725" s="171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332"/>
      <c r="J726" s="178"/>
      <c r="K726" s="171"/>
      <c r="L726" s="171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332"/>
      <c r="J727" s="178"/>
      <c r="K727" s="171"/>
      <c r="L727" s="171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332"/>
      <c r="J728" s="178"/>
      <c r="K728" s="171"/>
      <c r="L728" s="171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332"/>
      <c r="J729" s="178"/>
      <c r="K729" s="171"/>
      <c r="L729" s="171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332"/>
      <c r="J730" s="178"/>
      <c r="K730" s="171"/>
      <c r="L730" s="171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332"/>
      <c r="J731" s="178"/>
      <c r="K731" s="171"/>
      <c r="L731" s="171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332"/>
      <c r="J732" s="178"/>
      <c r="K732" s="171"/>
      <c r="L732" s="171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332"/>
      <c r="J733" s="178"/>
      <c r="K733" s="171"/>
      <c r="L733" s="171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332"/>
      <c r="J734" s="178"/>
      <c r="K734" s="171"/>
      <c r="L734" s="171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332"/>
      <c r="J735" s="178"/>
      <c r="K735" s="171"/>
      <c r="L735" s="171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332"/>
      <c r="J736" s="178"/>
      <c r="K736" s="171"/>
      <c r="L736" s="171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332"/>
      <c r="J737" s="178"/>
      <c r="K737" s="171"/>
      <c r="L737" s="171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332"/>
      <c r="J738" s="178"/>
      <c r="K738" s="171"/>
      <c r="L738" s="171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332"/>
      <c r="J739" s="178"/>
      <c r="K739" s="171"/>
      <c r="L739" s="171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332"/>
      <c r="J740" s="178"/>
      <c r="K740" s="171"/>
      <c r="L740" s="171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332"/>
      <c r="J741" s="178"/>
      <c r="K741" s="171"/>
      <c r="L741" s="171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332"/>
      <c r="J742" s="178"/>
      <c r="K742" s="171"/>
      <c r="L742" s="171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332"/>
      <c r="J743" s="178"/>
      <c r="K743" s="171"/>
      <c r="L743" s="171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332"/>
      <c r="J744" s="178"/>
      <c r="K744" s="171"/>
      <c r="L744" s="171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332"/>
      <c r="J745" s="178"/>
      <c r="K745" s="171"/>
      <c r="L745" s="171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332"/>
      <c r="J746" s="178"/>
      <c r="K746" s="171"/>
      <c r="L746" s="171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332"/>
      <c r="J747" s="178"/>
      <c r="K747" s="171"/>
      <c r="L747" s="171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332"/>
      <c r="J748" s="178"/>
      <c r="K748" s="171"/>
      <c r="L748" s="171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332"/>
      <c r="J749" s="178"/>
      <c r="K749" s="171"/>
      <c r="L749" s="171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332"/>
      <c r="J750" s="178"/>
      <c r="K750" s="171"/>
      <c r="L750" s="171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332"/>
      <c r="J751" s="178"/>
      <c r="K751" s="171"/>
      <c r="L751" s="171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332"/>
      <c r="J752" s="178"/>
      <c r="K752" s="171"/>
      <c r="L752" s="171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332"/>
      <c r="J753" s="178"/>
      <c r="K753" s="171"/>
      <c r="L753" s="171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332"/>
      <c r="J754" s="178"/>
      <c r="K754" s="171"/>
      <c r="L754" s="171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332"/>
      <c r="J755" s="178"/>
      <c r="K755" s="171"/>
      <c r="L755" s="171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332"/>
      <c r="J756" s="178"/>
      <c r="K756" s="171"/>
      <c r="L756" s="171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332"/>
      <c r="J757" s="178"/>
      <c r="K757" s="171"/>
      <c r="L757" s="171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332"/>
      <c r="J758" s="178"/>
      <c r="K758" s="171"/>
      <c r="L758" s="171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332"/>
      <c r="J759" s="178"/>
      <c r="K759" s="171"/>
      <c r="L759" s="171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332"/>
      <c r="J760" s="178"/>
      <c r="K760" s="171"/>
      <c r="L760" s="171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332"/>
      <c r="J761" s="178"/>
      <c r="K761" s="171"/>
      <c r="L761" s="171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332"/>
      <c r="J762" s="178"/>
      <c r="K762" s="171"/>
      <c r="L762" s="171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332"/>
      <c r="J763" s="178"/>
      <c r="K763" s="171"/>
      <c r="L763" s="171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332"/>
      <c r="J764" s="178"/>
      <c r="K764" s="171"/>
      <c r="L764" s="171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332"/>
      <c r="J765" s="178"/>
      <c r="K765" s="171"/>
      <c r="L765" s="171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332"/>
      <c r="J766" s="178"/>
      <c r="K766" s="171"/>
      <c r="L766" s="171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332"/>
      <c r="J767" s="178"/>
      <c r="K767" s="171"/>
      <c r="L767" s="171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332"/>
      <c r="J768" s="178"/>
      <c r="K768" s="171"/>
      <c r="L768" s="171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332"/>
      <c r="J769" s="178"/>
      <c r="K769" s="171"/>
      <c r="L769" s="171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332"/>
      <c r="J770" s="178"/>
      <c r="K770" s="171"/>
      <c r="L770" s="171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332"/>
      <c r="J771" s="178"/>
      <c r="K771" s="171"/>
      <c r="L771" s="171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332"/>
      <c r="J772" s="178"/>
      <c r="K772" s="171"/>
      <c r="L772" s="171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332"/>
      <c r="J773" s="178"/>
      <c r="K773" s="171"/>
      <c r="L773" s="171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332"/>
      <c r="J774" s="178"/>
      <c r="K774" s="171"/>
      <c r="L774" s="171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332"/>
      <c r="J775" s="178"/>
      <c r="K775" s="171"/>
      <c r="L775" s="171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332"/>
      <c r="J776" s="178"/>
      <c r="K776" s="171"/>
      <c r="L776" s="171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332"/>
      <c r="J777" s="178"/>
      <c r="K777" s="171"/>
      <c r="L777" s="171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332"/>
      <c r="J778" s="178"/>
      <c r="K778" s="171"/>
      <c r="L778" s="171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332"/>
      <c r="J779" s="178"/>
      <c r="K779" s="171"/>
      <c r="L779" s="171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332"/>
      <c r="J780" s="178"/>
      <c r="K780" s="171"/>
      <c r="L780" s="171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332"/>
      <c r="J781" s="178"/>
      <c r="K781" s="171"/>
      <c r="L781" s="171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332"/>
      <c r="J782" s="178"/>
      <c r="K782" s="171"/>
      <c r="L782" s="171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332"/>
      <c r="J783" s="178"/>
      <c r="K783" s="171"/>
      <c r="L783" s="171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332"/>
      <c r="J784" s="178"/>
      <c r="K784" s="171"/>
      <c r="L784" s="171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332"/>
      <c r="J785" s="178"/>
      <c r="K785" s="171"/>
      <c r="L785" s="171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332"/>
      <c r="J786" s="178"/>
      <c r="K786" s="171"/>
      <c r="L786" s="171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332"/>
      <c r="J787" s="178"/>
      <c r="K787" s="171"/>
      <c r="L787" s="171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332"/>
      <c r="J788" s="178"/>
      <c r="K788" s="171"/>
      <c r="L788" s="171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332"/>
      <c r="J789" s="178"/>
      <c r="K789" s="171"/>
      <c r="L789" s="171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332"/>
      <c r="J790" s="178"/>
      <c r="K790" s="171"/>
      <c r="L790" s="171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332"/>
      <c r="J791" s="178"/>
      <c r="K791" s="171"/>
      <c r="L791" s="171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332"/>
      <c r="J792" s="178"/>
      <c r="K792" s="171"/>
      <c r="L792" s="171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332"/>
      <c r="J793" s="178"/>
      <c r="K793" s="171"/>
      <c r="L793" s="171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332"/>
      <c r="J794" s="178"/>
      <c r="K794" s="171"/>
      <c r="L794" s="171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332"/>
      <c r="J795" s="178"/>
      <c r="K795" s="171"/>
      <c r="L795" s="171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332"/>
      <c r="J796" s="178"/>
      <c r="K796" s="171"/>
      <c r="L796" s="171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332"/>
      <c r="J797" s="178"/>
      <c r="K797" s="171"/>
      <c r="L797" s="171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332"/>
      <c r="J798" s="178"/>
      <c r="K798" s="171"/>
      <c r="L798" s="171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332"/>
      <c r="J799" s="178"/>
      <c r="K799" s="171"/>
      <c r="L799" s="171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332"/>
      <c r="J800" s="178"/>
      <c r="K800" s="171"/>
      <c r="L800" s="171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332"/>
      <c r="J801" s="178"/>
      <c r="K801" s="171"/>
      <c r="L801" s="171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332"/>
      <c r="J802" s="178"/>
      <c r="K802" s="171"/>
      <c r="L802" s="171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332"/>
      <c r="J803" s="178"/>
      <c r="K803" s="171"/>
      <c r="L803" s="171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332"/>
      <c r="J804" s="178"/>
      <c r="K804" s="171"/>
      <c r="L804" s="171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332"/>
      <c r="J805" s="178"/>
      <c r="K805" s="171"/>
      <c r="L805" s="171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332"/>
      <c r="J806" s="178"/>
      <c r="K806" s="171"/>
      <c r="L806" s="171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332"/>
      <c r="J807" s="178"/>
      <c r="K807" s="171"/>
      <c r="L807" s="171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332"/>
      <c r="J808" s="178"/>
      <c r="K808" s="171"/>
      <c r="L808" s="171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332"/>
      <c r="J809" s="178"/>
      <c r="K809" s="171"/>
      <c r="L809" s="171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332"/>
      <c r="J810" s="178"/>
      <c r="K810" s="171"/>
      <c r="L810" s="171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332"/>
      <c r="J811" s="178"/>
      <c r="K811" s="171"/>
      <c r="L811" s="171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332"/>
      <c r="J812" s="178"/>
      <c r="K812" s="171"/>
      <c r="L812" s="171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332"/>
      <c r="J813" s="178"/>
      <c r="K813" s="171"/>
      <c r="L813" s="171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332"/>
      <c r="J814" s="178"/>
      <c r="K814" s="171"/>
      <c r="L814" s="171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332"/>
      <c r="J815" s="178"/>
      <c r="K815" s="171"/>
      <c r="L815" s="171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332"/>
      <c r="J816" s="178"/>
      <c r="K816" s="171"/>
      <c r="L816" s="171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332"/>
      <c r="J817" s="178"/>
      <c r="K817" s="171"/>
      <c r="L817" s="171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332"/>
      <c r="J818" s="178"/>
      <c r="K818" s="171"/>
      <c r="L818" s="171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332"/>
      <c r="J819" s="178"/>
      <c r="K819" s="171"/>
      <c r="L819" s="171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332"/>
      <c r="J820" s="178"/>
      <c r="K820" s="171"/>
      <c r="L820" s="171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332"/>
      <c r="J821" s="178"/>
      <c r="K821" s="171"/>
      <c r="L821" s="171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332"/>
      <c r="J822" s="178"/>
      <c r="K822" s="171"/>
      <c r="L822" s="171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332"/>
      <c r="J823" s="178"/>
      <c r="K823" s="171"/>
      <c r="L823" s="171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332"/>
      <c r="J824" s="178"/>
      <c r="K824" s="171"/>
      <c r="L824" s="171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332"/>
      <c r="J825" s="178"/>
      <c r="K825" s="171"/>
      <c r="L825" s="171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332"/>
      <c r="J826" s="178"/>
      <c r="K826" s="171"/>
      <c r="L826" s="171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332"/>
      <c r="J827" s="178"/>
      <c r="K827" s="171"/>
      <c r="L827" s="171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332"/>
      <c r="J828" s="178"/>
      <c r="K828" s="171"/>
      <c r="L828" s="171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332"/>
      <c r="J829" s="178"/>
      <c r="K829" s="171"/>
      <c r="L829" s="171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332"/>
      <c r="J830" s="178"/>
      <c r="K830" s="171"/>
      <c r="L830" s="171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332"/>
      <c r="J831" s="178"/>
      <c r="K831" s="171"/>
      <c r="L831" s="171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332"/>
      <c r="J832" s="178"/>
      <c r="K832" s="171"/>
      <c r="L832" s="171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332"/>
      <c r="J833" s="178"/>
      <c r="K833" s="171"/>
      <c r="L833" s="171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332"/>
      <c r="J834" s="178"/>
      <c r="K834" s="171"/>
      <c r="L834" s="171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332"/>
      <c r="J835" s="178"/>
      <c r="K835" s="171"/>
      <c r="L835" s="171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332"/>
      <c r="J836" s="178"/>
      <c r="K836" s="171"/>
      <c r="L836" s="171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332"/>
      <c r="J837" s="178"/>
      <c r="K837" s="171"/>
      <c r="L837" s="171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332"/>
      <c r="J838" s="178"/>
      <c r="K838" s="171"/>
      <c r="L838" s="171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332"/>
      <c r="J839" s="178"/>
      <c r="K839" s="171"/>
      <c r="L839" s="171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332"/>
      <c r="J840" s="178"/>
      <c r="K840" s="171"/>
      <c r="L840" s="171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332"/>
      <c r="J841" s="178"/>
      <c r="K841" s="171"/>
      <c r="L841" s="171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332"/>
      <c r="J842" s="178"/>
      <c r="K842" s="171"/>
      <c r="L842" s="171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332"/>
      <c r="J843" s="178"/>
      <c r="K843" s="171"/>
      <c r="L843" s="171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332"/>
      <c r="J844" s="178"/>
      <c r="K844" s="171"/>
      <c r="L844" s="171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332"/>
      <c r="J845" s="178"/>
      <c r="K845" s="171"/>
      <c r="L845" s="171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332"/>
      <c r="J846" s="178"/>
      <c r="K846" s="171"/>
      <c r="L846" s="171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332"/>
      <c r="J847" s="178"/>
      <c r="K847" s="171"/>
      <c r="L847" s="171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332"/>
      <c r="J848" s="178"/>
      <c r="K848" s="171"/>
      <c r="L848" s="171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332"/>
      <c r="J849" s="178"/>
      <c r="K849" s="171"/>
      <c r="L849" s="171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332"/>
      <c r="J850" s="178"/>
      <c r="K850" s="171"/>
      <c r="L850" s="171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332"/>
      <c r="J851" s="178"/>
      <c r="K851" s="171"/>
      <c r="L851" s="171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332"/>
      <c r="J852" s="178"/>
      <c r="K852" s="171"/>
      <c r="L852" s="171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332"/>
      <c r="J853" s="178"/>
      <c r="K853" s="171"/>
      <c r="L853" s="171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332"/>
      <c r="J854" s="178"/>
      <c r="K854" s="171"/>
      <c r="L854" s="171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332"/>
      <c r="J855" s="178"/>
      <c r="K855" s="171"/>
      <c r="L855" s="171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332"/>
      <c r="J856" s="178"/>
      <c r="K856" s="171"/>
      <c r="L856" s="171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332"/>
      <c r="J857" s="178"/>
      <c r="K857" s="171"/>
      <c r="L857" s="171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332"/>
      <c r="J858" s="178"/>
      <c r="K858" s="171"/>
      <c r="L858" s="171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332"/>
      <c r="J859" s="178"/>
      <c r="K859" s="171"/>
      <c r="L859" s="171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332"/>
      <c r="J860" s="178"/>
      <c r="K860" s="171"/>
      <c r="L860" s="171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332"/>
      <c r="J861" s="178"/>
      <c r="K861" s="171"/>
      <c r="L861" s="171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332"/>
      <c r="J862" s="178"/>
      <c r="K862" s="171"/>
      <c r="L862" s="171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332"/>
      <c r="J863" s="178"/>
      <c r="K863" s="171"/>
      <c r="L863" s="171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332"/>
      <c r="J864" s="178"/>
      <c r="K864" s="171"/>
      <c r="L864" s="171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332"/>
      <c r="J865" s="178"/>
      <c r="K865" s="171"/>
      <c r="L865" s="171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332"/>
      <c r="J866" s="178"/>
      <c r="K866" s="171"/>
      <c r="L866" s="171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332"/>
      <c r="J867" s="178"/>
      <c r="K867" s="171"/>
      <c r="L867" s="171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332"/>
      <c r="J868" s="178"/>
      <c r="K868" s="171"/>
      <c r="L868" s="171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332"/>
      <c r="J869" s="178"/>
      <c r="K869" s="171"/>
      <c r="L869" s="171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332"/>
      <c r="J870" s="178"/>
      <c r="K870" s="171"/>
      <c r="L870" s="171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332"/>
      <c r="J871" s="178"/>
      <c r="K871" s="171"/>
      <c r="L871" s="171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332"/>
      <c r="J872" s="178"/>
      <c r="K872" s="171"/>
      <c r="L872" s="171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332"/>
      <c r="J873" s="178"/>
      <c r="K873" s="171"/>
      <c r="L873" s="171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332"/>
      <c r="J874" s="178"/>
      <c r="K874" s="171"/>
      <c r="L874" s="171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332"/>
      <c r="J875" s="178"/>
      <c r="K875" s="171"/>
      <c r="L875" s="171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332"/>
      <c r="J876" s="178"/>
      <c r="K876" s="171"/>
      <c r="L876" s="171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332"/>
      <c r="J877" s="178"/>
      <c r="K877" s="171"/>
      <c r="L877" s="171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332"/>
      <c r="J878" s="178"/>
      <c r="K878" s="171"/>
      <c r="L878" s="171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332"/>
      <c r="J879" s="178"/>
      <c r="K879" s="171"/>
      <c r="L879" s="171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332"/>
      <c r="J880" s="178"/>
      <c r="K880" s="171"/>
      <c r="L880" s="171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332"/>
      <c r="J881" s="178"/>
      <c r="K881" s="171"/>
      <c r="L881" s="171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332"/>
      <c r="J882" s="178"/>
      <c r="K882" s="171"/>
      <c r="L882" s="171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332"/>
      <c r="J883" s="178"/>
      <c r="K883" s="171"/>
      <c r="L883" s="171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332"/>
      <c r="J884" s="178"/>
      <c r="K884" s="171"/>
      <c r="L884" s="171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332"/>
      <c r="J885" s="178"/>
      <c r="K885" s="171"/>
      <c r="L885" s="171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332"/>
      <c r="J886" s="178"/>
      <c r="K886" s="171"/>
      <c r="L886" s="171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332"/>
      <c r="J887" s="178"/>
      <c r="K887" s="171"/>
      <c r="L887" s="171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332"/>
      <c r="J888" s="178"/>
      <c r="K888" s="171"/>
      <c r="L888" s="171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332"/>
      <c r="J889" s="178"/>
      <c r="K889" s="171"/>
      <c r="L889" s="171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332"/>
      <c r="J890" s="178"/>
      <c r="K890" s="171"/>
      <c r="L890" s="171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332"/>
      <c r="J891" s="178"/>
      <c r="K891" s="171"/>
      <c r="L891" s="171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332"/>
      <c r="J892" s="178"/>
      <c r="K892" s="171"/>
      <c r="L892" s="171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332"/>
      <c r="J893" s="178"/>
      <c r="K893" s="171"/>
      <c r="L893" s="171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332"/>
      <c r="J894" s="178"/>
      <c r="K894" s="171"/>
      <c r="L894" s="171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332"/>
      <c r="J895" s="178"/>
      <c r="K895" s="171"/>
      <c r="L895" s="171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332"/>
      <c r="J896" s="178"/>
      <c r="K896" s="171"/>
      <c r="L896" s="171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332"/>
      <c r="J897" s="178"/>
      <c r="K897" s="171"/>
      <c r="L897" s="171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332"/>
      <c r="J898" s="178"/>
      <c r="K898" s="171"/>
      <c r="L898" s="171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332"/>
      <c r="J899" s="178"/>
      <c r="K899" s="171"/>
      <c r="L899" s="171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332"/>
      <c r="J900" s="178"/>
      <c r="K900" s="171"/>
      <c r="L900" s="171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332"/>
      <c r="J901" s="178"/>
      <c r="K901" s="171"/>
      <c r="L901" s="171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332"/>
      <c r="J902" s="178"/>
      <c r="K902" s="171"/>
      <c r="L902" s="171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332"/>
      <c r="J903" s="178"/>
      <c r="K903" s="171"/>
      <c r="L903" s="171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332"/>
      <c r="J904" s="178"/>
      <c r="K904" s="171"/>
      <c r="L904" s="171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332"/>
      <c r="J905" s="178"/>
      <c r="K905" s="171"/>
      <c r="L905" s="171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332"/>
      <c r="J906" s="178"/>
      <c r="K906" s="171"/>
      <c r="L906" s="171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332"/>
      <c r="J907" s="178"/>
      <c r="K907" s="171"/>
      <c r="L907" s="171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332"/>
      <c r="J908" s="178"/>
      <c r="K908" s="171"/>
      <c r="L908" s="171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332"/>
      <c r="J909" s="178"/>
      <c r="K909" s="171"/>
      <c r="L909" s="171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332"/>
      <c r="J910" s="178"/>
      <c r="K910" s="171"/>
      <c r="L910" s="171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332"/>
      <c r="J911" s="178"/>
      <c r="K911" s="171"/>
      <c r="L911" s="171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332"/>
      <c r="J912" s="178"/>
      <c r="K912" s="171"/>
      <c r="L912" s="171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332"/>
      <c r="J913" s="178"/>
      <c r="K913" s="171"/>
      <c r="L913" s="171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332"/>
      <c r="J914" s="178"/>
      <c r="K914" s="171"/>
      <c r="L914" s="171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332"/>
      <c r="J915" s="178"/>
      <c r="K915" s="171"/>
      <c r="L915" s="171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332"/>
      <c r="J916" s="178"/>
      <c r="K916" s="171"/>
      <c r="L916" s="171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332"/>
      <c r="J917" s="178"/>
      <c r="K917" s="171"/>
      <c r="L917" s="171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332"/>
      <c r="J918" s="178"/>
      <c r="K918" s="171"/>
      <c r="L918" s="171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332"/>
      <c r="J919" s="178"/>
      <c r="K919" s="171"/>
      <c r="L919" s="171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332"/>
      <c r="J920" s="178"/>
      <c r="K920" s="171"/>
      <c r="L920" s="171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332"/>
      <c r="J921" s="178"/>
      <c r="K921" s="171"/>
      <c r="L921" s="171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332"/>
      <c r="J922" s="178"/>
      <c r="K922" s="171"/>
      <c r="L922" s="171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332"/>
      <c r="J923" s="178"/>
      <c r="K923" s="171"/>
      <c r="L923" s="171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332"/>
      <c r="J924" s="178"/>
      <c r="K924" s="171"/>
      <c r="L924" s="171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332"/>
      <c r="J925" s="178"/>
      <c r="K925" s="171"/>
      <c r="L925" s="171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332"/>
      <c r="J926" s="178"/>
      <c r="K926" s="171"/>
      <c r="L926" s="171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332"/>
      <c r="J927" s="178"/>
      <c r="K927" s="171"/>
      <c r="L927" s="171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332"/>
      <c r="J928" s="178"/>
      <c r="K928" s="171"/>
      <c r="L928" s="171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332"/>
      <c r="J929" s="178"/>
      <c r="K929" s="171"/>
      <c r="L929" s="171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332"/>
      <c r="J930" s="178"/>
      <c r="K930" s="171"/>
      <c r="L930" s="171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332"/>
      <c r="J931" s="178"/>
      <c r="K931" s="171"/>
      <c r="L931" s="171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332"/>
      <c r="J932" s="178"/>
      <c r="K932" s="171"/>
      <c r="L932" s="171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332"/>
      <c r="J933" s="178"/>
      <c r="K933" s="171"/>
      <c r="L933" s="171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332"/>
      <c r="J934" s="178"/>
      <c r="K934" s="171"/>
      <c r="L934" s="171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332"/>
      <c r="J935" s="178"/>
      <c r="K935" s="171"/>
      <c r="L935" s="171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332"/>
      <c r="J936" s="178"/>
      <c r="K936" s="171"/>
      <c r="L936" s="171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332"/>
      <c r="J937" s="178"/>
      <c r="K937" s="171"/>
      <c r="L937" s="171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332"/>
      <c r="J938" s="178"/>
      <c r="K938" s="171"/>
      <c r="L938" s="171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332"/>
      <c r="J939" s="178"/>
      <c r="K939" s="171"/>
      <c r="L939" s="171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332"/>
      <c r="J940" s="178"/>
      <c r="K940" s="171"/>
      <c r="L940" s="171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332"/>
      <c r="J941" s="178"/>
      <c r="K941" s="171"/>
      <c r="L941" s="171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332"/>
      <c r="J942" s="178"/>
      <c r="K942" s="171"/>
      <c r="L942" s="171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332"/>
      <c r="J943" s="178"/>
      <c r="K943" s="171"/>
      <c r="L943" s="171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332"/>
      <c r="J944" s="178"/>
      <c r="K944" s="171"/>
      <c r="L944" s="171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332"/>
      <c r="J945" s="178"/>
      <c r="K945" s="171"/>
      <c r="L945" s="171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332"/>
      <c r="J946" s="178"/>
      <c r="K946" s="171"/>
      <c r="L946" s="171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332"/>
      <c r="J947" s="178"/>
      <c r="K947" s="171"/>
      <c r="L947" s="171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332"/>
      <c r="J948" s="178"/>
      <c r="K948" s="171"/>
      <c r="L948" s="171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332"/>
      <c r="J949" s="178"/>
      <c r="K949" s="171"/>
      <c r="L949" s="171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332"/>
      <c r="J950" s="178"/>
      <c r="K950" s="171"/>
      <c r="L950" s="171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332"/>
      <c r="J951" s="178"/>
      <c r="K951" s="171"/>
      <c r="L951" s="171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332"/>
      <c r="J952" s="178"/>
      <c r="K952" s="171"/>
      <c r="L952" s="171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332"/>
      <c r="J953" s="178"/>
      <c r="K953" s="171"/>
      <c r="L953" s="171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332"/>
      <c r="J954" s="178"/>
      <c r="K954" s="171"/>
      <c r="L954" s="171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332"/>
      <c r="J955" s="178"/>
      <c r="K955" s="171"/>
      <c r="L955" s="171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332"/>
      <c r="J956" s="178"/>
      <c r="K956" s="171"/>
      <c r="L956" s="171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332"/>
      <c r="J957" s="178"/>
      <c r="K957" s="171"/>
      <c r="L957" s="171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332"/>
      <c r="J958" s="178"/>
      <c r="K958" s="171"/>
      <c r="L958" s="171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332"/>
      <c r="J959" s="178"/>
      <c r="K959" s="171"/>
      <c r="L959" s="171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332"/>
      <c r="J960" s="178"/>
      <c r="K960" s="171"/>
      <c r="L960" s="171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332"/>
      <c r="J961" s="178"/>
      <c r="K961" s="171"/>
      <c r="L961" s="171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332"/>
      <c r="J962" s="178"/>
      <c r="K962" s="171"/>
      <c r="L962" s="171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332"/>
      <c r="J963" s="178"/>
      <c r="K963" s="171"/>
      <c r="L963" s="171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332"/>
      <c r="J964" s="178"/>
      <c r="K964" s="171"/>
      <c r="L964" s="171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332"/>
      <c r="J965" s="178"/>
      <c r="K965" s="171"/>
      <c r="L965" s="171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332"/>
      <c r="J966" s="178"/>
      <c r="K966" s="171"/>
      <c r="L966" s="171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332"/>
      <c r="J967" s="178"/>
      <c r="K967" s="171"/>
      <c r="L967" s="171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332"/>
      <c r="J968" s="178"/>
      <c r="K968" s="171"/>
      <c r="L968" s="171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332"/>
      <c r="J969" s="178"/>
      <c r="K969" s="171"/>
      <c r="L969" s="171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332"/>
      <c r="J970" s="178"/>
      <c r="K970" s="171"/>
      <c r="L970" s="171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332"/>
      <c r="J971" s="178"/>
      <c r="K971" s="171"/>
      <c r="L971" s="171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332"/>
      <c r="J972" s="178"/>
      <c r="K972" s="171"/>
      <c r="L972" s="171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332"/>
      <c r="J973" s="178"/>
      <c r="K973" s="171"/>
      <c r="L973" s="171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332"/>
      <c r="J974" s="178"/>
      <c r="K974" s="171"/>
      <c r="L974" s="171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332"/>
      <c r="J975" s="178"/>
      <c r="K975" s="171"/>
      <c r="L975" s="171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332"/>
      <c r="J976" s="178"/>
      <c r="K976" s="171"/>
      <c r="L976" s="171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332"/>
      <c r="J977" s="178"/>
      <c r="K977" s="171"/>
      <c r="L977" s="171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332"/>
      <c r="J978" s="178"/>
      <c r="K978" s="171"/>
      <c r="L978" s="171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332"/>
      <c r="J979" s="178"/>
      <c r="K979" s="171"/>
      <c r="L979" s="171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332"/>
      <c r="J980" s="178"/>
      <c r="K980" s="171"/>
      <c r="L980" s="171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332"/>
      <c r="J981" s="178"/>
      <c r="K981" s="171"/>
      <c r="L981" s="171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332"/>
      <c r="J982" s="178"/>
      <c r="K982" s="171"/>
      <c r="L982" s="171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332"/>
      <c r="J983" s="178"/>
      <c r="K983" s="171"/>
      <c r="L983" s="171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332"/>
      <c r="J984" s="178"/>
      <c r="K984" s="171"/>
      <c r="L984" s="171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332"/>
      <c r="J985" s="178"/>
      <c r="K985" s="171"/>
      <c r="L985" s="171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332"/>
      <c r="J986" s="178"/>
      <c r="K986" s="171"/>
      <c r="L986" s="171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332"/>
      <c r="J987" s="178"/>
      <c r="K987" s="171"/>
      <c r="L987" s="171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332"/>
      <c r="J988" s="178"/>
      <c r="K988" s="171"/>
      <c r="L988" s="171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332"/>
      <c r="J989" s="178"/>
      <c r="K989" s="171"/>
      <c r="L989" s="171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  <c r="AC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  <c r="AC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  <c r="AC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  <c r="AC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  <c r="AC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  <c r="AC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  <c r="AC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  <c r="AC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  <c r="AC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  <c r="AC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  <c r="AC1000" s="171"/>
    </row>
  </sheetData>
  <mergeCells count="3">
    <mergeCell ref="B2:G2"/>
    <mergeCell ref="K35:N36"/>
    <mergeCell ref="C62:I6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651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7" si="1">IFERROR(1-G6/F6,"")</f>
        <v/>
      </c>
      <c r="I6" s="256">
        <f t="shared" ref="I6:I7" si="2">IFERROR(E6*F6,"")</f>
        <v>0</v>
      </c>
      <c r="J6" s="241"/>
      <c r="K6" s="259" t="s">
        <v>324</v>
      </c>
      <c r="L6" s="260">
        <f>SUM(I6:I17)</f>
        <v>0.01156197368</v>
      </c>
      <c r="M6" s="261"/>
    </row>
    <row r="7" ht="15.75" customHeight="1">
      <c r="A7" s="252"/>
      <c r="B7" s="262" t="str">
        <f>K79</f>
        <v>E.3</v>
      </c>
      <c r="C7" s="262" t="str">
        <f>C79</f>
        <v>MOJO PICON </v>
      </c>
      <c r="D7" s="263" t="s">
        <v>14</v>
      </c>
      <c r="E7" s="264">
        <f>K35</f>
        <v>1.156197368</v>
      </c>
      <c r="F7" s="359">
        <v>0.01</v>
      </c>
      <c r="G7" s="265"/>
      <c r="H7" s="266">
        <f t="shared" si="1"/>
        <v>1</v>
      </c>
      <c r="I7" s="264">
        <f t="shared" si="2"/>
        <v>0.01156197368</v>
      </c>
      <c r="J7" s="241"/>
      <c r="K7" s="267" t="s">
        <v>325</v>
      </c>
      <c r="L7" s="268">
        <v>4.0</v>
      </c>
      <c r="M7" s="261"/>
    </row>
    <row r="8" ht="15.75" customHeight="1">
      <c r="A8" s="252"/>
      <c r="B8" s="253"/>
      <c r="C8" s="270"/>
      <c r="D8" s="255"/>
      <c r="E8" s="256"/>
      <c r="F8" s="271"/>
      <c r="G8" s="271"/>
      <c r="H8" s="258"/>
      <c r="I8" s="256"/>
      <c r="J8" s="241"/>
      <c r="K8" s="272" t="s">
        <v>326</v>
      </c>
      <c r="L8" s="273">
        <f>L7/1.1</f>
        <v>3.636363636</v>
      </c>
      <c r="M8" s="274"/>
    </row>
    <row r="9" ht="15.75" customHeight="1">
      <c r="A9" s="252"/>
      <c r="B9" s="253"/>
      <c r="C9" s="270"/>
      <c r="D9" s="275"/>
      <c r="E9" s="256"/>
      <c r="F9" s="271"/>
      <c r="G9" s="271"/>
      <c r="H9" s="258"/>
      <c r="I9" s="256"/>
      <c r="J9" s="241"/>
      <c r="K9" s="276" t="s">
        <v>327</v>
      </c>
      <c r="L9" s="277">
        <v>0.1</v>
      </c>
      <c r="M9" s="278"/>
    </row>
    <row r="10" ht="15.75" customHeight="1">
      <c r="A10" s="252"/>
      <c r="B10" s="253"/>
      <c r="C10" s="270"/>
      <c r="D10" s="275"/>
      <c r="E10" s="256"/>
      <c r="F10" s="271"/>
      <c r="G10" s="271"/>
      <c r="H10" s="258"/>
      <c r="I10" s="256"/>
      <c r="J10" s="241"/>
      <c r="K10" s="279" t="s">
        <v>328</v>
      </c>
      <c r="L10" s="280">
        <f>L6/L8*100</f>
        <v>0.3179542763</v>
      </c>
      <c r="M10" s="281" t="s">
        <v>329</v>
      </c>
    </row>
    <row r="11" ht="15.75" customHeight="1">
      <c r="A11" s="252"/>
      <c r="B11" s="253"/>
      <c r="C11" s="270"/>
      <c r="D11" s="275"/>
      <c r="E11" s="256"/>
      <c r="F11" s="271"/>
      <c r="G11" s="271"/>
      <c r="H11" s="258"/>
      <c r="I11" s="256"/>
      <c r="J11" s="241"/>
      <c r="K11" s="282" t="s">
        <v>330</v>
      </c>
      <c r="L11" s="283">
        <f>100-L10</f>
        <v>99.68204572</v>
      </c>
      <c r="M11" s="284" t="s">
        <v>329</v>
      </c>
    </row>
    <row r="12" ht="15.75" customHeight="1">
      <c r="A12" s="252"/>
      <c r="B12" s="253"/>
      <c r="C12" s="270"/>
      <c r="D12" s="275"/>
      <c r="E12" s="256"/>
      <c r="F12" s="271"/>
      <c r="G12" s="271"/>
      <c r="H12" s="258"/>
      <c r="I12" s="256"/>
      <c r="J12" s="241"/>
      <c r="L12" s="288"/>
    </row>
    <row r="13" ht="15.75" customHeight="1">
      <c r="A13" s="252"/>
      <c r="B13" s="253"/>
      <c r="C13" s="254"/>
      <c r="D13" s="255"/>
      <c r="E13" s="256"/>
      <c r="F13" s="257"/>
      <c r="G13" s="257"/>
      <c r="H13" s="258"/>
      <c r="I13" s="256"/>
      <c r="J13" s="241"/>
      <c r="L13" s="288"/>
    </row>
    <row r="14" ht="15.75" customHeight="1">
      <c r="A14" s="252"/>
      <c r="B14" s="253" t="str">
        <f t="array" ref="B14">+XLOOKUP(C14,'Base de datos'!C:C,'Base de datos'!A:A,"",FALSE)</f>
        <v/>
      </c>
      <c r="C14" s="254"/>
      <c r="D14" s="255" t="s">
        <v>14</v>
      </c>
      <c r="E14" s="256">
        <f t="array" ref="E14">+XLOOKUP(B14,'Base de datos'!A:A,'Base de datos'!H:H,0)</f>
        <v>0</v>
      </c>
      <c r="F14" s="257"/>
      <c r="G14" s="257"/>
      <c r="H14" s="258"/>
      <c r="I14" s="256">
        <f t="shared" ref="I14:I17" si="3">IFERROR(E14*F14,"")</f>
        <v>0</v>
      </c>
      <c r="J14" s="241"/>
      <c r="L14" s="288"/>
    </row>
    <row r="15" ht="15.75" customHeight="1">
      <c r="A15" s="252"/>
      <c r="B15" s="253" t="str">
        <f t="array" ref="B15">+XLOOKUP(C15,'Base de datos'!C:C,'Base de datos'!A:A,"",FALSE)</f>
        <v/>
      </c>
      <c r="C15" s="254"/>
      <c r="D15" s="255" t="s">
        <v>14</v>
      </c>
      <c r="E15" s="256">
        <f t="array" ref="E15">+XLOOKUP(B15,'Base de datos'!A:A,'Base de datos'!H:H,0)</f>
        <v>0</v>
      </c>
      <c r="F15" s="257"/>
      <c r="G15" s="257"/>
      <c r="H15" s="258"/>
      <c r="I15" s="256">
        <f t="shared" si="3"/>
        <v>0</v>
      </c>
      <c r="J15" s="241"/>
      <c r="L15" s="288"/>
    </row>
    <row r="16" ht="15.75" customHeight="1">
      <c r="A16" s="252"/>
      <c r="B16" s="253" t="str">
        <f t="array" ref="B16">+XLOOKUP(C16,'Base de datos'!C:C,'Base de datos'!A:A,"",FALSE)</f>
        <v/>
      </c>
      <c r="C16" s="254"/>
      <c r="D16" s="255" t="s">
        <v>14</v>
      </c>
      <c r="E16" s="256">
        <f t="array" ref="E16">+XLOOKUP(B16,'Base de datos'!A:A,'Base de datos'!H:H,0)</f>
        <v>0</v>
      </c>
      <c r="F16" s="257"/>
      <c r="G16" s="257"/>
      <c r="H16" s="258"/>
      <c r="I16" s="256">
        <f t="shared" si="3"/>
        <v>0</v>
      </c>
      <c r="J16" s="241"/>
      <c r="L16" s="288"/>
    </row>
    <row r="17" ht="15.75" customHeight="1">
      <c r="A17" s="252"/>
      <c r="B17" s="253" t="str">
        <f t="array" ref="B17">+XLOOKUP(C17,'Base de datos'!C:C,'Base de datos'!A:A,"",FALSE)</f>
        <v/>
      </c>
      <c r="C17" s="254"/>
      <c r="D17" s="255" t="s">
        <v>14</v>
      </c>
      <c r="E17" s="256">
        <f t="array" ref="E17">+XLOOKUP(B17,'Base de datos'!A:A,'Base de datos'!H:H,0)</f>
        <v>0</v>
      </c>
      <c r="F17" s="257"/>
      <c r="G17" s="257"/>
      <c r="H17" s="258" t="str">
        <f>IFERROR(1-G17/F17,"")</f>
        <v/>
      </c>
      <c r="I17" s="256">
        <f t="shared" si="3"/>
        <v>0</v>
      </c>
      <c r="J17" s="241"/>
      <c r="L17" s="288"/>
    </row>
    <row r="18" ht="15.75" customHeight="1">
      <c r="A18" s="240"/>
      <c r="B18" s="240"/>
      <c r="C18" s="241"/>
      <c r="D18" s="242"/>
      <c r="E18" s="243"/>
      <c r="F18" s="244"/>
      <c r="G18" s="244"/>
      <c r="H18" s="241"/>
      <c r="I18" s="241"/>
      <c r="J18" s="241"/>
      <c r="K18" s="241"/>
      <c r="L18" s="241"/>
    </row>
    <row r="19" ht="15.75" customHeight="1">
      <c r="A19" s="295"/>
      <c r="B19" s="295"/>
      <c r="C19" s="296" t="s">
        <v>337</v>
      </c>
      <c r="D19" s="297"/>
      <c r="E19" s="297"/>
      <c r="F19" s="297"/>
      <c r="G19" s="297"/>
      <c r="H19" s="297"/>
      <c r="I19" s="298"/>
      <c r="J19" s="241"/>
      <c r="K19" s="241"/>
      <c r="L19" s="241"/>
    </row>
    <row r="20" ht="15.75" customHeight="1">
      <c r="A20" s="299"/>
      <c r="B20" s="299"/>
      <c r="C20" s="300"/>
      <c r="D20" s="297"/>
      <c r="E20" s="297"/>
      <c r="F20" s="297"/>
      <c r="G20" s="297"/>
      <c r="H20" s="297"/>
      <c r="I20" s="298"/>
      <c r="J20" s="241"/>
      <c r="K20" s="241"/>
      <c r="L20" s="241"/>
    </row>
    <row r="21" ht="15.75" customHeight="1">
      <c r="A21" s="301"/>
      <c r="B21" s="301"/>
      <c r="C21" s="302"/>
      <c r="I21" s="278"/>
      <c r="J21" s="241"/>
      <c r="K21" s="241"/>
      <c r="L21" s="241"/>
    </row>
    <row r="22" ht="15.75" customHeight="1">
      <c r="A22" s="301"/>
      <c r="B22" s="301"/>
      <c r="C22" s="302"/>
      <c r="I22" s="278"/>
      <c r="J22" s="241"/>
      <c r="K22" s="241"/>
      <c r="L22" s="241"/>
    </row>
    <row r="23" ht="15.75" customHeight="1">
      <c r="A23" s="301"/>
      <c r="B23" s="301"/>
      <c r="C23" s="302"/>
      <c r="I23" s="278"/>
      <c r="J23" s="241"/>
      <c r="K23" s="241"/>
      <c r="L23" s="241"/>
    </row>
    <row r="24" ht="15.75" customHeight="1">
      <c r="A24" s="301"/>
      <c r="B24" s="301"/>
      <c r="C24" s="302"/>
      <c r="I24" s="278"/>
      <c r="J24" s="241"/>
      <c r="K24" s="241"/>
      <c r="L24" s="241"/>
    </row>
    <row r="25" ht="15.75" customHeight="1">
      <c r="A25" s="301"/>
      <c r="B25" s="301"/>
      <c r="C25" s="302"/>
      <c r="I25" s="278"/>
      <c r="J25" s="241"/>
      <c r="K25" s="241"/>
      <c r="L25" s="241"/>
    </row>
    <row r="26" ht="15.75" customHeight="1">
      <c r="A26" s="301"/>
      <c r="B26" s="301"/>
      <c r="C26" s="302"/>
      <c r="I26" s="278"/>
      <c r="J26" s="241"/>
      <c r="K26" s="241"/>
      <c r="L26" s="241"/>
    </row>
    <row r="27" ht="15.75" customHeight="1">
      <c r="A27" s="301"/>
      <c r="B27" s="301"/>
      <c r="C27" s="304"/>
      <c r="D27" s="305"/>
      <c r="E27" s="305"/>
      <c r="F27" s="305"/>
      <c r="G27" s="305"/>
      <c r="H27" s="305"/>
      <c r="I27" s="274"/>
      <c r="J27" s="241"/>
      <c r="K27" s="241"/>
      <c r="L27" s="241"/>
    </row>
    <row r="28" ht="15.75" customHeight="1">
      <c r="A28" s="240"/>
      <c r="B28" s="240"/>
      <c r="C28" s="241"/>
      <c r="D28" s="242"/>
      <c r="E28" s="243"/>
      <c r="F28" s="244"/>
      <c r="G28" s="244"/>
      <c r="H28" s="241"/>
      <c r="I28" s="241"/>
      <c r="J28" s="241"/>
      <c r="K28" s="241"/>
      <c r="L28" s="241"/>
    </row>
    <row r="29" ht="15.75" customHeight="1">
      <c r="A29" s="360"/>
      <c r="B29" s="361" t="s">
        <v>0</v>
      </c>
      <c r="C29" s="362" t="s">
        <v>652</v>
      </c>
      <c r="D29" s="361" t="s">
        <v>20</v>
      </c>
      <c r="E29" s="363" t="s">
        <v>317</v>
      </c>
      <c r="F29" s="361" t="s">
        <v>318</v>
      </c>
      <c r="G29" s="364" t="s">
        <v>319</v>
      </c>
      <c r="H29" s="361" t="s">
        <v>320</v>
      </c>
      <c r="I29" s="361" t="s">
        <v>321</v>
      </c>
      <c r="J29" s="365"/>
      <c r="K29" s="361" t="s">
        <v>653</v>
      </c>
      <c r="L29" s="249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</row>
    <row r="30" ht="15.75" customHeight="1">
      <c r="A30" s="301"/>
      <c r="B30" s="366">
        <f t="array" ref="B30">+XLOOKUP(C30,'Base de datos'!C:C,'Base de datos'!A:A,"",FALSE)</f>
        <v>2</v>
      </c>
      <c r="C30" s="367" t="s">
        <v>12</v>
      </c>
      <c r="D30" s="255" t="s">
        <v>14</v>
      </c>
      <c r="E30" s="256">
        <f t="array" ref="E30">+XLOOKUP(B30,'Base de datos'!A:A,'Base de datos'!H:H,0)</f>
        <v>1.518</v>
      </c>
      <c r="F30" s="368">
        <v>5.2</v>
      </c>
      <c r="G30" s="369"/>
      <c r="H30" s="370">
        <f t="shared" ref="H30:H39" si="4">IFERROR(1-G30/F30,"")</f>
        <v>1</v>
      </c>
      <c r="I30" s="371">
        <f t="shared" ref="I30:I39" si="5">IFERROR(E30*F30,"")</f>
        <v>7.8936</v>
      </c>
      <c r="J30" s="241"/>
      <c r="K30" s="372" t="s">
        <v>324</v>
      </c>
      <c r="L30" s="241"/>
    </row>
    <row r="31" ht="15.75" customHeight="1">
      <c r="A31" s="301"/>
      <c r="B31" s="366">
        <f t="array" ref="B31">+XLOOKUP(C31,'Base de datos'!C:C,'Base de datos'!A:A,"",FALSE)</f>
        <v>118</v>
      </c>
      <c r="C31" s="367" t="s">
        <v>144</v>
      </c>
      <c r="D31" s="373" t="s">
        <v>14</v>
      </c>
      <c r="E31" s="256">
        <f t="array" ref="E31">+XLOOKUP(B31,'Base de datos'!A:A,'Base de datos'!H:H,0)</f>
        <v>5</v>
      </c>
      <c r="F31" s="368">
        <v>0.15</v>
      </c>
      <c r="G31" s="369"/>
      <c r="H31" s="370">
        <f t="shared" si="4"/>
        <v>1</v>
      </c>
      <c r="I31" s="371">
        <f t="shared" si="5"/>
        <v>0.75</v>
      </c>
      <c r="J31" s="241"/>
      <c r="K31" s="374">
        <f>SUM(I30:I39)</f>
        <v>8.7871</v>
      </c>
      <c r="L31" s="241"/>
    </row>
    <row r="32" ht="15.75" customHeight="1">
      <c r="A32" s="301"/>
      <c r="B32" s="366">
        <f t="array" ref="B32">+XLOOKUP(C32,'Base de datos'!C:C,'Base de datos'!A:A,"",FALSE)</f>
        <v>119</v>
      </c>
      <c r="C32" s="367" t="s">
        <v>145</v>
      </c>
      <c r="D32" s="373" t="s">
        <v>14</v>
      </c>
      <c r="E32" s="256">
        <f t="array" ref="E32">+XLOOKUP(B32,'Base de datos'!A:A,'Base de datos'!H:H,0)</f>
        <v>0.43</v>
      </c>
      <c r="F32" s="368">
        <v>0.16</v>
      </c>
      <c r="G32" s="369"/>
      <c r="H32" s="370">
        <f t="shared" si="4"/>
        <v>1</v>
      </c>
      <c r="I32" s="371">
        <f t="shared" si="5"/>
        <v>0.0688</v>
      </c>
      <c r="J32" s="241"/>
      <c r="K32" s="372" t="s">
        <v>654</v>
      </c>
      <c r="L32" s="375"/>
    </row>
    <row r="33" ht="15.75" customHeight="1">
      <c r="A33" s="301"/>
      <c r="B33" s="366">
        <f t="array" ref="B33">+XLOOKUP(C33,'Base de datos'!C:C,'Base de datos'!A:A,"",FALSE)</f>
        <v>100</v>
      </c>
      <c r="C33" s="367" t="s">
        <v>123</v>
      </c>
      <c r="D33" s="373" t="s">
        <v>14</v>
      </c>
      <c r="E33" s="256">
        <f t="array" ref="E33">+XLOOKUP(B33,'Base de datos'!A:A,'Base de datos'!H:H,0)</f>
        <v>0.83</v>
      </c>
      <c r="F33" s="368">
        <v>0.09</v>
      </c>
      <c r="G33" s="369"/>
      <c r="H33" s="370">
        <f t="shared" si="4"/>
        <v>1</v>
      </c>
      <c r="I33" s="371">
        <f t="shared" si="5"/>
        <v>0.0747</v>
      </c>
      <c r="J33" s="241"/>
      <c r="K33" s="376">
        <f>SUM(F30:F39)</f>
        <v>7.6</v>
      </c>
      <c r="L33" s="241"/>
    </row>
    <row r="34" ht="15.75" customHeight="1">
      <c r="A34" s="301"/>
      <c r="B34" s="377" t="str">
        <f t="array" ref="B34">+XLOOKUP(C34,'Base de datos'!C:C,'Base de datos'!A:A,"",FALSE)</f>
        <v/>
      </c>
      <c r="C34" s="367" t="s">
        <v>655</v>
      </c>
      <c r="D34" s="373" t="s">
        <v>14</v>
      </c>
      <c r="E34" s="256">
        <f t="array" ref="E34">+XLOOKUP(B34,'Base de datos'!A:A,'Base de datos'!H:H,0)</f>
        <v>0</v>
      </c>
      <c r="F34" s="378">
        <v>1.0</v>
      </c>
      <c r="G34" s="379"/>
      <c r="H34" s="370">
        <f t="shared" si="4"/>
        <v>1</v>
      </c>
      <c r="I34" s="371">
        <f t="shared" si="5"/>
        <v>0</v>
      </c>
      <c r="J34" s="241"/>
      <c r="K34" s="372" t="s">
        <v>656</v>
      </c>
      <c r="L34" s="380"/>
    </row>
    <row r="35" ht="15.75" customHeight="1">
      <c r="A35" s="301"/>
      <c r="B35" s="377" t="str">
        <f t="array" ref="B35">+XLOOKUP(C35,'Base de datos'!C:C,'Base de datos'!A:A,"",FALSE)</f>
        <v/>
      </c>
      <c r="C35" s="367" t="s">
        <v>657</v>
      </c>
      <c r="D35" s="255" t="s">
        <v>14</v>
      </c>
      <c r="E35" s="256">
        <f t="array" ref="E35">+XLOOKUP(B35,'Base de datos'!A:A,'Base de datos'!H:H,0)</f>
        <v>0</v>
      </c>
      <c r="F35" s="378">
        <v>1.0</v>
      </c>
      <c r="G35" s="379"/>
      <c r="H35" s="370">
        <f t="shared" si="4"/>
        <v>1</v>
      </c>
      <c r="I35" s="371">
        <f t="shared" si="5"/>
        <v>0</v>
      </c>
      <c r="J35" s="241"/>
      <c r="K35" s="374">
        <f>K31/K33</f>
        <v>1.156197368</v>
      </c>
      <c r="L35" s="241"/>
    </row>
    <row r="36" ht="15.75" customHeight="1">
      <c r="A36" s="301"/>
      <c r="B36" s="377" t="str">
        <f t="array" ref="B36">+XLOOKUP(C36,'Base de datos'!C:C,'Base de datos'!A:A,"",FALSE)</f>
        <v/>
      </c>
      <c r="C36" s="381"/>
      <c r="D36" s="255" t="s">
        <v>14</v>
      </c>
      <c r="E36" s="256">
        <f t="array" ref="E36">+XLOOKUP(B36,'Base de datos'!A:A,'Base de datos'!H:H,0)</f>
        <v>0</v>
      </c>
      <c r="F36" s="379"/>
      <c r="G36" s="379"/>
      <c r="H36" s="370" t="str">
        <f t="shared" si="4"/>
        <v/>
      </c>
      <c r="I36" s="371">
        <f t="shared" si="5"/>
        <v>0</v>
      </c>
      <c r="J36" s="241"/>
      <c r="K36" s="382" t="s">
        <v>658</v>
      </c>
      <c r="L36" s="241"/>
    </row>
    <row r="37" ht="15.75" customHeight="1">
      <c r="A37" s="301"/>
      <c r="B37" s="377" t="str">
        <f t="array" ref="B37">+XLOOKUP(C37,'Base de datos'!C:C,'Base de datos'!A:A,"",FALSE)</f>
        <v/>
      </c>
      <c r="C37" s="381"/>
      <c r="D37" s="255" t="s">
        <v>14</v>
      </c>
      <c r="E37" s="256">
        <f t="array" ref="E37">+XLOOKUP(B37,'Base de datos'!A:A,'Base de datos'!H:H,0)</f>
        <v>0</v>
      </c>
      <c r="F37" s="379"/>
      <c r="G37" s="379"/>
      <c r="H37" s="370" t="str">
        <f t="shared" si="4"/>
        <v/>
      </c>
      <c r="I37" s="371">
        <f t="shared" si="5"/>
        <v>0</v>
      </c>
      <c r="J37" s="241"/>
      <c r="K37" s="383">
        <f>K33/F7</f>
        <v>760</v>
      </c>
      <c r="L37" s="241"/>
    </row>
    <row r="38" ht="15.75" customHeight="1">
      <c r="A38" s="301"/>
      <c r="B38" s="377" t="str">
        <f t="array" ref="B38">+XLOOKUP(C38,'Base de datos'!C:C,'Base de datos'!A:A,"",FALSE)</f>
        <v/>
      </c>
      <c r="C38" s="381"/>
      <c r="D38" s="255" t="s">
        <v>14</v>
      </c>
      <c r="E38" s="256">
        <f t="array" ref="E38">+XLOOKUP(B38,'Base de datos'!A:A,'Base de datos'!H:H,0)</f>
        <v>0</v>
      </c>
      <c r="F38" s="379"/>
      <c r="G38" s="379"/>
      <c r="H38" s="370" t="str">
        <f t="shared" si="4"/>
        <v/>
      </c>
      <c r="I38" s="371">
        <f t="shared" si="5"/>
        <v>0</v>
      </c>
      <c r="J38" s="241"/>
      <c r="K38" s="384"/>
      <c r="L38" s="241"/>
    </row>
    <row r="39" ht="15.75" customHeight="1">
      <c r="A39" s="301"/>
      <c r="B39" s="377" t="str">
        <f t="array" ref="B39">+XLOOKUP(C39,'Base de datos'!C:C,'Base de datos'!A:A,"",FALSE)</f>
        <v/>
      </c>
      <c r="C39" s="381"/>
      <c r="D39" s="255" t="s">
        <v>14</v>
      </c>
      <c r="E39" s="256">
        <f t="array" ref="E39">+XLOOKUP(B39,'Base de datos'!A:A,'Base de datos'!H:H,0)</f>
        <v>0</v>
      </c>
      <c r="F39" s="379"/>
      <c r="G39" s="379"/>
      <c r="H39" s="370" t="str">
        <f t="shared" si="4"/>
        <v/>
      </c>
      <c r="I39" s="371">
        <f t="shared" si="5"/>
        <v>0</v>
      </c>
      <c r="J39" s="241"/>
      <c r="K39" s="384"/>
      <c r="L39" s="241"/>
    </row>
    <row r="40" ht="15.75" customHeight="1">
      <c r="A40" s="240"/>
      <c r="B40" s="240"/>
      <c r="C40" s="241"/>
      <c r="D40" s="242"/>
      <c r="E40" s="243"/>
      <c r="F40" s="244"/>
      <c r="G40" s="244"/>
      <c r="H40" s="241"/>
      <c r="I40" s="241"/>
      <c r="J40" s="241"/>
      <c r="K40" s="241"/>
      <c r="L40" s="241"/>
    </row>
    <row r="41" ht="15.75" customHeight="1">
      <c r="A41" s="295"/>
      <c r="B41" s="295"/>
      <c r="C41" s="296" t="s">
        <v>338</v>
      </c>
      <c r="D41" s="297"/>
      <c r="E41" s="297"/>
      <c r="F41" s="297"/>
      <c r="G41" s="297"/>
      <c r="H41" s="297"/>
      <c r="I41" s="298"/>
      <c r="J41" s="241"/>
      <c r="K41" s="241"/>
      <c r="L41" s="241"/>
    </row>
    <row r="42" ht="15.75" customHeight="1">
      <c r="A42" s="299"/>
      <c r="B42" s="299"/>
      <c r="C42" s="385" t="s">
        <v>659</v>
      </c>
      <c r="D42" s="297"/>
      <c r="E42" s="297"/>
      <c r="F42" s="297"/>
      <c r="G42" s="297"/>
      <c r="H42" s="297"/>
      <c r="I42" s="298"/>
      <c r="J42" s="241"/>
      <c r="K42" s="241"/>
      <c r="L42" s="241"/>
    </row>
    <row r="43" ht="15.75" customHeight="1">
      <c r="A43" s="301"/>
      <c r="B43" s="301"/>
      <c r="C43" s="386"/>
      <c r="I43" s="278"/>
      <c r="J43" s="241"/>
      <c r="K43" s="241"/>
      <c r="L43" s="241"/>
    </row>
    <row r="44" ht="15.75" customHeight="1">
      <c r="A44" s="301"/>
      <c r="B44" s="301"/>
      <c r="C44" s="386"/>
      <c r="I44" s="278"/>
      <c r="J44" s="241"/>
      <c r="K44" s="241"/>
      <c r="L44" s="241"/>
    </row>
    <row r="45" ht="15.75" customHeight="1">
      <c r="A45" s="301"/>
      <c r="B45" s="301"/>
      <c r="C45" s="386"/>
      <c r="I45" s="278"/>
      <c r="J45" s="241"/>
      <c r="K45" s="241"/>
      <c r="L45" s="241"/>
    </row>
    <row r="46" ht="15.75" customHeight="1">
      <c r="A46" s="301"/>
      <c r="B46" s="301"/>
      <c r="C46" s="386"/>
      <c r="I46" s="278"/>
      <c r="J46" s="241"/>
      <c r="K46" s="241"/>
      <c r="L46" s="241"/>
    </row>
    <row r="47" ht="15.75" customHeight="1">
      <c r="A47" s="301"/>
      <c r="B47" s="301"/>
      <c r="C47" s="386"/>
      <c r="I47" s="278"/>
      <c r="J47" s="241"/>
      <c r="K47" s="241"/>
      <c r="L47" s="241"/>
    </row>
    <row r="48" ht="15.75" customHeight="1">
      <c r="A48" s="307"/>
      <c r="B48" s="307"/>
      <c r="C48" s="386"/>
      <c r="I48" s="278"/>
    </row>
    <row r="49" ht="15.75" customHeight="1">
      <c r="A49" s="307"/>
      <c r="B49" s="307"/>
      <c r="C49" s="386"/>
      <c r="I49" s="278"/>
    </row>
    <row r="50" ht="15.75" customHeight="1">
      <c r="A50" s="307"/>
      <c r="B50" s="307"/>
      <c r="C50" s="386"/>
      <c r="I50" s="278"/>
    </row>
    <row r="51" ht="15.75" customHeight="1">
      <c r="A51" s="307"/>
      <c r="B51" s="307"/>
      <c r="C51" s="386"/>
      <c r="I51" s="278"/>
    </row>
    <row r="52" ht="15.75" customHeight="1">
      <c r="A52" s="307"/>
      <c r="B52" s="307"/>
      <c r="D52" s="308"/>
      <c r="E52" s="309"/>
    </row>
    <row r="53" ht="15.75" customHeight="1">
      <c r="A53" s="307"/>
      <c r="B53" s="307"/>
      <c r="D53" s="308"/>
      <c r="E53" s="309"/>
    </row>
    <row r="54" ht="15.75" customHeight="1">
      <c r="A54" s="307"/>
      <c r="B54" s="361" t="s">
        <v>0</v>
      </c>
      <c r="C54" s="362" t="s">
        <v>660</v>
      </c>
      <c r="D54" s="361" t="s">
        <v>20</v>
      </c>
      <c r="E54" s="363" t="s">
        <v>317</v>
      </c>
      <c r="F54" s="361" t="s">
        <v>318</v>
      </c>
      <c r="G54" s="364" t="s">
        <v>319</v>
      </c>
      <c r="H54" s="361" t="s">
        <v>320</v>
      </c>
      <c r="I54" s="361" t="s">
        <v>321</v>
      </c>
      <c r="J54" s="365"/>
      <c r="K54" s="362" t="s">
        <v>661</v>
      </c>
    </row>
    <row r="55" ht="15.75" customHeight="1">
      <c r="A55" s="307"/>
      <c r="B55" s="366">
        <f t="array" ref="B55">+XLOOKUP(C55,'Base de datos'!C:C,'Base de datos'!A:A,"",FALSE)</f>
        <v>2</v>
      </c>
      <c r="C55" s="367" t="s">
        <v>12</v>
      </c>
      <c r="D55" s="255" t="s">
        <v>14</v>
      </c>
      <c r="E55" s="256">
        <f t="array" ref="E55">+XLOOKUP(B55,'Base de datos'!A:A,'Base de datos'!H:H,0)</f>
        <v>1.518</v>
      </c>
      <c r="F55" s="368">
        <v>5.2</v>
      </c>
      <c r="G55" s="369"/>
      <c r="H55" s="370">
        <f t="shared" ref="H55:H64" si="6">IFERROR(1-G55/F55,"")</f>
        <v>1</v>
      </c>
      <c r="I55" s="371">
        <f t="shared" ref="I55:I64" si="7">IFERROR(E55*F55,"")</f>
        <v>7.8936</v>
      </c>
      <c r="J55" s="241"/>
      <c r="K55" s="372" t="s">
        <v>324</v>
      </c>
    </row>
    <row r="56" ht="15.75" customHeight="1">
      <c r="A56" s="307"/>
      <c r="B56" s="377" t="str">
        <f t="array" ref="B56">+XLOOKUP(C56,'Base de datos'!C:C,'Base de datos'!A:A,"",FALSE)</f>
        <v/>
      </c>
      <c r="C56" s="367"/>
      <c r="D56" s="373" t="s">
        <v>14</v>
      </c>
      <c r="E56" s="256">
        <f t="array" ref="E56">+XLOOKUP(B56,'Base de datos'!A:A,'Base de datos'!H:H,0)</f>
        <v>0</v>
      </c>
      <c r="F56" s="368"/>
      <c r="G56" s="369"/>
      <c r="H56" s="370" t="str">
        <f t="shared" si="6"/>
        <v/>
      </c>
      <c r="I56" s="371">
        <f t="shared" si="7"/>
        <v>0</v>
      </c>
      <c r="J56" s="241"/>
      <c r="K56" s="374">
        <f>SUM(I55:I64)</f>
        <v>14.2871</v>
      </c>
    </row>
    <row r="57" ht="15.75" customHeight="1">
      <c r="A57" s="307"/>
      <c r="B57" s="366">
        <f t="array" ref="B57">+XLOOKUP(C57,'Base de datos'!C:C,'Base de datos'!A:A,"",FALSE)</f>
        <v>119</v>
      </c>
      <c r="C57" s="367" t="s">
        <v>145</v>
      </c>
      <c r="D57" s="373" t="s">
        <v>14</v>
      </c>
      <c r="E57" s="256">
        <f t="array" ref="E57">+XLOOKUP(B57,'Base de datos'!A:A,'Base de datos'!H:H,0)</f>
        <v>0.43</v>
      </c>
      <c r="F57" s="368">
        <v>0.16</v>
      </c>
      <c r="G57" s="369"/>
      <c r="H57" s="370">
        <f t="shared" si="6"/>
        <v>1</v>
      </c>
      <c r="I57" s="371">
        <f t="shared" si="7"/>
        <v>0.0688</v>
      </c>
      <c r="J57" s="241"/>
      <c r="K57" s="372" t="s">
        <v>654</v>
      </c>
    </row>
    <row r="58" ht="15.75" customHeight="1">
      <c r="A58" s="307"/>
      <c r="B58" s="366">
        <f t="array" ref="B58">+XLOOKUP(C58,'Base de datos'!C:C,'Base de datos'!A:A,"",FALSE)</f>
        <v>100</v>
      </c>
      <c r="C58" s="367" t="s">
        <v>123</v>
      </c>
      <c r="D58" s="373" t="s">
        <v>14</v>
      </c>
      <c r="E58" s="256">
        <f t="array" ref="E58">+XLOOKUP(B58,'Base de datos'!A:A,'Base de datos'!H:H,0)</f>
        <v>0.83</v>
      </c>
      <c r="F58" s="368">
        <v>0.09</v>
      </c>
      <c r="G58" s="369"/>
      <c r="H58" s="370">
        <f t="shared" si="6"/>
        <v>1</v>
      </c>
      <c r="I58" s="371">
        <f t="shared" si="7"/>
        <v>0.0747</v>
      </c>
      <c r="J58" s="241"/>
      <c r="K58" s="376">
        <f>SUM(F55:F64)</f>
        <v>7.45</v>
      </c>
    </row>
    <row r="59" ht="15.75" customHeight="1">
      <c r="A59" s="307"/>
      <c r="B59" s="366">
        <f t="array" ref="B59">+XLOOKUP(C59,'Base de datos'!C:C,'Base de datos'!A:A,"",FALSE)</f>
        <v>32</v>
      </c>
      <c r="C59" s="367" t="s">
        <v>60</v>
      </c>
      <c r="D59" s="373" t="s">
        <v>14</v>
      </c>
      <c r="E59" s="256">
        <f t="array" ref="E59">+XLOOKUP(B59,'Base de datos'!A:A,'Base de datos'!H:H,0)</f>
        <v>2.5</v>
      </c>
      <c r="F59" s="378">
        <v>1.0</v>
      </c>
      <c r="G59" s="379"/>
      <c r="H59" s="370">
        <f t="shared" si="6"/>
        <v>1</v>
      </c>
      <c r="I59" s="371">
        <f t="shared" si="7"/>
        <v>2.5</v>
      </c>
      <c r="J59" s="241"/>
      <c r="K59" s="372" t="s">
        <v>656</v>
      </c>
    </row>
    <row r="60" ht="15.75" customHeight="1">
      <c r="A60" s="307"/>
      <c r="B60" s="366">
        <f t="array" ref="B60">+XLOOKUP(C60,'Base de datos'!C:C,'Base de datos'!A:A,"",FALSE)</f>
        <v>34</v>
      </c>
      <c r="C60" s="367" t="s">
        <v>63</v>
      </c>
      <c r="D60" s="255" t="s">
        <v>14</v>
      </c>
      <c r="E60" s="256">
        <f t="array" ref="E60">+XLOOKUP(B60,'Base de datos'!A:A,'Base de datos'!H:H,0)</f>
        <v>3.75</v>
      </c>
      <c r="F60" s="378">
        <v>1.0</v>
      </c>
      <c r="G60" s="379"/>
      <c r="H60" s="370">
        <f t="shared" si="6"/>
        <v>1</v>
      </c>
      <c r="I60" s="371">
        <f t="shared" si="7"/>
        <v>3.75</v>
      </c>
      <c r="J60" s="241"/>
      <c r="K60" s="374">
        <f>K56/K58</f>
        <v>1.917731544</v>
      </c>
    </row>
    <row r="61" ht="15.75" customHeight="1">
      <c r="A61" s="307"/>
      <c r="B61" s="377" t="str">
        <f t="array" ref="B61">+XLOOKUP(C61,'Base de datos'!C:C,'Base de datos'!A:A,"",FALSE)</f>
        <v/>
      </c>
      <c r="C61" s="381"/>
      <c r="D61" s="255" t="s">
        <v>14</v>
      </c>
      <c r="E61" s="256">
        <f t="array" ref="E61">+XLOOKUP(B61,'Base de datos'!A:A,'Base de datos'!H:H,0)</f>
        <v>0</v>
      </c>
      <c r="F61" s="379"/>
      <c r="G61" s="379"/>
      <c r="H61" s="370" t="str">
        <f t="shared" si="6"/>
        <v/>
      </c>
      <c r="I61" s="371">
        <f t="shared" si="7"/>
        <v>0</v>
      </c>
      <c r="J61" s="241"/>
      <c r="K61" s="382" t="s">
        <v>658</v>
      </c>
    </row>
    <row r="62" ht="15.75" customHeight="1">
      <c r="A62" s="307"/>
      <c r="B62" s="377" t="str">
        <f t="array" ref="B62">+XLOOKUP(C62,'Base de datos'!C:C,'Base de datos'!A:A,"",FALSE)</f>
        <v/>
      </c>
      <c r="C62" s="381"/>
      <c r="D62" s="255" t="s">
        <v>14</v>
      </c>
      <c r="E62" s="256">
        <f t="array" ref="E62">+XLOOKUP(B62,'Base de datos'!A:A,'Base de datos'!H:H,0)</f>
        <v>0</v>
      </c>
      <c r="F62" s="379"/>
      <c r="G62" s="379"/>
      <c r="H62" s="370" t="str">
        <f t="shared" si="6"/>
        <v/>
      </c>
      <c r="I62" s="371">
        <f t="shared" si="7"/>
        <v>0</v>
      </c>
      <c r="J62" s="241"/>
      <c r="K62" s="383">
        <f>K58/F32</f>
        <v>46.5625</v>
      </c>
    </row>
    <row r="63" ht="15.75" customHeight="1">
      <c r="A63" s="307"/>
      <c r="B63" s="377" t="str">
        <f t="array" ref="B63">+XLOOKUP(C63,'Base de datos'!C:C,'Base de datos'!A:A,"",FALSE)</f>
        <v/>
      </c>
      <c r="C63" s="381"/>
      <c r="D63" s="255" t="s">
        <v>14</v>
      </c>
      <c r="E63" s="256">
        <f t="array" ref="E63">+XLOOKUP(B63,'Base de datos'!A:A,'Base de datos'!H:H,0)</f>
        <v>0</v>
      </c>
      <c r="F63" s="379"/>
      <c r="G63" s="379"/>
      <c r="H63" s="370" t="str">
        <f t="shared" si="6"/>
        <v/>
      </c>
      <c r="I63" s="371">
        <f t="shared" si="7"/>
        <v>0</v>
      </c>
      <c r="J63" s="241"/>
      <c r="K63" s="384"/>
    </row>
    <row r="64" ht="15.75" customHeight="1">
      <c r="A64" s="307"/>
      <c r="B64" s="377" t="str">
        <f t="array" ref="B64">+XLOOKUP(C64,'Base de datos'!C:C,'Base de datos'!A:A,"",FALSE)</f>
        <v/>
      </c>
      <c r="C64" s="381"/>
      <c r="D64" s="255" t="s">
        <v>14</v>
      </c>
      <c r="E64" s="256">
        <f t="array" ref="E64">+XLOOKUP(B64,'Base de datos'!A:A,'Base de datos'!H:H,0)</f>
        <v>0</v>
      </c>
      <c r="F64" s="379"/>
      <c r="G64" s="379"/>
      <c r="H64" s="370" t="str">
        <f t="shared" si="6"/>
        <v/>
      </c>
      <c r="I64" s="371">
        <f t="shared" si="7"/>
        <v>0</v>
      </c>
      <c r="J64" s="241"/>
      <c r="K64" s="384"/>
    </row>
    <row r="65" ht="15.75" customHeight="1">
      <c r="A65" s="307"/>
      <c r="B65" s="240"/>
      <c r="C65" s="241"/>
      <c r="D65" s="242"/>
      <c r="E65" s="243"/>
      <c r="F65" s="244"/>
      <c r="G65" s="244"/>
      <c r="H65" s="241"/>
      <c r="I65" s="241"/>
      <c r="J65" s="241"/>
      <c r="K65" s="241"/>
    </row>
    <row r="66" ht="15.75" customHeight="1">
      <c r="A66" s="307"/>
      <c r="B66" s="295"/>
      <c r="C66" s="296" t="s">
        <v>338</v>
      </c>
      <c r="D66" s="297"/>
      <c r="E66" s="297"/>
      <c r="F66" s="297"/>
      <c r="G66" s="297"/>
      <c r="H66" s="297"/>
      <c r="I66" s="298"/>
      <c r="J66" s="241"/>
      <c r="K66" s="241"/>
    </row>
    <row r="67" ht="15.75" customHeight="1">
      <c r="A67" s="307"/>
      <c r="B67" s="299"/>
      <c r="C67" s="385" t="s">
        <v>662</v>
      </c>
      <c r="D67" s="297"/>
      <c r="E67" s="297"/>
      <c r="F67" s="297"/>
      <c r="G67" s="297"/>
      <c r="H67" s="297"/>
      <c r="I67" s="298"/>
      <c r="J67" s="241"/>
      <c r="K67" s="241"/>
    </row>
    <row r="68" ht="15.75" customHeight="1">
      <c r="A68" s="307"/>
      <c r="B68" s="301"/>
      <c r="C68" s="386"/>
      <c r="I68" s="278"/>
      <c r="J68" s="241"/>
      <c r="K68" s="241"/>
    </row>
    <row r="69" ht="15.75" customHeight="1">
      <c r="A69" s="307"/>
      <c r="B69" s="301"/>
      <c r="C69" s="386"/>
      <c r="I69" s="278"/>
      <c r="J69" s="241"/>
      <c r="K69" s="241"/>
    </row>
    <row r="70" ht="15.75" customHeight="1">
      <c r="A70" s="307"/>
      <c r="B70" s="301"/>
      <c r="C70" s="386"/>
      <c r="I70" s="278"/>
      <c r="J70" s="241"/>
      <c r="K70" s="241"/>
    </row>
    <row r="71" ht="15.75" customHeight="1">
      <c r="A71" s="307"/>
      <c r="B71" s="301"/>
      <c r="C71" s="386"/>
      <c r="I71" s="278"/>
      <c r="J71" s="241"/>
      <c r="K71" s="241"/>
    </row>
    <row r="72" ht="15.75" customHeight="1">
      <c r="A72" s="307"/>
      <c r="B72" s="301"/>
      <c r="C72" s="386"/>
      <c r="I72" s="278"/>
      <c r="J72" s="241"/>
      <c r="K72" s="241"/>
    </row>
    <row r="73" ht="15.75" customHeight="1">
      <c r="A73" s="307"/>
      <c r="B73" s="307"/>
      <c r="C73" s="386"/>
      <c r="I73" s="278"/>
    </row>
    <row r="74" ht="15.75" customHeight="1">
      <c r="A74" s="307"/>
      <c r="B74" s="307"/>
      <c r="C74" s="386"/>
      <c r="I74" s="278"/>
    </row>
    <row r="75" ht="15.75" customHeight="1">
      <c r="A75" s="307"/>
      <c r="B75" s="307"/>
      <c r="C75" s="386"/>
      <c r="I75" s="278"/>
    </row>
    <row r="76" ht="15.75" customHeight="1">
      <c r="A76" s="307"/>
      <c r="B76" s="307"/>
      <c r="C76" s="386"/>
      <c r="I76" s="278"/>
    </row>
    <row r="77" ht="15.75" customHeight="1">
      <c r="A77" s="307"/>
      <c r="B77" s="307"/>
      <c r="D77" s="308"/>
      <c r="E77" s="309"/>
    </row>
    <row r="78" ht="15.75" customHeight="1">
      <c r="A78" s="307"/>
      <c r="B78" s="307"/>
      <c r="D78" s="308"/>
      <c r="E78" s="309"/>
    </row>
    <row r="79" ht="15.75" customHeight="1">
      <c r="A79" s="307"/>
      <c r="B79" s="387" t="s">
        <v>0</v>
      </c>
      <c r="C79" s="388" t="s">
        <v>663</v>
      </c>
      <c r="D79" s="387" t="s">
        <v>20</v>
      </c>
      <c r="E79" s="389" t="s">
        <v>317</v>
      </c>
      <c r="F79" s="390" t="s">
        <v>318</v>
      </c>
      <c r="G79" s="391" t="s">
        <v>319</v>
      </c>
      <c r="H79" s="390" t="s">
        <v>320</v>
      </c>
      <c r="I79" s="390" t="s">
        <v>321</v>
      </c>
      <c r="J79" s="392"/>
      <c r="K79" s="388" t="s">
        <v>664</v>
      </c>
    </row>
    <row r="80" ht="15.75" customHeight="1">
      <c r="A80" s="307"/>
      <c r="B80" s="393">
        <f t="array" ref="B80">+XLOOKUP(C80,'Base de datos'!C:C,'Base de datos'!A:A,"",FALSE)</f>
        <v>2</v>
      </c>
      <c r="C80" s="367" t="s">
        <v>12</v>
      </c>
      <c r="D80" s="394" t="s">
        <v>14</v>
      </c>
      <c r="E80" s="395">
        <f t="array" ref="E80">+XLOOKUP(B80,'Base de datos'!A:A,'Base de datos'!H:H,0)</f>
        <v>1.518</v>
      </c>
      <c r="F80" s="396">
        <v>1.0</v>
      </c>
      <c r="G80" s="397"/>
      <c r="H80" s="398">
        <f t="shared" ref="H80:H90" si="8">IFERROR(1-G80/F80,"")</f>
        <v>1</v>
      </c>
      <c r="I80" s="395">
        <f t="shared" ref="I80:I90" si="9">IFERROR(E80*F80,"")</f>
        <v>1.518</v>
      </c>
      <c r="J80" s="171"/>
      <c r="K80" s="399" t="s">
        <v>324</v>
      </c>
    </row>
    <row r="81" ht="15.75" customHeight="1">
      <c r="A81" s="307"/>
      <c r="B81" s="400">
        <f t="array" ref="B81">+XLOOKUP(C81,'Base de datos'!C:C,'Base de datos'!A:A,"",FALSE)</f>
        <v>119</v>
      </c>
      <c r="C81" s="401" t="s">
        <v>145</v>
      </c>
      <c r="D81" s="402" t="s">
        <v>14</v>
      </c>
      <c r="E81" s="395">
        <f t="array" ref="E81">+XLOOKUP(B81,'Base de datos'!A:A,'Base de datos'!H:H,0)</f>
        <v>0.43</v>
      </c>
      <c r="F81" s="396">
        <v>0.01</v>
      </c>
      <c r="G81" s="397"/>
      <c r="H81" s="398">
        <f t="shared" si="8"/>
        <v>1</v>
      </c>
      <c r="I81" s="395">
        <f t="shared" si="9"/>
        <v>0.0043</v>
      </c>
      <c r="J81" s="171"/>
      <c r="K81" s="403">
        <f>SUM(I80:I90)</f>
        <v>4.373882611</v>
      </c>
    </row>
    <row r="82" ht="15.75" customHeight="1">
      <c r="A82" s="307"/>
      <c r="B82" s="393">
        <f t="array" ref="B82">+XLOOKUP(C82,'Base de datos'!C:C,'Base de datos'!A:A,"",FALSE)</f>
        <v>121</v>
      </c>
      <c r="C82" s="401" t="s">
        <v>147</v>
      </c>
      <c r="D82" s="402" t="s">
        <v>14</v>
      </c>
      <c r="E82" s="395">
        <f t="array" ref="E82">+XLOOKUP(B82,'Base de datos'!A:A,'Base de datos'!H:H,0)</f>
        <v>18.875</v>
      </c>
      <c r="F82" s="396">
        <v>0.03</v>
      </c>
      <c r="G82" s="397"/>
      <c r="H82" s="398">
        <f t="shared" si="8"/>
        <v>1</v>
      </c>
      <c r="I82" s="395">
        <f t="shared" si="9"/>
        <v>0.56625</v>
      </c>
      <c r="J82" s="171"/>
      <c r="K82" s="399" t="s">
        <v>654</v>
      </c>
    </row>
    <row r="83" ht="15.75" customHeight="1">
      <c r="A83" s="307"/>
      <c r="B83" s="393">
        <f t="array" ref="B83">+XLOOKUP(C83,'Base de datos'!C:C,'Base de datos'!A:A,"",FALSE)</f>
        <v>123</v>
      </c>
      <c r="C83" s="401" t="s">
        <v>149</v>
      </c>
      <c r="D83" s="402" t="s">
        <v>14</v>
      </c>
      <c r="E83" s="395">
        <f t="array" ref="E83">+XLOOKUP(B83,'Base de datos'!A:A,'Base de datos'!H:H,0)</f>
        <v>38.1</v>
      </c>
      <c r="F83" s="396">
        <v>0.001</v>
      </c>
      <c r="G83" s="397"/>
      <c r="H83" s="398">
        <f t="shared" si="8"/>
        <v>1</v>
      </c>
      <c r="I83" s="395">
        <f t="shared" si="9"/>
        <v>0.0381</v>
      </c>
      <c r="J83" s="171"/>
      <c r="K83" s="404">
        <f>SUM(F80:F90)</f>
        <v>2.448</v>
      </c>
    </row>
    <row r="84" ht="15.75" customHeight="1">
      <c r="A84" s="307"/>
      <c r="B84" s="393">
        <f t="array" ref="B84">+XLOOKUP(C84,'Base de datos'!C:C,'Base de datos'!A:A,"",FALSE)</f>
        <v>124</v>
      </c>
      <c r="C84" s="401" t="s">
        <v>150</v>
      </c>
      <c r="D84" s="402" t="s">
        <v>14</v>
      </c>
      <c r="E84" s="395">
        <f t="array" ref="E84">+XLOOKUP(B84,'Base de datos'!A:A,'Base de datos'!H:H,0)</f>
        <v>1.79</v>
      </c>
      <c r="F84" s="396">
        <v>0.2</v>
      </c>
      <c r="G84" s="397"/>
      <c r="H84" s="398">
        <f t="shared" si="8"/>
        <v>1</v>
      </c>
      <c r="I84" s="395">
        <f t="shared" si="9"/>
        <v>0.358</v>
      </c>
      <c r="J84" s="171"/>
      <c r="K84" s="399" t="s">
        <v>656</v>
      </c>
    </row>
    <row r="85" ht="15.75" customHeight="1">
      <c r="A85" s="307"/>
      <c r="B85" s="393">
        <f t="array" ref="B85">+XLOOKUP(C85,'Base de datos'!C:C,'Base de datos'!A:A,"",FALSE)</f>
        <v>122</v>
      </c>
      <c r="C85" s="401" t="s">
        <v>148</v>
      </c>
      <c r="D85" s="394" t="s">
        <v>14</v>
      </c>
      <c r="E85" s="395">
        <f t="array" ref="E85">+XLOOKUP(B85,'Base de datos'!A:A,'Base de datos'!H:H,0)</f>
        <v>7.9625</v>
      </c>
      <c r="F85" s="396">
        <v>0.015</v>
      </c>
      <c r="G85" s="397"/>
      <c r="H85" s="398">
        <f t="shared" si="8"/>
        <v>1</v>
      </c>
      <c r="I85" s="395">
        <f t="shared" si="9"/>
        <v>0.1194375</v>
      </c>
      <c r="J85" s="171"/>
      <c r="K85" s="403">
        <f>K81/K83</f>
        <v>1.786716753</v>
      </c>
    </row>
    <row r="86" ht="15.75" customHeight="1">
      <c r="A86" s="307"/>
      <c r="B86" s="400">
        <f t="array" ref="B86">+XLOOKUP(C86,'Base de datos'!C:C,'Base de datos'!A:A,"",FALSE)</f>
        <v>126</v>
      </c>
      <c r="C86" s="401" t="s">
        <v>152</v>
      </c>
      <c r="D86" s="394" t="s">
        <v>14</v>
      </c>
      <c r="E86" s="395">
        <f t="array" ref="E86">+XLOOKUP(B86,'Base de datos'!A:A,'Base de datos'!H:H,0)</f>
        <v>8.325</v>
      </c>
      <c r="F86" s="396">
        <v>0.01</v>
      </c>
      <c r="G86" s="397"/>
      <c r="H86" s="398">
        <f t="shared" si="8"/>
        <v>1</v>
      </c>
      <c r="I86" s="395">
        <f t="shared" si="9"/>
        <v>0.08325</v>
      </c>
      <c r="J86" s="171"/>
      <c r="K86" s="405" t="s">
        <v>658</v>
      </c>
    </row>
    <row r="87" ht="15.75" customHeight="1">
      <c r="A87" s="307"/>
      <c r="B87" s="400">
        <f t="array" ref="B87">+XLOOKUP(C87,'Base de datos'!C:C,'Base de datos'!A:A,"",FALSE)</f>
        <v>127</v>
      </c>
      <c r="C87" s="401" t="s">
        <v>153</v>
      </c>
      <c r="D87" s="394" t="s">
        <v>14</v>
      </c>
      <c r="E87" s="395">
        <f t="array" ref="E87">+XLOOKUP(B87,'Base de datos'!A:A,'Base de datos'!H:H,0)</f>
        <v>17.05454545</v>
      </c>
      <c r="F87" s="396">
        <v>0.002</v>
      </c>
      <c r="G87" s="397"/>
      <c r="H87" s="398">
        <f t="shared" si="8"/>
        <v>1</v>
      </c>
      <c r="I87" s="395">
        <f t="shared" si="9"/>
        <v>0.03410909091</v>
      </c>
      <c r="J87" s="171"/>
      <c r="K87" s="406">
        <f>K83/F57</f>
        <v>15.3</v>
      </c>
    </row>
    <row r="88" ht="15.75" customHeight="1">
      <c r="A88" s="307"/>
      <c r="B88" s="400">
        <f t="array" ref="B88">+XLOOKUP(C88,'Base de datos'!C:C,'Base de datos'!A:A,"",FALSE)</f>
        <v>100</v>
      </c>
      <c r="C88" s="401" t="s">
        <v>123</v>
      </c>
      <c r="D88" s="394" t="s">
        <v>14</v>
      </c>
      <c r="E88" s="395">
        <f t="array" ref="E88">+XLOOKUP(B88,'Base de datos'!A:A,'Base de datos'!H:H,0)</f>
        <v>0.83</v>
      </c>
      <c r="F88" s="396">
        <v>0.18</v>
      </c>
      <c r="G88" s="397"/>
      <c r="H88" s="398">
        <f t="shared" si="8"/>
        <v>1</v>
      </c>
      <c r="I88" s="395">
        <f t="shared" si="9"/>
        <v>0.1494</v>
      </c>
      <c r="J88" s="171"/>
      <c r="K88" s="407"/>
    </row>
    <row r="89" ht="15.75" customHeight="1">
      <c r="A89" s="307"/>
      <c r="B89" s="400">
        <f t="array" ref="B89">+XLOOKUP(C89,'Base de datos'!C:C,'Base de datos'!A:A,"",FALSE)</f>
        <v>110</v>
      </c>
      <c r="C89" s="401" t="s">
        <v>134</v>
      </c>
      <c r="D89" s="394" t="s">
        <v>14</v>
      </c>
      <c r="E89" s="395">
        <f t="array" ref="E89">+XLOOKUP(B89,'Base de datos'!A:A,'Base de datos'!H:H,0)</f>
        <v>0.2818181818</v>
      </c>
      <c r="F89" s="396">
        <v>0.3</v>
      </c>
      <c r="G89" s="397"/>
      <c r="H89" s="398">
        <f t="shared" si="8"/>
        <v>1</v>
      </c>
      <c r="I89" s="395">
        <f t="shared" si="9"/>
        <v>0.08454545455</v>
      </c>
      <c r="J89" s="171"/>
      <c r="K89" s="407"/>
    </row>
    <row r="90" ht="15.75" customHeight="1">
      <c r="A90" s="307"/>
      <c r="B90" s="400">
        <f t="array" ref="B90">+XLOOKUP(C90,'Base de datos'!C:C,'Base de datos'!A:A,"",FALSE)</f>
        <v>125</v>
      </c>
      <c r="C90" s="401" t="s">
        <v>151</v>
      </c>
      <c r="D90" s="394" t="s">
        <v>14</v>
      </c>
      <c r="E90" s="395">
        <f t="array" ref="E90">+XLOOKUP(B90,'Base de datos'!A:A,'Base de datos'!H:H,0)</f>
        <v>2.026415094</v>
      </c>
      <c r="F90" s="396">
        <v>0.7</v>
      </c>
      <c r="G90" s="397"/>
      <c r="H90" s="398">
        <f t="shared" si="8"/>
        <v>1</v>
      </c>
      <c r="I90" s="395">
        <f t="shared" si="9"/>
        <v>1.418490566</v>
      </c>
      <c r="J90" s="171"/>
      <c r="K90" s="407"/>
    </row>
    <row r="91" ht="15.75" customHeight="1">
      <c r="A91" s="307"/>
      <c r="B91" s="408"/>
      <c r="C91" s="171"/>
      <c r="D91" s="156"/>
      <c r="E91" s="179"/>
      <c r="F91" s="409"/>
      <c r="G91" s="409"/>
      <c r="H91" s="171"/>
      <c r="I91" s="171"/>
      <c r="J91" s="171"/>
      <c r="K91" s="171"/>
    </row>
    <row r="92" ht="15.75" customHeight="1">
      <c r="A92" s="307"/>
      <c r="B92" s="408"/>
      <c r="C92" s="410" t="s">
        <v>338</v>
      </c>
      <c r="D92" s="297"/>
      <c r="E92" s="297"/>
      <c r="F92" s="297"/>
      <c r="G92" s="297"/>
      <c r="H92" s="297"/>
      <c r="I92" s="298"/>
      <c r="J92" s="171"/>
      <c r="K92" s="171"/>
    </row>
    <row r="93" ht="15.75" customHeight="1">
      <c r="A93" s="307"/>
      <c r="B93" s="307"/>
      <c r="C93" s="411" t="s">
        <v>665</v>
      </c>
      <c r="D93" s="412"/>
      <c r="E93" s="412"/>
      <c r="F93" s="412"/>
      <c r="G93" s="412"/>
      <c r="H93" s="412"/>
      <c r="I93" s="413"/>
      <c r="J93" s="171"/>
      <c r="K93" s="171"/>
    </row>
    <row r="94" ht="15.75" customHeight="1">
      <c r="A94" s="307"/>
      <c r="B94" s="307"/>
      <c r="C94" s="414" t="s">
        <v>666</v>
      </c>
      <c r="D94" s="415"/>
      <c r="E94" s="415"/>
      <c r="F94" s="415"/>
      <c r="G94" s="415"/>
      <c r="H94" s="415"/>
      <c r="I94" s="416"/>
      <c r="J94" s="171"/>
      <c r="K94" s="171"/>
    </row>
    <row r="95" ht="15.75" customHeight="1">
      <c r="A95" s="307"/>
      <c r="B95" s="307"/>
      <c r="C95" s="414" t="s">
        <v>667</v>
      </c>
      <c r="D95" s="415"/>
      <c r="E95" s="415"/>
      <c r="F95" s="415"/>
      <c r="G95" s="415"/>
      <c r="H95" s="415"/>
      <c r="I95" s="416"/>
      <c r="J95" s="171"/>
      <c r="K95" s="171"/>
    </row>
    <row r="96" ht="15.75" customHeight="1">
      <c r="A96" s="307"/>
      <c r="B96" s="307"/>
      <c r="C96" s="414" t="s">
        <v>668</v>
      </c>
      <c r="D96" s="415"/>
      <c r="E96" s="415"/>
      <c r="F96" s="415"/>
      <c r="G96" s="415"/>
      <c r="H96" s="415"/>
      <c r="I96" s="416"/>
      <c r="J96" s="171"/>
      <c r="K96" s="171"/>
    </row>
    <row r="97" ht="15.75" customHeight="1">
      <c r="A97" s="307"/>
      <c r="B97" s="307"/>
      <c r="C97" s="414" t="s">
        <v>669</v>
      </c>
      <c r="D97" s="415"/>
      <c r="E97" s="415"/>
      <c r="F97" s="415"/>
      <c r="G97" s="415"/>
      <c r="H97" s="415"/>
      <c r="I97" s="416"/>
      <c r="J97" s="171"/>
      <c r="K97" s="171"/>
    </row>
    <row r="98" ht="15.75" customHeight="1">
      <c r="A98" s="307"/>
      <c r="B98" s="307"/>
      <c r="C98" s="414" t="s">
        <v>670</v>
      </c>
      <c r="D98" s="415"/>
      <c r="E98" s="415"/>
      <c r="F98" s="415"/>
      <c r="G98" s="415"/>
      <c r="H98" s="415"/>
      <c r="I98" s="416"/>
      <c r="J98" s="171"/>
      <c r="K98" s="171"/>
    </row>
    <row r="99" ht="15.75" customHeight="1">
      <c r="A99" s="307"/>
      <c r="B99" s="408"/>
      <c r="C99" s="414" t="s">
        <v>671</v>
      </c>
      <c r="D99" s="415"/>
      <c r="E99" s="415"/>
      <c r="F99" s="415"/>
      <c r="G99" s="415"/>
      <c r="H99" s="415"/>
      <c r="I99" s="416"/>
      <c r="J99" s="171"/>
      <c r="K99" s="171"/>
    </row>
    <row r="100" ht="15.75" customHeight="1">
      <c r="A100" s="307"/>
      <c r="B100" s="408"/>
      <c r="C100" s="414"/>
      <c r="D100" s="415"/>
      <c r="E100" s="415"/>
      <c r="F100" s="415"/>
      <c r="G100" s="415"/>
      <c r="H100" s="415"/>
      <c r="I100" s="416"/>
      <c r="J100" s="171"/>
      <c r="K100" s="171"/>
    </row>
    <row r="101" ht="15.75" customHeight="1">
      <c r="A101" s="307"/>
      <c r="B101" s="408"/>
      <c r="C101" s="417" t="s">
        <v>672</v>
      </c>
      <c r="D101" s="415"/>
      <c r="E101" s="415"/>
      <c r="F101" s="415"/>
      <c r="G101" s="415"/>
      <c r="H101" s="415"/>
      <c r="I101" s="416"/>
      <c r="J101" s="171"/>
      <c r="K101" s="171"/>
    </row>
    <row r="102" ht="15.75" customHeight="1">
      <c r="A102" s="307"/>
      <c r="B102" s="408"/>
      <c r="C102" s="417" t="s">
        <v>673</v>
      </c>
      <c r="D102" s="415"/>
      <c r="E102" s="415"/>
      <c r="F102" s="415"/>
      <c r="G102" s="415"/>
      <c r="H102" s="415"/>
      <c r="I102" s="416"/>
      <c r="J102" s="171"/>
      <c r="K102" s="171"/>
    </row>
    <row r="103" ht="15.75" customHeight="1">
      <c r="A103" s="307"/>
      <c r="B103" s="307"/>
      <c r="C103" s="417" t="s">
        <v>674</v>
      </c>
      <c r="D103" s="308"/>
      <c r="E103" s="309"/>
      <c r="I103" s="418"/>
    </row>
    <row r="104" ht="15.75" customHeight="1">
      <c r="A104" s="307"/>
      <c r="B104" s="307"/>
      <c r="C104" s="315"/>
      <c r="D104" s="308"/>
      <c r="E104" s="309"/>
      <c r="I104" s="418"/>
    </row>
    <row r="105" ht="15.75" customHeight="1">
      <c r="A105" s="307"/>
      <c r="B105" s="307"/>
      <c r="C105" s="419" t="s">
        <v>675</v>
      </c>
      <c r="D105" s="420"/>
      <c r="E105" s="421"/>
      <c r="F105" s="422"/>
      <c r="G105" s="422"/>
      <c r="H105" s="422"/>
      <c r="I105" s="423"/>
    </row>
    <row r="106" ht="15.75" customHeight="1">
      <c r="A106" s="307"/>
      <c r="B106" s="307"/>
      <c r="D106" s="308"/>
      <c r="E106" s="309"/>
    </row>
    <row r="107" ht="15.75" customHeight="1">
      <c r="A107" s="307"/>
      <c r="B107" s="307"/>
      <c r="D107" s="308"/>
      <c r="E107" s="309"/>
    </row>
    <row r="108" ht="15.75" customHeight="1">
      <c r="A108" s="307"/>
      <c r="B108" s="387" t="s">
        <v>0</v>
      </c>
      <c r="C108" s="388" t="s">
        <v>162</v>
      </c>
      <c r="D108" s="387" t="s">
        <v>20</v>
      </c>
      <c r="E108" s="389" t="s">
        <v>317</v>
      </c>
      <c r="F108" s="390" t="s">
        <v>318</v>
      </c>
      <c r="G108" s="391" t="s">
        <v>319</v>
      </c>
      <c r="H108" s="390" t="s">
        <v>320</v>
      </c>
      <c r="I108" s="390" t="s">
        <v>321</v>
      </c>
      <c r="J108" s="392"/>
      <c r="K108" s="388" t="s">
        <v>664</v>
      </c>
    </row>
    <row r="109" ht="15.75" customHeight="1">
      <c r="A109" s="307"/>
      <c r="B109" s="393">
        <f t="array" ref="B109">+XLOOKUP(C109,'Base de datos'!C:C,'Base de datos'!A:A,"",FALSE)</f>
        <v>131</v>
      </c>
      <c r="C109" s="401" t="s">
        <v>158</v>
      </c>
      <c r="D109" s="394" t="s">
        <v>14</v>
      </c>
      <c r="E109" s="395">
        <f t="array" ref="E109">+XLOOKUP(B109,'Base de datos'!A:A,'Base de datos'!H:H,0)</f>
        <v>1.92</v>
      </c>
      <c r="F109" s="396">
        <v>0.5</v>
      </c>
      <c r="G109" s="397"/>
      <c r="H109" s="398">
        <f t="shared" ref="H109:H119" si="10">IFERROR(1-G109/F109,"")</f>
        <v>1</v>
      </c>
      <c r="I109" s="395">
        <f t="shared" ref="I109:I119" si="11">IFERROR(E109*F109,"")</f>
        <v>0.96</v>
      </c>
      <c r="J109" s="171"/>
      <c r="K109" s="399" t="s">
        <v>324</v>
      </c>
    </row>
    <row r="110" ht="15.75" customHeight="1">
      <c r="A110" s="307"/>
      <c r="B110" s="400">
        <f t="array" ref="B110">+XLOOKUP(C110,'Base de datos'!C:C,'Base de datos'!A:A,"",FALSE)</f>
        <v>130</v>
      </c>
      <c r="C110" s="401" t="s">
        <v>156</v>
      </c>
      <c r="D110" s="402" t="s">
        <v>14</v>
      </c>
      <c r="E110" s="395">
        <f t="array" ref="E110">+XLOOKUP(B110,'Base de datos'!A:A,'Base de datos'!H:H,0)</f>
        <v>8.75</v>
      </c>
      <c r="F110" s="396">
        <v>0.01</v>
      </c>
      <c r="G110" s="397"/>
      <c r="H110" s="398">
        <f t="shared" si="10"/>
        <v>1</v>
      </c>
      <c r="I110" s="395">
        <f t="shared" si="11"/>
        <v>0.0875</v>
      </c>
      <c r="J110" s="171"/>
      <c r="K110" s="403">
        <f>SUM(I109:I119)</f>
        <v>3.232669907</v>
      </c>
    </row>
    <row r="111" ht="15.75" customHeight="1">
      <c r="A111" s="307"/>
      <c r="B111" s="393">
        <f t="array" ref="B111">+XLOOKUP(C111,'Base de datos'!C:C,'Base de datos'!A:A,"",FALSE)</f>
        <v>83</v>
      </c>
      <c r="C111" s="401" t="s">
        <v>103</v>
      </c>
      <c r="D111" s="402" t="s">
        <v>14</v>
      </c>
      <c r="E111" s="395">
        <f t="array" ref="E111">+XLOOKUP(B111,'Base de datos'!A:A,'Base de datos'!H:H,0)</f>
        <v>1.637837838</v>
      </c>
      <c r="F111" s="396">
        <v>0.2</v>
      </c>
      <c r="G111" s="397"/>
      <c r="H111" s="398">
        <f t="shared" si="10"/>
        <v>1</v>
      </c>
      <c r="I111" s="395">
        <f t="shared" si="11"/>
        <v>0.3275675676</v>
      </c>
      <c r="J111" s="171"/>
      <c r="K111" s="399" t="s">
        <v>654</v>
      </c>
    </row>
    <row r="112" ht="15.75" customHeight="1">
      <c r="A112" s="307"/>
      <c r="B112" s="393">
        <f t="array" ref="B112">+XLOOKUP(C112,'Base de datos'!C:C,'Base de datos'!A:A,"",FALSE)</f>
        <v>88</v>
      </c>
      <c r="C112" s="401" t="s">
        <v>109</v>
      </c>
      <c r="D112" s="402" t="s">
        <v>14</v>
      </c>
      <c r="E112" s="395">
        <f t="array" ref="E112">+XLOOKUP(B112,'Base de datos'!A:A,'Base de datos'!H:H,0)</f>
        <v>4.649122807</v>
      </c>
      <c r="F112" s="396">
        <v>0.2</v>
      </c>
      <c r="G112" s="397"/>
      <c r="H112" s="398">
        <f t="shared" si="10"/>
        <v>1</v>
      </c>
      <c r="I112" s="395">
        <f t="shared" si="11"/>
        <v>0.9298245614</v>
      </c>
      <c r="J112" s="171"/>
      <c r="K112" s="404">
        <f>SUM(F109:F119)</f>
        <v>2.217</v>
      </c>
    </row>
    <row r="113" ht="15.75" customHeight="1">
      <c r="A113" s="307"/>
      <c r="B113" s="393">
        <f t="array" ref="B113">+XLOOKUP(C113,'Base de datos'!C:C,'Base de datos'!A:A,"",FALSE)</f>
        <v>137</v>
      </c>
      <c r="C113" s="401" t="s">
        <v>164</v>
      </c>
      <c r="D113" s="402" t="s">
        <v>14</v>
      </c>
      <c r="E113" s="395">
        <f t="array" ref="E113">+XLOOKUP(B113,'Base de datos'!A:A,'Base de datos'!H:H,0)</f>
        <v>9.277777778</v>
      </c>
      <c r="F113" s="396">
        <v>0.1</v>
      </c>
      <c r="G113" s="397"/>
      <c r="H113" s="398">
        <f t="shared" si="10"/>
        <v>1</v>
      </c>
      <c r="I113" s="395">
        <f t="shared" si="11"/>
        <v>0.9277777778</v>
      </c>
      <c r="J113" s="171"/>
      <c r="K113" s="399" t="s">
        <v>656</v>
      </c>
    </row>
    <row r="114" ht="15.75" customHeight="1">
      <c r="A114" s="307"/>
      <c r="B114" s="393" t="str">
        <f t="array" ref="B114">+XLOOKUP(C114,'Base de datos'!C:C,'Base de datos'!A:A,"",FALSE)</f>
        <v/>
      </c>
      <c r="C114" s="401"/>
      <c r="D114" s="394" t="s">
        <v>14</v>
      </c>
      <c r="E114" s="395">
        <f t="array" ref="E114">+XLOOKUP(B114,'Base de datos'!A:A,'Base de datos'!H:H,0)</f>
        <v>0</v>
      </c>
      <c r="F114" s="396">
        <v>0.015</v>
      </c>
      <c r="G114" s="397"/>
      <c r="H114" s="398">
        <f t="shared" si="10"/>
        <v>1</v>
      </c>
      <c r="I114" s="395">
        <f t="shared" si="11"/>
        <v>0</v>
      </c>
      <c r="J114" s="171"/>
      <c r="K114" s="403">
        <f>K110/K112</f>
        <v>1.458128059</v>
      </c>
    </row>
    <row r="115" ht="15.75" customHeight="1">
      <c r="A115" s="307"/>
      <c r="B115" s="424" t="str">
        <f t="array" ref="B115">+XLOOKUP(C115,'Base de datos'!C:C,'Base de datos'!A:A,"",FALSE)</f>
        <v/>
      </c>
      <c r="C115" s="401"/>
      <c r="D115" s="394" t="s">
        <v>14</v>
      </c>
      <c r="E115" s="395">
        <f t="array" ref="E115">+XLOOKUP(B115,'Base de datos'!A:A,'Base de datos'!H:H,0)</f>
        <v>0</v>
      </c>
      <c r="F115" s="396">
        <v>0.01</v>
      </c>
      <c r="G115" s="397"/>
      <c r="H115" s="398">
        <f t="shared" si="10"/>
        <v>1</v>
      </c>
      <c r="I115" s="395">
        <f t="shared" si="11"/>
        <v>0</v>
      </c>
      <c r="J115" s="171"/>
      <c r="K115" s="405" t="s">
        <v>658</v>
      </c>
    </row>
    <row r="116" ht="15.75" customHeight="1">
      <c r="A116" s="307"/>
      <c r="B116" s="424" t="str">
        <f t="array" ref="B116">+XLOOKUP(C116,'Base de datos'!C:C,'Base de datos'!A:A,"",FALSE)</f>
        <v/>
      </c>
      <c r="C116" s="401"/>
      <c r="D116" s="394" t="s">
        <v>14</v>
      </c>
      <c r="E116" s="395">
        <f t="array" ref="E116">+XLOOKUP(B116,'Base de datos'!A:A,'Base de datos'!H:H,0)</f>
        <v>0</v>
      </c>
      <c r="F116" s="396">
        <v>0.002</v>
      </c>
      <c r="G116" s="397"/>
      <c r="H116" s="398">
        <f t="shared" si="10"/>
        <v>1</v>
      </c>
      <c r="I116" s="395">
        <f t="shared" si="11"/>
        <v>0</v>
      </c>
      <c r="J116" s="171"/>
      <c r="K116" s="406">
        <f>K112/F86</f>
        <v>221.7</v>
      </c>
    </row>
    <row r="117" ht="15.75" customHeight="1">
      <c r="A117" s="307"/>
      <c r="B117" s="424" t="str">
        <f t="array" ref="B117">+XLOOKUP(C117,'Base de datos'!C:C,'Base de datos'!A:A,"",FALSE)</f>
        <v/>
      </c>
      <c r="C117" s="401"/>
      <c r="D117" s="394" t="s">
        <v>14</v>
      </c>
      <c r="E117" s="395">
        <f t="array" ref="E117">+XLOOKUP(B117,'Base de datos'!A:A,'Base de datos'!H:H,0)</f>
        <v>0</v>
      </c>
      <c r="F117" s="396">
        <v>0.18</v>
      </c>
      <c r="G117" s="397"/>
      <c r="H117" s="398">
        <f t="shared" si="10"/>
        <v>1</v>
      </c>
      <c r="I117" s="395">
        <f t="shared" si="11"/>
        <v>0</v>
      </c>
      <c r="J117" s="171"/>
      <c r="K117" s="407"/>
    </row>
    <row r="118" ht="15.75" customHeight="1">
      <c r="A118" s="307"/>
      <c r="B118" s="424" t="str">
        <f t="array" ref="B118">+XLOOKUP(C118,'Base de datos'!C:C,'Base de datos'!A:A,"",FALSE)</f>
        <v/>
      </c>
      <c r="C118" s="401"/>
      <c r="D118" s="394" t="s">
        <v>14</v>
      </c>
      <c r="E118" s="395">
        <f t="array" ref="E118">+XLOOKUP(B118,'Base de datos'!A:A,'Base de datos'!H:H,0)</f>
        <v>0</v>
      </c>
      <c r="F118" s="396">
        <v>0.3</v>
      </c>
      <c r="G118" s="397"/>
      <c r="H118" s="398">
        <f t="shared" si="10"/>
        <v>1</v>
      </c>
      <c r="I118" s="395">
        <f t="shared" si="11"/>
        <v>0</v>
      </c>
      <c r="J118" s="171"/>
      <c r="K118" s="407"/>
    </row>
    <row r="119" ht="15.75" customHeight="1">
      <c r="A119" s="307"/>
      <c r="B119" s="424" t="str">
        <f t="array" ref="B119">+XLOOKUP(C119,'Base de datos'!C:C,'Base de datos'!A:A,"",FALSE)</f>
        <v/>
      </c>
      <c r="C119" s="401"/>
      <c r="D119" s="394" t="s">
        <v>14</v>
      </c>
      <c r="E119" s="395">
        <f t="array" ref="E119">+XLOOKUP(B119,'Base de datos'!A:A,'Base de datos'!H:H,0)</f>
        <v>0</v>
      </c>
      <c r="F119" s="396">
        <v>0.7</v>
      </c>
      <c r="G119" s="397"/>
      <c r="H119" s="398">
        <f t="shared" si="10"/>
        <v>1</v>
      </c>
      <c r="I119" s="395">
        <f t="shared" si="11"/>
        <v>0</v>
      </c>
      <c r="J119" s="171"/>
      <c r="K119" s="407"/>
    </row>
    <row r="120" ht="15.75" customHeight="1">
      <c r="A120" s="307"/>
      <c r="B120" s="408"/>
      <c r="C120" s="171"/>
      <c r="D120" s="156"/>
      <c r="E120" s="179"/>
      <c r="F120" s="409"/>
      <c r="G120" s="409"/>
      <c r="H120" s="171"/>
      <c r="I120" s="171"/>
      <c r="J120" s="171"/>
      <c r="K120" s="171"/>
    </row>
    <row r="121" ht="15.75" customHeight="1">
      <c r="A121" s="307"/>
      <c r="B121" s="408"/>
      <c r="C121" s="410" t="s">
        <v>338</v>
      </c>
      <c r="D121" s="297"/>
      <c r="E121" s="297"/>
      <c r="F121" s="297"/>
      <c r="G121" s="297"/>
      <c r="H121" s="297"/>
      <c r="I121" s="298"/>
      <c r="J121" s="171"/>
      <c r="K121" s="171"/>
    </row>
    <row r="122" ht="15.75" customHeight="1">
      <c r="A122" s="307"/>
      <c r="B122" s="307"/>
      <c r="C122" s="411"/>
      <c r="D122" s="412"/>
      <c r="E122" s="412"/>
      <c r="F122" s="412"/>
      <c r="G122" s="412"/>
      <c r="H122" s="412"/>
      <c r="I122" s="413"/>
      <c r="J122" s="171"/>
      <c r="K122" s="171"/>
    </row>
    <row r="123" ht="15.75" customHeight="1">
      <c r="A123" s="307"/>
      <c r="B123" s="307"/>
      <c r="C123" s="414"/>
      <c r="D123" s="415"/>
      <c r="E123" s="415"/>
      <c r="F123" s="415"/>
      <c r="G123" s="415"/>
      <c r="H123" s="415"/>
      <c r="I123" s="416"/>
      <c r="J123" s="171"/>
      <c r="K123" s="171"/>
    </row>
    <row r="124" ht="15.75" customHeight="1">
      <c r="A124" s="307"/>
      <c r="B124" s="307"/>
      <c r="C124" s="414"/>
      <c r="D124" s="415"/>
      <c r="E124" s="415"/>
      <c r="F124" s="415"/>
      <c r="G124" s="415"/>
      <c r="H124" s="415"/>
      <c r="I124" s="416"/>
      <c r="J124" s="171"/>
      <c r="K124" s="171"/>
    </row>
    <row r="125" ht="15.75" customHeight="1">
      <c r="A125" s="307"/>
      <c r="B125" s="307"/>
      <c r="C125" s="414"/>
      <c r="D125" s="415"/>
      <c r="E125" s="415"/>
      <c r="F125" s="415"/>
      <c r="G125" s="415"/>
      <c r="H125" s="415"/>
      <c r="I125" s="416"/>
      <c r="J125" s="171"/>
      <c r="K125" s="171"/>
    </row>
    <row r="126" ht="15.75" customHeight="1">
      <c r="A126" s="307"/>
      <c r="B126" s="307"/>
      <c r="C126" s="414"/>
      <c r="D126" s="415"/>
      <c r="E126" s="415"/>
      <c r="F126" s="415"/>
      <c r="G126" s="415"/>
      <c r="H126" s="415"/>
      <c r="I126" s="416"/>
      <c r="J126" s="171"/>
      <c r="K126" s="171"/>
    </row>
    <row r="127" ht="15.75" customHeight="1">
      <c r="A127" s="307"/>
      <c r="B127" s="307"/>
      <c r="C127" s="414"/>
      <c r="D127" s="415"/>
      <c r="E127" s="415"/>
      <c r="F127" s="415"/>
      <c r="G127" s="415"/>
      <c r="H127" s="415"/>
      <c r="I127" s="416"/>
      <c r="J127" s="171"/>
      <c r="K127" s="171"/>
    </row>
    <row r="128" ht="15.75" customHeight="1">
      <c r="A128" s="307"/>
      <c r="B128" s="408"/>
      <c r="C128" s="414"/>
      <c r="D128" s="415"/>
      <c r="E128" s="415"/>
      <c r="F128" s="415"/>
      <c r="G128" s="415"/>
      <c r="H128" s="415"/>
      <c r="I128" s="416"/>
      <c r="J128" s="171"/>
      <c r="K128" s="171"/>
    </row>
    <row r="129" ht="15.75" customHeight="1">
      <c r="A129" s="307"/>
      <c r="B129" s="408"/>
      <c r="C129" s="414"/>
      <c r="D129" s="415"/>
      <c r="E129" s="415"/>
      <c r="F129" s="415"/>
      <c r="G129" s="415"/>
      <c r="H129" s="415"/>
      <c r="I129" s="416"/>
      <c r="J129" s="171"/>
      <c r="K129" s="171"/>
    </row>
    <row r="130" ht="15.75" customHeight="1">
      <c r="A130" s="307"/>
      <c r="B130" s="408"/>
      <c r="C130" s="417"/>
      <c r="D130" s="415"/>
      <c r="E130" s="415"/>
      <c r="F130" s="415"/>
      <c r="G130" s="415"/>
      <c r="H130" s="415"/>
      <c r="I130" s="416"/>
      <c r="J130" s="171"/>
      <c r="K130" s="171"/>
    </row>
    <row r="131" ht="15.75" customHeight="1">
      <c r="A131" s="307"/>
      <c r="B131" s="408"/>
      <c r="C131" s="417"/>
      <c r="D131" s="415"/>
      <c r="E131" s="415"/>
      <c r="F131" s="415"/>
      <c r="G131" s="415"/>
      <c r="H131" s="415"/>
      <c r="I131" s="416"/>
      <c r="J131" s="171"/>
      <c r="K131" s="171"/>
    </row>
    <row r="132" ht="15.75" customHeight="1">
      <c r="A132" s="307"/>
      <c r="B132" s="307"/>
      <c r="C132" s="417"/>
      <c r="D132" s="308"/>
      <c r="E132" s="309"/>
      <c r="I132" s="418"/>
    </row>
    <row r="133" ht="15.75" customHeight="1">
      <c r="A133" s="307"/>
      <c r="B133" s="307"/>
      <c r="C133" s="315"/>
      <c r="D133" s="308"/>
      <c r="E133" s="309"/>
      <c r="I133" s="418"/>
    </row>
    <row r="134" ht="15.75" customHeight="1">
      <c r="A134" s="307"/>
      <c r="B134" s="307"/>
      <c r="C134" s="419"/>
      <c r="D134" s="420"/>
      <c r="E134" s="421"/>
      <c r="F134" s="422"/>
      <c r="G134" s="422"/>
      <c r="H134" s="422"/>
      <c r="I134" s="423"/>
    </row>
    <row r="135" ht="15.75" customHeight="1">
      <c r="A135" s="307"/>
      <c r="B135" s="307"/>
      <c r="D135" s="308"/>
      <c r="E135" s="309"/>
    </row>
    <row r="136" ht="15.75" customHeight="1">
      <c r="A136" s="307"/>
      <c r="B136" s="307"/>
      <c r="D136" s="308"/>
      <c r="E136" s="309"/>
    </row>
    <row r="137" ht="15.75" customHeight="1">
      <c r="A137" s="307"/>
      <c r="B137" s="307"/>
      <c r="D137" s="308"/>
      <c r="E137" s="309"/>
    </row>
    <row r="138" ht="15.75" customHeight="1">
      <c r="A138" s="307"/>
      <c r="B138" s="307"/>
      <c r="D138" s="308"/>
      <c r="E138" s="309"/>
    </row>
    <row r="139" ht="15.75" customHeight="1">
      <c r="A139" s="307"/>
      <c r="B139" s="387" t="s">
        <v>0</v>
      </c>
      <c r="C139" s="388" t="s">
        <v>676</v>
      </c>
      <c r="D139" s="387" t="s">
        <v>20</v>
      </c>
      <c r="E139" s="389" t="s">
        <v>317</v>
      </c>
      <c r="F139" s="390" t="s">
        <v>318</v>
      </c>
      <c r="G139" s="391" t="s">
        <v>319</v>
      </c>
      <c r="H139" s="390" t="s">
        <v>320</v>
      </c>
      <c r="I139" s="390" t="s">
        <v>321</v>
      </c>
      <c r="J139" s="392"/>
      <c r="K139" s="388" t="s">
        <v>664</v>
      </c>
    </row>
    <row r="140" ht="15.75" customHeight="1">
      <c r="A140" s="307"/>
      <c r="B140" s="393">
        <f t="array" ref="B140">+XLOOKUP(C140,'Base de datos'!C:C,'Base de datos'!A:A,"",FALSE)</f>
        <v>131</v>
      </c>
      <c r="C140" s="401" t="s">
        <v>158</v>
      </c>
      <c r="D140" s="394" t="s">
        <v>14</v>
      </c>
      <c r="E140" s="395">
        <f t="array" ref="E140">+XLOOKUP(B140,'Base de datos'!A:A,'Base de datos'!H:H,0)</f>
        <v>1.92</v>
      </c>
      <c r="F140" s="396">
        <v>0.5</v>
      </c>
      <c r="G140" s="397"/>
      <c r="H140" s="398">
        <f t="shared" ref="H140:H150" si="12">IFERROR(1-G140/F140,"")</f>
        <v>1</v>
      </c>
      <c r="I140" s="395">
        <f t="shared" ref="I140:I150" si="13">IFERROR(E140*F140,"")</f>
        <v>0.96</v>
      </c>
      <c r="J140" s="171"/>
      <c r="K140" s="399" t="s">
        <v>324</v>
      </c>
    </row>
    <row r="141" ht="15.75" customHeight="1">
      <c r="A141" s="307"/>
      <c r="B141" s="400">
        <f t="array" ref="B141">+XLOOKUP(C141,'Base de datos'!C:C,'Base de datos'!A:A,"",FALSE)</f>
        <v>98</v>
      </c>
      <c r="C141" s="401" t="s">
        <v>121</v>
      </c>
      <c r="D141" s="402" t="s">
        <v>14</v>
      </c>
      <c r="E141" s="395">
        <f t="array" ref="E141">+XLOOKUP(B141,'Base de datos'!A:A,'Base de datos'!H:H,0)</f>
        <v>50</v>
      </c>
      <c r="F141" s="396">
        <v>0.08</v>
      </c>
      <c r="G141" s="397"/>
      <c r="H141" s="398">
        <f t="shared" si="12"/>
        <v>1</v>
      </c>
      <c r="I141" s="395">
        <f t="shared" si="13"/>
        <v>4</v>
      </c>
      <c r="J141" s="171"/>
      <c r="K141" s="403">
        <f>SUM(I140:I150)</f>
        <v>4.96</v>
      </c>
    </row>
    <row r="142" ht="15.75" customHeight="1">
      <c r="A142" s="307"/>
      <c r="B142" s="393" t="str">
        <f t="array" ref="B142">+XLOOKUP(C142,'Base de datos'!C:C,'Base de datos'!A:A,"",FALSE)</f>
        <v/>
      </c>
      <c r="C142" s="401"/>
      <c r="D142" s="402" t="s">
        <v>14</v>
      </c>
      <c r="E142" s="395">
        <f t="array" ref="E142">+XLOOKUP(B142,'Base de datos'!A:A,'Base de datos'!H:H,0)</f>
        <v>0</v>
      </c>
      <c r="F142" s="396">
        <v>0.2</v>
      </c>
      <c r="G142" s="397"/>
      <c r="H142" s="398">
        <f t="shared" si="12"/>
        <v>1</v>
      </c>
      <c r="I142" s="395">
        <f t="shared" si="13"/>
        <v>0</v>
      </c>
      <c r="J142" s="171"/>
      <c r="K142" s="399" t="s">
        <v>654</v>
      </c>
    </row>
    <row r="143" ht="15.75" customHeight="1">
      <c r="A143" s="307"/>
      <c r="B143" s="393" t="str">
        <f t="array" ref="B143">+XLOOKUP(C143,'Base de datos'!C:C,'Base de datos'!A:A,"",FALSE)</f>
        <v/>
      </c>
      <c r="C143" s="401"/>
      <c r="D143" s="402" t="s">
        <v>14</v>
      </c>
      <c r="E143" s="395">
        <f t="array" ref="E143">+XLOOKUP(B143,'Base de datos'!A:A,'Base de datos'!H:H,0)</f>
        <v>0</v>
      </c>
      <c r="F143" s="396">
        <v>0.2</v>
      </c>
      <c r="G143" s="397"/>
      <c r="H143" s="398">
        <f t="shared" si="12"/>
        <v>1</v>
      </c>
      <c r="I143" s="395">
        <f t="shared" si="13"/>
        <v>0</v>
      </c>
      <c r="J143" s="171"/>
      <c r="K143" s="404">
        <f>SUM(F140:F150)</f>
        <v>2.287</v>
      </c>
    </row>
    <row r="144" ht="15.75" customHeight="1">
      <c r="A144" s="307"/>
      <c r="B144" s="393" t="str">
        <f t="array" ref="B144">+XLOOKUP(C144,'Base de datos'!C:C,'Base de datos'!A:A,"",FALSE)</f>
        <v/>
      </c>
      <c r="C144" s="401"/>
      <c r="D144" s="402" t="s">
        <v>14</v>
      </c>
      <c r="E144" s="395">
        <f t="array" ref="E144">+XLOOKUP(B144,'Base de datos'!A:A,'Base de datos'!H:H,0)</f>
        <v>0</v>
      </c>
      <c r="F144" s="396">
        <v>0.1</v>
      </c>
      <c r="G144" s="397"/>
      <c r="H144" s="398">
        <f t="shared" si="12"/>
        <v>1</v>
      </c>
      <c r="I144" s="395">
        <f t="shared" si="13"/>
        <v>0</v>
      </c>
      <c r="J144" s="171"/>
      <c r="K144" s="399" t="s">
        <v>656</v>
      </c>
    </row>
    <row r="145" ht="15.75" customHeight="1">
      <c r="A145" s="307"/>
      <c r="B145" s="393" t="str">
        <f t="array" ref="B145">+XLOOKUP(C145,'Base de datos'!C:C,'Base de datos'!A:A,"",FALSE)</f>
        <v/>
      </c>
      <c r="C145" s="401"/>
      <c r="D145" s="394" t="s">
        <v>14</v>
      </c>
      <c r="E145" s="395">
        <f t="array" ref="E145">+XLOOKUP(B145,'Base de datos'!A:A,'Base de datos'!H:H,0)</f>
        <v>0</v>
      </c>
      <c r="F145" s="396">
        <v>0.015</v>
      </c>
      <c r="G145" s="397"/>
      <c r="H145" s="398">
        <f t="shared" si="12"/>
        <v>1</v>
      </c>
      <c r="I145" s="395">
        <f t="shared" si="13"/>
        <v>0</v>
      </c>
      <c r="J145" s="171"/>
      <c r="K145" s="403">
        <f>K141/K143</f>
        <v>2.168780061</v>
      </c>
    </row>
    <row r="146" ht="15.75" customHeight="1">
      <c r="A146" s="307"/>
      <c r="B146" s="424" t="str">
        <f t="array" ref="B146">+XLOOKUP(C146,'Base de datos'!C:C,'Base de datos'!A:A,"",FALSE)</f>
        <v/>
      </c>
      <c r="C146" s="401"/>
      <c r="D146" s="394" t="s">
        <v>14</v>
      </c>
      <c r="E146" s="395">
        <f t="array" ref="E146">+XLOOKUP(B146,'Base de datos'!A:A,'Base de datos'!H:H,0)</f>
        <v>0</v>
      </c>
      <c r="F146" s="396">
        <v>0.01</v>
      </c>
      <c r="G146" s="397"/>
      <c r="H146" s="398">
        <f t="shared" si="12"/>
        <v>1</v>
      </c>
      <c r="I146" s="395">
        <f t="shared" si="13"/>
        <v>0</v>
      </c>
      <c r="J146" s="171"/>
      <c r="K146" s="405" t="s">
        <v>658</v>
      </c>
    </row>
    <row r="147" ht="15.75" customHeight="1">
      <c r="A147" s="307"/>
      <c r="B147" s="424" t="str">
        <f t="array" ref="B147">+XLOOKUP(C147,'Base de datos'!C:C,'Base de datos'!A:A,"",FALSE)</f>
        <v/>
      </c>
      <c r="C147" s="401"/>
      <c r="D147" s="394" t="s">
        <v>14</v>
      </c>
      <c r="E147" s="395">
        <f t="array" ref="E147">+XLOOKUP(B147,'Base de datos'!A:A,'Base de datos'!H:H,0)</f>
        <v>0</v>
      </c>
      <c r="F147" s="396">
        <v>0.002</v>
      </c>
      <c r="G147" s="397"/>
      <c r="H147" s="398">
        <f t="shared" si="12"/>
        <v>1</v>
      </c>
      <c r="I147" s="395">
        <f t="shared" si="13"/>
        <v>0</v>
      </c>
      <c r="J147" s="171"/>
      <c r="K147" s="406">
        <f>K143/F117</f>
        <v>12.70555556</v>
      </c>
    </row>
    <row r="148" ht="15.75" customHeight="1">
      <c r="A148" s="307"/>
      <c r="B148" s="424" t="str">
        <f t="array" ref="B148">+XLOOKUP(C148,'Base de datos'!C:C,'Base de datos'!A:A,"",FALSE)</f>
        <v/>
      </c>
      <c r="C148" s="401"/>
      <c r="D148" s="394" t="s">
        <v>14</v>
      </c>
      <c r="E148" s="395">
        <f t="array" ref="E148">+XLOOKUP(B148,'Base de datos'!A:A,'Base de datos'!H:H,0)</f>
        <v>0</v>
      </c>
      <c r="F148" s="396">
        <v>0.18</v>
      </c>
      <c r="G148" s="397"/>
      <c r="H148" s="398">
        <f t="shared" si="12"/>
        <v>1</v>
      </c>
      <c r="I148" s="395">
        <f t="shared" si="13"/>
        <v>0</v>
      </c>
      <c r="J148" s="171"/>
      <c r="K148" s="407"/>
    </row>
    <row r="149" ht="15.75" customHeight="1">
      <c r="A149" s="307"/>
      <c r="B149" s="424" t="str">
        <f t="array" ref="B149">+XLOOKUP(C149,'Base de datos'!C:C,'Base de datos'!A:A,"",FALSE)</f>
        <v/>
      </c>
      <c r="C149" s="401"/>
      <c r="D149" s="394" t="s">
        <v>14</v>
      </c>
      <c r="E149" s="395">
        <f t="array" ref="E149">+XLOOKUP(B149,'Base de datos'!A:A,'Base de datos'!H:H,0)</f>
        <v>0</v>
      </c>
      <c r="F149" s="396">
        <v>0.3</v>
      </c>
      <c r="G149" s="397"/>
      <c r="H149" s="398">
        <f t="shared" si="12"/>
        <v>1</v>
      </c>
      <c r="I149" s="395">
        <f t="shared" si="13"/>
        <v>0</v>
      </c>
      <c r="J149" s="171"/>
      <c r="K149" s="407"/>
    </row>
    <row r="150" ht="15.75" customHeight="1">
      <c r="A150" s="307"/>
      <c r="B150" s="424" t="str">
        <f t="array" ref="B150">+XLOOKUP(C150,'Base de datos'!C:C,'Base de datos'!A:A,"",FALSE)</f>
        <v/>
      </c>
      <c r="C150" s="401"/>
      <c r="D150" s="394" t="s">
        <v>14</v>
      </c>
      <c r="E150" s="395">
        <f t="array" ref="E150">+XLOOKUP(B150,'Base de datos'!A:A,'Base de datos'!H:H,0)</f>
        <v>0</v>
      </c>
      <c r="F150" s="396">
        <v>0.7</v>
      </c>
      <c r="G150" s="397"/>
      <c r="H150" s="398">
        <f t="shared" si="12"/>
        <v>1</v>
      </c>
      <c r="I150" s="395">
        <f t="shared" si="13"/>
        <v>0</v>
      </c>
      <c r="J150" s="171"/>
      <c r="K150" s="407"/>
    </row>
    <row r="151" ht="15.75" customHeight="1">
      <c r="A151" s="307"/>
      <c r="B151" s="408"/>
      <c r="C151" s="171"/>
      <c r="D151" s="156"/>
      <c r="E151" s="179"/>
      <c r="F151" s="409"/>
      <c r="G151" s="409"/>
      <c r="H151" s="171"/>
      <c r="I151" s="171"/>
      <c r="J151" s="171"/>
      <c r="K151" s="171"/>
    </row>
    <row r="152" ht="15.75" customHeight="1">
      <c r="A152" s="307"/>
      <c r="B152" s="408"/>
      <c r="C152" s="410" t="s">
        <v>338</v>
      </c>
      <c r="D152" s="297"/>
      <c r="E152" s="297"/>
      <c r="F152" s="297"/>
      <c r="G152" s="297"/>
      <c r="H152" s="297"/>
      <c r="I152" s="298"/>
      <c r="J152" s="171"/>
      <c r="K152" s="171"/>
    </row>
    <row r="153" ht="15.75" customHeight="1">
      <c r="A153" s="307"/>
      <c r="B153" s="307"/>
      <c r="C153" s="411"/>
      <c r="D153" s="412"/>
      <c r="E153" s="412"/>
      <c r="F153" s="412"/>
      <c r="G153" s="412"/>
      <c r="H153" s="412"/>
      <c r="I153" s="413"/>
      <c r="J153" s="171"/>
      <c r="K153" s="171"/>
    </row>
    <row r="154" ht="15.75" customHeight="1">
      <c r="A154" s="307"/>
      <c r="B154" s="307"/>
      <c r="C154" s="414"/>
      <c r="D154" s="415"/>
      <c r="E154" s="415"/>
      <c r="F154" s="415"/>
      <c r="G154" s="415"/>
      <c r="H154" s="415"/>
      <c r="I154" s="416"/>
      <c r="J154" s="171"/>
      <c r="K154" s="171"/>
    </row>
    <row r="155" ht="15.75" customHeight="1">
      <c r="A155" s="307"/>
      <c r="B155" s="307"/>
      <c r="C155" s="414"/>
      <c r="D155" s="415"/>
      <c r="E155" s="415"/>
      <c r="F155" s="415"/>
      <c r="G155" s="415"/>
      <c r="H155" s="415"/>
      <c r="I155" s="416"/>
      <c r="J155" s="171"/>
      <c r="K155" s="171"/>
    </row>
    <row r="156" ht="15.75" customHeight="1">
      <c r="A156" s="307"/>
      <c r="B156" s="307"/>
      <c r="C156" s="414"/>
      <c r="D156" s="415"/>
      <c r="E156" s="415"/>
      <c r="F156" s="415"/>
      <c r="G156" s="415"/>
      <c r="H156" s="415"/>
      <c r="I156" s="416"/>
      <c r="J156" s="171"/>
      <c r="K156" s="171"/>
    </row>
    <row r="157" ht="15.75" customHeight="1">
      <c r="A157" s="307"/>
      <c r="B157" s="307"/>
      <c r="C157" s="414"/>
      <c r="D157" s="415"/>
      <c r="E157" s="415"/>
      <c r="F157" s="415"/>
      <c r="G157" s="415"/>
      <c r="H157" s="415"/>
      <c r="I157" s="416"/>
      <c r="J157" s="171"/>
      <c r="K157" s="171"/>
    </row>
    <row r="158" ht="15.75" customHeight="1">
      <c r="A158" s="307"/>
      <c r="B158" s="307"/>
      <c r="C158" s="414"/>
      <c r="D158" s="415"/>
      <c r="E158" s="415"/>
      <c r="F158" s="415"/>
      <c r="G158" s="415"/>
      <c r="H158" s="415"/>
      <c r="I158" s="416"/>
      <c r="J158" s="171"/>
      <c r="K158" s="171"/>
    </row>
    <row r="159" ht="15.75" customHeight="1">
      <c r="A159" s="307"/>
      <c r="B159" s="408"/>
      <c r="C159" s="414"/>
      <c r="D159" s="415"/>
      <c r="E159" s="415"/>
      <c r="F159" s="415"/>
      <c r="G159" s="415"/>
      <c r="H159" s="415"/>
      <c r="I159" s="416"/>
      <c r="J159" s="171"/>
      <c r="K159" s="171"/>
    </row>
    <row r="160" ht="15.75" customHeight="1">
      <c r="A160" s="307"/>
      <c r="B160" s="408"/>
      <c r="C160" s="414"/>
      <c r="D160" s="415"/>
      <c r="E160" s="415"/>
      <c r="F160" s="415"/>
      <c r="G160" s="415"/>
      <c r="H160" s="415"/>
      <c r="I160" s="416"/>
      <c r="J160" s="171"/>
      <c r="K160" s="171"/>
    </row>
    <row r="161" ht="15.75" customHeight="1">
      <c r="A161" s="307"/>
      <c r="B161" s="408"/>
      <c r="C161" s="417"/>
      <c r="D161" s="415"/>
      <c r="E161" s="415"/>
      <c r="F161" s="415"/>
      <c r="G161" s="415"/>
      <c r="H161" s="415"/>
      <c r="I161" s="416"/>
      <c r="J161" s="171"/>
      <c r="K161" s="171"/>
    </row>
    <row r="162" ht="15.75" customHeight="1">
      <c r="A162" s="307"/>
      <c r="B162" s="408"/>
      <c r="C162" s="417"/>
      <c r="D162" s="415"/>
      <c r="E162" s="415"/>
      <c r="F162" s="415"/>
      <c r="G162" s="415"/>
      <c r="H162" s="415"/>
      <c r="I162" s="416"/>
      <c r="J162" s="171"/>
      <c r="K162" s="171"/>
    </row>
    <row r="163" ht="15.75" customHeight="1">
      <c r="A163" s="307"/>
      <c r="B163" s="307"/>
      <c r="C163" s="417"/>
      <c r="D163" s="308"/>
      <c r="E163" s="309"/>
      <c r="I163" s="418"/>
    </row>
    <row r="164" ht="15.75" customHeight="1">
      <c r="A164" s="307"/>
      <c r="B164" s="307"/>
      <c r="C164" s="315"/>
      <c r="D164" s="308"/>
      <c r="E164" s="309"/>
      <c r="I164" s="418"/>
    </row>
    <row r="165" ht="15.75" customHeight="1">
      <c r="A165" s="307"/>
      <c r="B165" s="307"/>
      <c r="C165" s="419"/>
      <c r="D165" s="420"/>
      <c r="E165" s="421"/>
      <c r="F165" s="422"/>
      <c r="G165" s="422"/>
      <c r="H165" s="422"/>
      <c r="I165" s="423"/>
    </row>
    <row r="166" ht="15.75" customHeight="1">
      <c r="A166" s="307"/>
      <c r="B166" s="307"/>
      <c r="D166" s="308"/>
      <c r="E166" s="309"/>
    </row>
    <row r="167" ht="15.75" customHeight="1">
      <c r="A167" s="307"/>
      <c r="B167" s="307"/>
      <c r="D167" s="308"/>
      <c r="E167" s="309"/>
    </row>
    <row r="168" ht="15.75" customHeight="1">
      <c r="A168" s="307"/>
      <c r="B168" s="387" t="s">
        <v>0</v>
      </c>
      <c r="C168" s="388" t="s">
        <v>677</v>
      </c>
      <c r="D168" s="387" t="s">
        <v>20</v>
      </c>
      <c r="E168" s="389" t="s">
        <v>317</v>
      </c>
      <c r="F168" s="390" t="s">
        <v>318</v>
      </c>
      <c r="G168" s="391" t="s">
        <v>319</v>
      </c>
      <c r="H168" s="390" t="s">
        <v>320</v>
      </c>
      <c r="I168" s="390" t="s">
        <v>321</v>
      </c>
      <c r="J168" s="392"/>
      <c r="K168" s="388" t="s">
        <v>664</v>
      </c>
    </row>
    <row r="169" ht="15.75" customHeight="1">
      <c r="A169" s="307"/>
      <c r="B169" s="393">
        <f t="array" ref="B169">+XLOOKUP(C169,'Base de datos'!C:C,'Base de datos'!A:A,"",FALSE)</f>
        <v>2</v>
      </c>
      <c r="C169" s="401" t="s">
        <v>12</v>
      </c>
      <c r="D169" s="394" t="s">
        <v>14</v>
      </c>
      <c r="E169" s="395">
        <f t="array" ref="E169">+XLOOKUP(B169,'Base de datos'!A:A,'Base de datos'!H:H,0)</f>
        <v>1.518</v>
      </c>
      <c r="F169" s="396">
        <v>1.0</v>
      </c>
      <c r="G169" s="397"/>
      <c r="H169" s="398">
        <f t="shared" ref="H169:H179" si="14">IFERROR(1-G169/F169,"")</f>
        <v>1</v>
      </c>
      <c r="I169" s="395">
        <f t="shared" ref="I169:I179" si="15">IFERROR(E169*F169,"")</f>
        <v>1.518</v>
      </c>
      <c r="J169" s="171"/>
      <c r="K169" s="399" t="s">
        <v>324</v>
      </c>
    </row>
    <row r="170" ht="15.75" customHeight="1">
      <c r="A170" s="307"/>
      <c r="B170" s="400">
        <f t="array" ref="B170">+XLOOKUP(C170,'Base de datos'!C:C,'Base de datos'!A:A,"",FALSE)</f>
        <v>118</v>
      </c>
      <c r="C170" s="401" t="s">
        <v>144</v>
      </c>
      <c r="D170" s="402" t="s">
        <v>14</v>
      </c>
      <c r="E170" s="395">
        <f t="array" ref="E170">+XLOOKUP(B170,'Base de datos'!A:A,'Base de datos'!H:H,0)</f>
        <v>5</v>
      </c>
      <c r="F170" s="396">
        <v>0.35</v>
      </c>
      <c r="G170" s="397"/>
      <c r="H170" s="398">
        <f t="shared" si="14"/>
        <v>1</v>
      </c>
      <c r="I170" s="395">
        <f t="shared" si="15"/>
        <v>1.75</v>
      </c>
      <c r="J170" s="171"/>
      <c r="K170" s="403">
        <f>SUM(I169:I179)</f>
        <v>4.753</v>
      </c>
    </row>
    <row r="171" ht="15.75" customHeight="1">
      <c r="A171" s="307"/>
      <c r="B171" s="393">
        <f t="array" ref="B171">+XLOOKUP(C171,'Base de datos'!C:C,'Base de datos'!A:A,"",FALSE)</f>
        <v>140</v>
      </c>
      <c r="C171" s="401" t="s">
        <v>168</v>
      </c>
      <c r="D171" s="402" t="s">
        <v>14</v>
      </c>
      <c r="E171" s="395">
        <f t="array" ref="E171">+XLOOKUP(B171,'Base de datos'!A:A,'Base de datos'!H:H,0)</f>
        <v>7.25</v>
      </c>
      <c r="F171" s="396">
        <v>0.1</v>
      </c>
      <c r="G171" s="397"/>
      <c r="H171" s="398">
        <f t="shared" si="14"/>
        <v>1</v>
      </c>
      <c r="I171" s="395">
        <f t="shared" si="15"/>
        <v>0.725</v>
      </c>
      <c r="J171" s="171"/>
      <c r="K171" s="399" t="s">
        <v>654</v>
      </c>
    </row>
    <row r="172" ht="15.75" customHeight="1">
      <c r="A172" s="307"/>
      <c r="B172" s="393">
        <f t="array" ref="B172">+XLOOKUP(C172,'Base de datos'!C:C,'Base de datos'!A:A,"",FALSE)</f>
        <v>141</v>
      </c>
      <c r="C172" s="401" t="s">
        <v>169</v>
      </c>
      <c r="D172" s="402" t="s">
        <v>14</v>
      </c>
      <c r="E172" s="395">
        <f t="array" ref="E172">+XLOOKUP(B172,'Base de datos'!A:A,'Base de datos'!H:H,0)</f>
        <v>0.76</v>
      </c>
      <c r="F172" s="396">
        <v>1.0</v>
      </c>
      <c r="G172" s="397"/>
      <c r="H172" s="398">
        <f t="shared" si="14"/>
        <v>1</v>
      </c>
      <c r="I172" s="395">
        <f t="shared" si="15"/>
        <v>0.76</v>
      </c>
      <c r="J172" s="171"/>
      <c r="K172" s="404">
        <f>SUM(F169:F179)</f>
        <v>3.757</v>
      </c>
    </row>
    <row r="173" ht="15.75" customHeight="1">
      <c r="A173" s="307"/>
      <c r="B173" s="393" t="str">
        <f t="array" ref="B173">+XLOOKUP(C173,'Base de datos'!C:C,'Base de datos'!A:A,"",FALSE)</f>
        <v/>
      </c>
      <c r="C173" s="401"/>
      <c r="D173" s="402" t="s">
        <v>14</v>
      </c>
      <c r="E173" s="395">
        <f t="array" ref="E173">+XLOOKUP(B173,'Base de datos'!A:A,'Base de datos'!H:H,0)</f>
        <v>0</v>
      </c>
      <c r="F173" s="396">
        <v>0.1</v>
      </c>
      <c r="G173" s="397"/>
      <c r="H173" s="398">
        <f t="shared" si="14"/>
        <v>1</v>
      </c>
      <c r="I173" s="395">
        <f t="shared" si="15"/>
        <v>0</v>
      </c>
      <c r="J173" s="171"/>
      <c r="K173" s="399" t="s">
        <v>656</v>
      </c>
    </row>
    <row r="174" ht="15.75" customHeight="1">
      <c r="A174" s="307"/>
      <c r="B174" s="393" t="str">
        <f t="array" ref="B174">+XLOOKUP(C174,'Base de datos'!C:C,'Base de datos'!A:A,"",FALSE)</f>
        <v/>
      </c>
      <c r="C174" s="401"/>
      <c r="D174" s="394" t="s">
        <v>14</v>
      </c>
      <c r="E174" s="395">
        <f t="array" ref="E174">+XLOOKUP(B174,'Base de datos'!A:A,'Base de datos'!H:H,0)</f>
        <v>0</v>
      </c>
      <c r="F174" s="396">
        <v>0.015</v>
      </c>
      <c r="G174" s="397"/>
      <c r="H174" s="398">
        <f t="shared" si="14"/>
        <v>1</v>
      </c>
      <c r="I174" s="395">
        <f t="shared" si="15"/>
        <v>0</v>
      </c>
      <c r="J174" s="171"/>
      <c r="K174" s="403">
        <f>K170/K172</f>
        <v>1.265105137</v>
      </c>
    </row>
    <row r="175" ht="15.75" customHeight="1">
      <c r="A175" s="307"/>
      <c r="B175" s="424" t="str">
        <f t="array" ref="B175">+XLOOKUP(C175,'Base de datos'!C:C,'Base de datos'!A:A,"",FALSE)</f>
        <v/>
      </c>
      <c r="C175" s="401"/>
      <c r="D175" s="394" t="s">
        <v>14</v>
      </c>
      <c r="E175" s="395">
        <f t="array" ref="E175">+XLOOKUP(B175,'Base de datos'!A:A,'Base de datos'!H:H,0)</f>
        <v>0</v>
      </c>
      <c r="F175" s="396">
        <v>0.01</v>
      </c>
      <c r="G175" s="397"/>
      <c r="H175" s="398">
        <f t="shared" si="14"/>
        <v>1</v>
      </c>
      <c r="I175" s="395">
        <f t="shared" si="15"/>
        <v>0</v>
      </c>
      <c r="J175" s="171"/>
      <c r="K175" s="405" t="s">
        <v>658</v>
      </c>
    </row>
    <row r="176" ht="15.75" customHeight="1">
      <c r="A176" s="307"/>
      <c r="B176" s="424" t="str">
        <f t="array" ref="B176">+XLOOKUP(C176,'Base de datos'!C:C,'Base de datos'!A:A,"",FALSE)</f>
        <v/>
      </c>
      <c r="C176" s="401"/>
      <c r="D176" s="394" t="s">
        <v>14</v>
      </c>
      <c r="E176" s="395">
        <f t="array" ref="E176">+XLOOKUP(B176,'Base de datos'!A:A,'Base de datos'!H:H,0)</f>
        <v>0</v>
      </c>
      <c r="F176" s="396">
        <v>0.002</v>
      </c>
      <c r="G176" s="397"/>
      <c r="H176" s="398">
        <f t="shared" si="14"/>
        <v>1</v>
      </c>
      <c r="I176" s="395">
        <f t="shared" si="15"/>
        <v>0</v>
      </c>
      <c r="J176" s="171"/>
      <c r="K176" s="406">
        <f>K172/F146</f>
        <v>375.7</v>
      </c>
    </row>
    <row r="177" ht="15.75" customHeight="1">
      <c r="A177" s="307"/>
      <c r="B177" s="424" t="str">
        <f t="array" ref="B177">+XLOOKUP(C177,'Base de datos'!C:C,'Base de datos'!A:A,"",FALSE)</f>
        <v/>
      </c>
      <c r="C177" s="401"/>
      <c r="D177" s="394" t="s">
        <v>14</v>
      </c>
      <c r="E177" s="395">
        <f t="array" ref="E177">+XLOOKUP(B177,'Base de datos'!A:A,'Base de datos'!H:H,0)</f>
        <v>0</v>
      </c>
      <c r="F177" s="396">
        <v>0.18</v>
      </c>
      <c r="G177" s="397"/>
      <c r="H177" s="398">
        <f t="shared" si="14"/>
        <v>1</v>
      </c>
      <c r="I177" s="395">
        <f t="shared" si="15"/>
        <v>0</v>
      </c>
      <c r="J177" s="171"/>
      <c r="K177" s="407"/>
    </row>
    <row r="178" ht="15.75" customHeight="1">
      <c r="A178" s="307"/>
      <c r="B178" s="424" t="str">
        <f t="array" ref="B178">+XLOOKUP(C178,'Base de datos'!C:C,'Base de datos'!A:A,"",FALSE)</f>
        <v/>
      </c>
      <c r="C178" s="401"/>
      <c r="D178" s="394" t="s">
        <v>14</v>
      </c>
      <c r="E178" s="395">
        <f t="array" ref="E178">+XLOOKUP(B178,'Base de datos'!A:A,'Base de datos'!H:H,0)</f>
        <v>0</v>
      </c>
      <c r="F178" s="396">
        <v>0.3</v>
      </c>
      <c r="G178" s="397"/>
      <c r="H178" s="398">
        <f t="shared" si="14"/>
        <v>1</v>
      </c>
      <c r="I178" s="395">
        <f t="shared" si="15"/>
        <v>0</v>
      </c>
      <c r="J178" s="171"/>
      <c r="K178" s="407"/>
    </row>
    <row r="179" ht="15.75" customHeight="1">
      <c r="A179" s="307"/>
      <c r="B179" s="424" t="str">
        <f t="array" ref="B179">+XLOOKUP(C179,'Base de datos'!C:C,'Base de datos'!A:A,"",FALSE)</f>
        <v/>
      </c>
      <c r="C179" s="401"/>
      <c r="D179" s="394" t="s">
        <v>14</v>
      </c>
      <c r="E179" s="395">
        <f t="array" ref="E179">+XLOOKUP(B179,'Base de datos'!A:A,'Base de datos'!H:H,0)</f>
        <v>0</v>
      </c>
      <c r="F179" s="396">
        <v>0.7</v>
      </c>
      <c r="G179" s="397"/>
      <c r="H179" s="398">
        <f t="shared" si="14"/>
        <v>1</v>
      </c>
      <c r="I179" s="395">
        <f t="shared" si="15"/>
        <v>0</v>
      </c>
      <c r="J179" s="171"/>
      <c r="K179" s="407"/>
    </row>
    <row r="180" ht="15.75" customHeight="1">
      <c r="A180" s="307"/>
      <c r="B180" s="408"/>
      <c r="C180" s="171"/>
      <c r="D180" s="156"/>
      <c r="E180" s="179"/>
      <c r="F180" s="409"/>
      <c r="G180" s="409"/>
      <c r="H180" s="171"/>
      <c r="I180" s="171"/>
      <c r="J180" s="171"/>
      <c r="K180" s="171"/>
    </row>
    <row r="181" ht="15.75" customHeight="1">
      <c r="A181" s="307"/>
      <c r="B181" s="408"/>
      <c r="C181" s="410" t="s">
        <v>338</v>
      </c>
      <c r="D181" s="297"/>
      <c r="E181" s="297"/>
      <c r="F181" s="297"/>
      <c r="G181" s="297"/>
      <c r="H181" s="297"/>
      <c r="I181" s="298"/>
      <c r="J181" s="171"/>
      <c r="K181" s="171"/>
    </row>
    <row r="182" ht="15.75" customHeight="1">
      <c r="A182" s="307"/>
      <c r="B182" s="307"/>
      <c r="C182" s="425" t="s">
        <v>678</v>
      </c>
      <c r="D182" s="297"/>
      <c r="E182" s="297"/>
      <c r="F182" s="297"/>
      <c r="G182" s="297"/>
      <c r="H182" s="297"/>
      <c r="I182" s="298"/>
      <c r="J182" s="171"/>
      <c r="K182" s="171"/>
    </row>
    <row r="183" ht="15.75" customHeight="1">
      <c r="A183" s="307"/>
      <c r="B183" s="307"/>
      <c r="C183" s="386"/>
      <c r="I183" s="278"/>
      <c r="J183" s="171"/>
      <c r="K183" s="171"/>
    </row>
    <row r="184" ht="15.75" customHeight="1">
      <c r="A184" s="307"/>
      <c r="B184" s="307"/>
      <c r="C184" s="386"/>
      <c r="I184" s="278"/>
      <c r="J184" s="171"/>
      <c r="K184" s="171"/>
    </row>
    <row r="185" ht="15.75" customHeight="1">
      <c r="A185" s="307"/>
      <c r="B185" s="307"/>
      <c r="C185" s="386"/>
      <c r="I185" s="278"/>
      <c r="J185" s="171"/>
      <c r="K185" s="171"/>
    </row>
    <row r="186" ht="15.75" customHeight="1">
      <c r="A186" s="307"/>
      <c r="B186" s="307"/>
      <c r="C186" s="386"/>
      <c r="I186" s="278"/>
      <c r="J186" s="171"/>
      <c r="K186" s="171"/>
    </row>
    <row r="187" ht="15.75" customHeight="1">
      <c r="A187" s="307"/>
      <c r="B187" s="307"/>
      <c r="C187" s="386"/>
      <c r="I187" s="278"/>
      <c r="J187" s="171"/>
      <c r="K187" s="171"/>
    </row>
    <row r="188" ht="15.75" customHeight="1">
      <c r="A188" s="307"/>
      <c r="B188" s="408"/>
      <c r="C188" s="386"/>
      <c r="I188" s="278"/>
      <c r="J188" s="171"/>
      <c r="K188" s="171"/>
    </row>
    <row r="189" ht="15.75" customHeight="1">
      <c r="A189" s="307"/>
      <c r="B189" s="408"/>
      <c r="C189" s="386"/>
      <c r="I189" s="278"/>
      <c r="J189" s="171"/>
      <c r="K189" s="171"/>
    </row>
    <row r="190" ht="15.75" customHeight="1">
      <c r="A190" s="307"/>
      <c r="B190" s="408"/>
      <c r="C190" s="386"/>
      <c r="I190" s="278"/>
      <c r="J190" s="171"/>
      <c r="K190" s="171"/>
    </row>
    <row r="191" ht="15.75" customHeight="1">
      <c r="A191" s="307"/>
      <c r="B191" s="408"/>
      <c r="C191" s="386"/>
      <c r="I191" s="278"/>
      <c r="J191" s="171"/>
      <c r="K191" s="171"/>
    </row>
    <row r="192" ht="15.75" customHeight="1">
      <c r="A192" s="307"/>
      <c r="B192" s="307"/>
      <c r="C192" s="386"/>
      <c r="I192" s="278"/>
    </row>
    <row r="193" ht="15.75" customHeight="1">
      <c r="A193" s="307"/>
      <c r="B193" s="307"/>
      <c r="C193" s="386"/>
      <c r="I193" s="278"/>
    </row>
    <row r="194" ht="15.75" customHeight="1">
      <c r="A194" s="307"/>
      <c r="B194" s="307"/>
      <c r="C194" s="352"/>
      <c r="D194" s="305"/>
      <c r="E194" s="305"/>
      <c r="F194" s="305"/>
      <c r="G194" s="305"/>
      <c r="H194" s="305"/>
      <c r="I194" s="274"/>
    </row>
    <row r="195" ht="15.75" customHeight="1">
      <c r="A195" s="307"/>
      <c r="B195" s="307"/>
      <c r="D195" s="308"/>
      <c r="E195" s="309"/>
    </row>
    <row r="196" ht="15.75" customHeight="1">
      <c r="A196" s="307"/>
      <c r="B196" s="307"/>
      <c r="D196" s="308"/>
      <c r="E196" s="309"/>
    </row>
    <row r="197" ht="15.75" customHeight="1">
      <c r="A197" s="307"/>
      <c r="B197" s="307"/>
      <c r="D197" s="308"/>
      <c r="E197" s="309"/>
    </row>
    <row r="198" ht="15.75" customHeight="1">
      <c r="A198" s="307"/>
      <c r="B198" s="307"/>
      <c r="D198" s="308"/>
      <c r="E198" s="309"/>
    </row>
    <row r="199" ht="15.75" customHeight="1">
      <c r="A199" s="307"/>
      <c r="B199" s="307"/>
      <c r="D199" s="308"/>
      <c r="E199" s="309"/>
    </row>
    <row r="200" ht="15.75" customHeight="1">
      <c r="A200" s="307"/>
      <c r="B200" s="307"/>
      <c r="D200" s="308"/>
      <c r="E200" s="309"/>
    </row>
    <row r="201" ht="15.75" customHeight="1">
      <c r="A201" s="307"/>
      <c r="B201" s="307"/>
      <c r="D201" s="308"/>
      <c r="E201" s="309"/>
    </row>
    <row r="202" ht="15.75" customHeight="1">
      <c r="A202" s="307"/>
      <c r="B202" s="307"/>
      <c r="D202" s="308"/>
      <c r="E202" s="309"/>
    </row>
    <row r="203" ht="15.75" customHeight="1">
      <c r="A203" s="307"/>
      <c r="B203" s="307"/>
      <c r="D203" s="308"/>
      <c r="E203" s="309"/>
    </row>
    <row r="204" ht="15.75" customHeight="1">
      <c r="A204" s="307"/>
      <c r="B204" s="307"/>
      <c r="D204" s="308"/>
      <c r="E204" s="309"/>
    </row>
    <row r="205" ht="15.75" customHeight="1">
      <c r="A205" s="307"/>
      <c r="B205" s="307"/>
      <c r="D205" s="308"/>
      <c r="E205" s="309"/>
    </row>
    <row r="206" ht="15.75" customHeight="1">
      <c r="A206" s="307"/>
      <c r="B206" s="307"/>
      <c r="D206" s="308"/>
      <c r="E206" s="309"/>
    </row>
    <row r="207" ht="15.75" customHeight="1">
      <c r="A207" s="307"/>
      <c r="B207" s="307"/>
      <c r="D207" s="308"/>
      <c r="E207" s="309"/>
    </row>
    <row r="208" ht="15.75" customHeight="1">
      <c r="A208" s="307"/>
      <c r="B208" s="307"/>
      <c r="D208" s="308"/>
      <c r="E208" s="309"/>
    </row>
    <row r="209" ht="15.75" customHeight="1">
      <c r="A209" s="307"/>
      <c r="B209" s="307"/>
      <c r="D209" s="308"/>
      <c r="E209" s="309"/>
    </row>
    <row r="210" ht="15.75" customHeight="1">
      <c r="A210" s="307"/>
      <c r="B210" s="307"/>
      <c r="D210" s="308"/>
      <c r="E210" s="309"/>
    </row>
    <row r="211" ht="15.75" customHeight="1">
      <c r="A211" s="307"/>
      <c r="B211" s="307"/>
      <c r="D211" s="308"/>
      <c r="E211" s="309"/>
    </row>
    <row r="212" ht="15.75" customHeight="1">
      <c r="A212" s="307"/>
      <c r="B212" s="307"/>
      <c r="D212" s="308"/>
      <c r="E212" s="309"/>
    </row>
    <row r="213" ht="15.75" customHeight="1">
      <c r="A213" s="307"/>
      <c r="B213" s="307"/>
      <c r="D213" s="308"/>
      <c r="E213" s="309"/>
    </row>
    <row r="214" ht="15.75" customHeight="1">
      <c r="A214" s="307"/>
      <c r="B214" s="307"/>
      <c r="D214" s="308"/>
      <c r="E214" s="309"/>
    </row>
    <row r="215" ht="15.75" customHeight="1">
      <c r="A215" s="307"/>
      <c r="B215" s="307"/>
      <c r="D215" s="308"/>
      <c r="E215" s="309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307"/>
      <c r="D218" s="308"/>
      <c r="E218" s="309"/>
    </row>
    <row r="219" ht="15.75" customHeight="1">
      <c r="A219" s="307"/>
      <c r="B219" s="307"/>
      <c r="D219" s="308"/>
      <c r="E219" s="309"/>
    </row>
    <row r="220" ht="15.75" customHeight="1">
      <c r="A220" s="307"/>
      <c r="B220" s="307"/>
      <c r="D220" s="308"/>
      <c r="E220" s="309"/>
    </row>
    <row r="221" ht="15.75" customHeight="1">
      <c r="A221" s="307"/>
      <c r="B221" s="307"/>
      <c r="D221" s="308"/>
      <c r="E221" s="309"/>
    </row>
    <row r="222" ht="15.75" customHeight="1">
      <c r="A222" s="307"/>
      <c r="B222" s="307"/>
      <c r="D222" s="308"/>
      <c r="E222" s="309"/>
    </row>
    <row r="223" ht="15.75" customHeight="1">
      <c r="A223" s="307"/>
      <c r="B223" s="307"/>
      <c r="D223" s="308"/>
      <c r="E223" s="309"/>
    </row>
    <row r="224" ht="15.75" customHeight="1">
      <c r="A224" s="307"/>
      <c r="B224" s="307"/>
      <c r="D224" s="308"/>
      <c r="E224" s="309"/>
    </row>
    <row r="225" ht="15.75" customHeight="1">
      <c r="A225" s="307"/>
      <c r="B225" s="307"/>
      <c r="D225" s="308"/>
      <c r="E225" s="309"/>
    </row>
    <row r="226" ht="15.75" customHeight="1">
      <c r="A226" s="307"/>
      <c r="B226" s="307"/>
      <c r="D226" s="308"/>
      <c r="E226" s="309"/>
    </row>
    <row r="227" ht="15.75" customHeight="1">
      <c r="A227" s="307"/>
      <c r="B227" s="307"/>
      <c r="D227" s="308"/>
      <c r="E227" s="309"/>
    </row>
    <row r="228" ht="15.75" customHeight="1">
      <c r="A228" s="307"/>
      <c r="B228" s="307"/>
      <c r="D228" s="308"/>
      <c r="E228" s="309"/>
    </row>
    <row r="229" ht="15.75" customHeight="1">
      <c r="A229" s="307"/>
      <c r="B229" s="307"/>
      <c r="D229" s="308"/>
      <c r="E229" s="309"/>
    </row>
    <row r="230" ht="15.75" customHeight="1">
      <c r="A230" s="307"/>
      <c r="B230" s="307"/>
      <c r="D230" s="308"/>
      <c r="E230" s="309"/>
    </row>
    <row r="231" ht="15.75" customHeight="1">
      <c r="A231" s="307"/>
      <c r="B231" s="307"/>
      <c r="D231" s="308"/>
      <c r="E231" s="309"/>
    </row>
    <row r="232" ht="15.75" customHeight="1">
      <c r="A232" s="307"/>
      <c r="B232" s="307"/>
      <c r="D232" s="308"/>
      <c r="E232" s="309"/>
    </row>
    <row r="233" ht="15.75" customHeight="1">
      <c r="A233" s="307"/>
      <c r="B233" s="307"/>
      <c r="D233" s="308"/>
      <c r="E233" s="309"/>
    </row>
    <row r="234" ht="15.75" customHeight="1">
      <c r="A234" s="307"/>
      <c r="B234" s="307"/>
      <c r="D234" s="308"/>
      <c r="E234" s="309"/>
    </row>
    <row r="235" ht="15.75" customHeight="1">
      <c r="A235" s="307"/>
      <c r="B235" s="307"/>
    </row>
    <row r="236" ht="15.75" customHeight="1">
      <c r="A236" s="307"/>
      <c r="B236" s="307"/>
    </row>
    <row r="237" ht="15.75" customHeight="1">
      <c r="A237" s="307"/>
      <c r="B237" s="307"/>
    </row>
    <row r="238" ht="15.75" customHeight="1">
      <c r="A238" s="307"/>
      <c r="B238" s="307"/>
    </row>
    <row r="239" ht="15.75" customHeight="1">
      <c r="A239" s="307"/>
      <c r="B239" s="307"/>
    </row>
    <row r="240" ht="15.75" customHeight="1">
      <c r="A240" s="307"/>
      <c r="B240" s="307"/>
    </row>
    <row r="241" ht="15.75" customHeight="1">
      <c r="A241" s="307"/>
      <c r="B241" s="307"/>
    </row>
    <row r="242" ht="15.75" customHeight="1">
      <c r="A242" s="307"/>
      <c r="B242" s="307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">
    <mergeCell ref="D2:I2"/>
    <mergeCell ref="L6:M6"/>
    <mergeCell ref="L7:M7"/>
    <mergeCell ref="L8:M8"/>
    <mergeCell ref="L9:M9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181:I181"/>
    <mergeCell ref="C182:I194"/>
    <mergeCell ref="C41:I41"/>
    <mergeCell ref="C42:I51"/>
    <mergeCell ref="C66:I66"/>
    <mergeCell ref="C67:I76"/>
    <mergeCell ref="C92:I92"/>
    <mergeCell ref="C121:I121"/>
    <mergeCell ref="C152:I152"/>
  </mergeCells>
  <dataValidations>
    <dataValidation type="list" allowBlank="1" showErrorMessage="1" sqref="D6:D17 D30:D39 D55:D64 D80:D90 D109:D119 D140:D150 D169:D179">
      <formula1>'Hoja 2'!$A$2:$A$4</formula1>
    </dataValidation>
    <dataValidation type="list" allowBlank="1" showErrorMessage="1" sqref="C6 C8:C17 C30:C39 C55:C64 C80:C90 C109:C119 C140:C150 C169:C179">
      <formula1>'Base de datos'!$C$2:$C$931</formula1>
    </dataValidation>
  </dataValidations>
  <hyperlinks>
    <hyperlink display="INDICE" location="'INDICE 25'!A1" ref="K5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679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</row>
    <row r="6" ht="15.75" customHeight="1">
      <c r="A6" s="252"/>
      <c r="B6" s="262" t="str">
        <f>K13</f>
        <v>E.1</v>
      </c>
      <c r="C6" s="262" t="str">
        <f>C13</f>
        <v>CHICHARRON DE CADIZ </v>
      </c>
      <c r="D6" s="263" t="s">
        <v>14</v>
      </c>
      <c r="E6" s="264">
        <f>K19</f>
        <v>4.763324889</v>
      </c>
      <c r="F6" s="359">
        <v>0.02</v>
      </c>
      <c r="G6" s="265"/>
      <c r="H6" s="266">
        <f>IFERROR(1-G6/F6,"")</f>
        <v>1</v>
      </c>
      <c r="I6" s="264">
        <f>IFERROR(E6*F6,"")</f>
        <v>0.09526649778</v>
      </c>
      <c r="J6" s="241"/>
      <c r="K6" s="259" t="s">
        <v>324</v>
      </c>
      <c r="L6" s="260">
        <f>SUM(I6:I11)</f>
        <v>0.09526649778</v>
      </c>
      <c r="M6" s="261"/>
    </row>
    <row r="7" ht="15.75" customHeight="1">
      <c r="A7" s="252"/>
      <c r="B7" s="262"/>
      <c r="C7" s="426" t="s">
        <v>680</v>
      </c>
      <c r="D7" s="263"/>
      <c r="E7" s="264"/>
      <c r="F7" s="359">
        <v>0.04</v>
      </c>
      <c r="G7" s="265"/>
      <c r="H7" s="266"/>
      <c r="I7" s="264"/>
      <c r="J7" s="241"/>
      <c r="K7" s="267" t="s">
        <v>325</v>
      </c>
      <c r="L7" s="268">
        <v>4.0</v>
      </c>
      <c r="M7" s="261"/>
    </row>
    <row r="8" ht="15.75" customHeight="1">
      <c r="A8" s="252"/>
      <c r="B8" s="253"/>
      <c r="C8" s="270"/>
      <c r="D8" s="255"/>
      <c r="E8" s="256"/>
      <c r="F8" s="271"/>
      <c r="G8" s="271"/>
      <c r="H8" s="258"/>
      <c r="I8" s="256"/>
      <c r="J8" s="241"/>
      <c r="K8" s="272" t="s">
        <v>326</v>
      </c>
      <c r="L8" s="273">
        <f>L7/1.1</f>
        <v>3.636363636</v>
      </c>
      <c r="M8" s="274"/>
    </row>
    <row r="9" ht="15.75" customHeight="1">
      <c r="A9" s="252"/>
      <c r="B9" s="253"/>
      <c r="C9" s="270"/>
      <c r="D9" s="275"/>
      <c r="E9" s="256"/>
      <c r="F9" s="271"/>
      <c r="G9" s="271"/>
      <c r="H9" s="258"/>
      <c r="I9" s="256"/>
      <c r="J9" s="241"/>
      <c r="K9" s="276" t="s">
        <v>327</v>
      </c>
      <c r="L9" s="277">
        <v>0.1</v>
      </c>
      <c r="M9" s="278"/>
    </row>
    <row r="10" ht="15.75" customHeight="1">
      <c r="A10" s="252"/>
      <c r="B10" s="253"/>
      <c r="C10" s="270"/>
      <c r="D10" s="275"/>
      <c r="E10" s="256"/>
      <c r="F10" s="271"/>
      <c r="G10" s="271"/>
      <c r="H10" s="258"/>
      <c r="I10" s="256"/>
      <c r="J10" s="241"/>
      <c r="K10" s="279" t="s">
        <v>328</v>
      </c>
      <c r="L10" s="280">
        <f>L6/L8*100</f>
        <v>2.619828689</v>
      </c>
      <c r="M10" s="281" t="s">
        <v>329</v>
      </c>
    </row>
    <row r="11" ht="15.75" customHeight="1">
      <c r="A11" s="252"/>
      <c r="B11" s="253"/>
      <c r="C11" s="270"/>
      <c r="D11" s="275"/>
      <c r="E11" s="256"/>
      <c r="F11" s="271"/>
      <c r="G11" s="271"/>
      <c r="H11" s="258"/>
      <c r="I11" s="256"/>
      <c r="J11" s="241"/>
      <c r="K11" s="282" t="s">
        <v>330</v>
      </c>
      <c r="L11" s="283">
        <f>100-L10</f>
        <v>97.38017131</v>
      </c>
      <c r="M11" s="284" t="s">
        <v>329</v>
      </c>
    </row>
    <row r="12" ht="15.75" customHeight="1">
      <c r="A12" s="240"/>
      <c r="B12" s="240"/>
      <c r="C12" s="241"/>
      <c r="D12" s="242"/>
      <c r="E12" s="243"/>
      <c r="F12" s="244"/>
      <c r="G12" s="244"/>
      <c r="H12" s="241"/>
      <c r="I12" s="241"/>
      <c r="J12" s="241"/>
      <c r="K12" s="241"/>
      <c r="L12" s="241"/>
    </row>
    <row r="13" ht="15.75" customHeight="1">
      <c r="A13" s="360"/>
      <c r="B13" s="361" t="s">
        <v>0</v>
      </c>
      <c r="C13" s="362" t="s">
        <v>163</v>
      </c>
      <c r="D13" s="361" t="s">
        <v>20</v>
      </c>
      <c r="E13" s="363" t="s">
        <v>317</v>
      </c>
      <c r="F13" s="361" t="s">
        <v>318</v>
      </c>
      <c r="G13" s="364" t="s">
        <v>319</v>
      </c>
      <c r="H13" s="361" t="s">
        <v>320</v>
      </c>
      <c r="I13" s="361" t="s">
        <v>321</v>
      </c>
      <c r="J13" s="365"/>
      <c r="K13" s="361" t="s">
        <v>653</v>
      </c>
      <c r="L13" s="249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303"/>
      <c r="Y13" s="303"/>
      <c r="Z13" s="303"/>
      <c r="AA13" s="303"/>
    </row>
    <row r="14" ht="15.75" customHeight="1">
      <c r="A14" s="301"/>
      <c r="B14" s="366">
        <f t="array" ref="B14">+XLOOKUP(C14,'Base de datos'!C:C,'Base de datos'!A:A,"",FALSE)</f>
        <v>128</v>
      </c>
      <c r="C14" s="367" t="s">
        <v>154</v>
      </c>
      <c r="D14" s="255" t="s">
        <v>14</v>
      </c>
      <c r="E14" s="256">
        <f t="array" ref="E14">+XLOOKUP(B14,'Base de datos'!A:A,'Base de datos'!H:H,0)</f>
        <v>5</v>
      </c>
      <c r="F14" s="368">
        <v>10.0</v>
      </c>
      <c r="G14" s="368">
        <v>6.5</v>
      </c>
      <c r="H14" s="370">
        <f t="shared" ref="H14:H23" si="1">IFERROR(1-G14/F14,"")</f>
        <v>0.35</v>
      </c>
      <c r="I14" s="371">
        <f t="shared" ref="I14:I23" si="2">IFERROR(E14*F14,"")</f>
        <v>50</v>
      </c>
      <c r="J14" s="241"/>
      <c r="K14" s="372" t="s">
        <v>324</v>
      </c>
      <c r="L14" s="241"/>
    </row>
    <row r="15" ht="15.75" customHeight="1">
      <c r="A15" s="301"/>
      <c r="B15" s="366">
        <f t="array" ref="B15">+XLOOKUP(C15,'Base de datos'!C:C,'Base de datos'!A:A,"",FALSE)</f>
        <v>129</v>
      </c>
      <c r="C15" s="367" t="s">
        <v>155</v>
      </c>
      <c r="D15" s="373" t="s">
        <v>14</v>
      </c>
      <c r="E15" s="256">
        <f t="array" ref="E15">+XLOOKUP(B15,'Base de datos'!A:A,'Base de datos'!H:H,0)</f>
        <v>11.7</v>
      </c>
      <c r="F15" s="368">
        <v>0.025</v>
      </c>
      <c r="G15" s="369"/>
      <c r="H15" s="370">
        <f t="shared" si="1"/>
        <v>1</v>
      </c>
      <c r="I15" s="371">
        <f t="shared" si="2"/>
        <v>0.2925</v>
      </c>
      <c r="J15" s="241"/>
      <c r="K15" s="374">
        <f>SUM(I14:I23)</f>
        <v>52.13459091</v>
      </c>
      <c r="L15" s="241"/>
    </row>
    <row r="16" ht="15.75" customHeight="1">
      <c r="A16" s="301"/>
      <c r="B16" s="366">
        <f t="array" ref="B16">+XLOOKUP(C16,'Base de datos'!C:C,'Base de datos'!A:A,"",FALSE)</f>
        <v>119</v>
      </c>
      <c r="C16" s="367" t="s">
        <v>145</v>
      </c>
      <c r="D16" s="373" t="s">
        <v>14</v>
      </c>
      <c r="E16" s="256">
        <f t="array" ref="E16">+XLOOKUP(B16,'Base de datos'!A:A,'Base de datos'!H:H,0)</f>
        <v>0.43</v>
      </c>
      <c r="F16" s="368">
        <v>0.2</v>
      </c>
      <c r="G16" s="369"/>
      <c r="H16" s="370">
        <f t="shared" si="1"/>
        <v>1</v>
      </c>
      <c r="I16" s="371">
        <f t="shared" si="2"/>
        <v>0.086</v>
      </c>
      <c r="J16" s="241"/>
      <c r="K16" s="372" t="s">
        <v>654</v>
      </c>
      <c r="L16" s="375"/>
    </row>
    <row r="17" ht="15.75" customHeight="1">
      <c r="A17" s="301"/>
      <c r="B17" s="366">
        <f t="array" ref="B17">+XLOOKUP(C17,'Base de datos'!C:C,'Base de datos'!A:A,"",FALSE)</f>
        <v>127</v>
      </c>
      <c r="C17" s="367" t="s">
        <v>153</v>
      </c>
      <c r="D17" s="373" t="s">
        <v>14</v>
      </c>
      <c r="E17" s="256">
        <f t="array" ref="E17">+XLOOKUP(B17,'Base de datos'!A:A,'Base de datos'!H:H,0)</f>
        <v>17.05454545</v>
      </c>
      <c r="F17" s="368">
        <v>0.02</v>
      </c>
      <c r="G17" s="369"/>
      <c r="H17" s="370">
        <f t="shared" si="1"/>
        <v>1</v>
      </c>
      <c r="I17" s="371">
        <f t="shared" si="2"/>
        <v>0.3410909091</v>
      </c>
      <c r="J17" s="241"/>
      <c r="K17" s="376">
        <f>SUM(F14:F23)</f>
        <v>10.945</v>
      </c>
      <c r="L17" s="241"/>
    </row>
    <row r="18" ht="15.75" customHeight="1">
      <c r="A18" s="301"/>
      <c r="B18" s="366">
        <f t="array" ref="B18">+XLOOKUP(C18,'Base de datos'!C:C,'Base de datos'!A:A,"",FALSE)</f>
        <v>118</v>
      </c>
      <c r="C18" s="367" t="s">
        <v>144</v>
      </c>
      <c r="D18" s="373" t="s">
        <v>14</v>
      </c>
      <c r="E18" s="256">
        <f t="array" ref="E18">+XLOOKUP(B18,'Base de datos'!A:A,'Base de datos'!H:H,0)</f>
        <v>5</v>
      </c>
      <c r="F18" s="378">
        <v>0.2</v>
      </c>
      <c r="G18" s="379"/>
      <c r="H18" s="370">
        <f t="shared" si="1"/>
        <v>1</v>
      </c>
      <c r="I18" s="371">
        <f t="shared" si="2"/>
        <v>1</v>
      </c>
      <c r="J18" s="241"/>
      <c r="K18" s="372" t="s">
        <v>656</v>
      </c>
      <c r="L18" s="380"/>
    </row>
    <row r="19" ht="15.75" customHeight="1">
      <c r="A19" s="301"/>
      <c r="B19" s="366">
        <f t="array" ref="B19">+XLOOKUP(C19,'Base de datos'!C:C,'Base de datos'!A:A,"",FALSE)</f>
        <v>100</v>
      </c>
      <c r="C19" s="367" t="s">
        <v>123</v>
      </c>
      <c r="D19" s="255" t="s">
        <v>14</v>
      </c>
      <c r="E19" s="256">
        <f t="array" ref="E19">+XLOOKUP(B19,'Base de datos'!A:A,'Base de datos'!H:H,0)</f>
        <v>0.83</v>
      </c>
      <c r="F19" s="378">
        <v>0.5</v>
      </c>
      <c r="G19" s="379"/>
      <c r="H19" s="370">
        <f t="shared" si="1"/>
        <v>1</v>
      </c>
      <c r="I19" s="371">
        <f t="shared" si="2"/>
        <v>0.415</v>
      </c>
      <c r="J19" s="241"/>
      <c r="K19" s="374">
        <f>K15/K17</f>
        <v>4.763324889</v>
      </c>
      <c r="L19" s="241"/>
    </row>
    <row r="20" ht="15.75" customHeight="1">
      <c r="A20" s="301"/>
      <c r="B20" s="377" t="str">
        <f t="array" ref="B20">+XLOOKUP(C20,'Base de datos'!C:C,'Base de datos'!A:A,"",FALSE)</f>
        <v/>
      </c>
      <c r="C20" s="381"/>
      <c r="D20" s="255" t="s">
        <v>14</v>
      </c>
      <c r="E20" s="256">
        <f t="array" ref="E20">+XLOOKUP(B20,'Base de datos'!A:A,'Base de datos'!H:H,0)</f>
        <v>0</v>
      </c>
      <c r="F20" s="379"/>
      <c r="G20" s="379"/>
      <c r="H20" s="370" t="str">
        <f t="shared" si="1"/>
        <v/>
      </c>
      <c r="I20" s="371">
        <f t="shared" si="2"/>
        <v>0</v>
      </c>
      <c r="J20" s="241"/>
      <c r="K20" s="382" t="s">
        <v>658</v>
      </c>
      <c r="L20" s="241"/>
    </row>
    <row r="21" ht="15.75" customHeight="1">
      <c r="A21" s="301"/>
      <c r="B21" s="377" t="str">
        <f t="array" ref="B21">+XLOOKUP(C21,'Base de datos'!C:C,'Base de datos'!A:A,"",FALSE)</f>
        <v/>
      </c>
      <c r="C21" s="381"/>
      <c r="D21" s="255" t="s">
        <v>14</v>
      </c>
      <c r="E21" s="256">
        <f t="array" ref="E21">+XLOOKUP(B21,'Base de datos'!A:A,'Base de datos'!H:H,0)</f>
        <v>0</v>
      </c>
      <c r="F21" s="379"/>
      <c r="G21" s="379"/>
      <c r="H21" s="370" t="str">
        <f t="shared" si="1"/>
        <v/>
      </c>
      <c r="I21" s="371">
        <f t="shared" si="2"/>
        <v>0</v>
      </c>
      <c r="J21" s="241"/>
      <c r="K21" s="383">
        <f>K17/F6</f>
        <v>547.25</v>
      </c>
      <c r="L21" s="241"/>
    </row>
    <row r="22" ht="15.75" customHeight="1">
      <c r="A22" s="301"/>
      <c r="B22" s="377" t="str">
        <f t="array" ref="B22">+XLOOKUP(C22,'Base de datos'!C:C,'Base de datos'!A:A,"",FALSE)</f>
        <v/>
      </c>
      <c r="C22" s="381"/>
      <c r="D22" s="255" t="s">
        <v>14</v>
      </c>
      <c r="E22" s="256">
        <f t="array" ref="E22">+XLOOKUP(B22,'Base de datos'!A:A,'Base de datos'!H:H,0)</f>
        <v>0</v>
      </c>
      <c r="F22" s="379"/>
      <c r="G22" s="379"/>
      <c r="H22" s="370" t="str">
        <f t="shared" si="1"/>
        <v/>
      </c>
      <c r="I22" s="371">
        <f t="shared" si="2"/>
        <v>0</v>
      </c>
      <c r="J22" s="241"/>
      <c r="K22" s="384"/>
      <c r="L22" s="241"/>
    </row>
    <row r="23" ht="15.75" customHeight="1">
      <c r="A23" s="301"/>
      <c r="B23" s="377" t="str">
        <f t="array" ref="B23">+XLOOKUP(C23,'Base de datos'!C:C,'Base de datos'!A:A,"",FALSE)</f>
        <v/>
      </c>
      <c r="C23" s="381"/>
      <c r="D23" s="255" t="s">
        <v>14</v>
      </c>
      <c r="E23" s="256">
        <f t="array" ref="E23">+XLOOKUP(B23,'Base de datos'!A:A,'Base de datos'!H:H,0)</f>
        <v>0</v>
      </c>
      <c r="F23" s="379"/>
      <c r="G23" s="379"/>
      <c r="H23" s="370" t="str">
        <f t="shared" si="1"/>
        <v/>
      </c>
      <c r="I23" s="371">
        <f t="shared" si="2"/>
        <v>0</v>
      </c>
      <c r="J23" s="241"/>
      <c r="K23" s="384"/>
      <c r="L23" s="241"/>
    </row>
    <row r="24" ht="15.75" customHeight="1">
      <c r="A24" s="240"/>
      <c r="B24" s="240"/>
      <c r="C24" s="241"/>
      <c r="D24" s="242"/>
      <c r="E24" s="243"/>
      <c r="F24" s="244"/>
      <c r="G24" s="244"/>
      <c r="H24" s="241"/>
      <c r="I24" s="241"/>
      <c r="J24" s="241"/>
      <c r="K24" s="241"/>
      <c r="L24" s="241"/>
    </row>
    <row r="25" ht="15.75" customHeight="1">
      <c r="A25" s="295"/>
      <c r="B25" s="295"/>
      <c r="C25" s="296" t="s">
        <v>338</v>
      </c>
      <c r="D25" s="297"/>
      <c r="E25" s="297"/>
      <c r="F25" s="297"/>
      <c r="G25" s="297"/>
      <c r="H25" s="297"/>
      <c r="I25" s="298"/>
      <c r="J25" s="241"/>
      <c r="K25" s="241"/>
      <c r="L25" s="241"/>
    </row>
    <row r="26" ht="15.75" customHeight="1">
      <c r="A26" s="299"/>
      <c r="B26" s="299"/>
      <c r="C26" s="300"/>
      <c r="D26" s="297"/>
      <c r="E26" s="297"/>
      <c r="F26" s="297"/>
      <c r="G26" s="297"/>
      <c r="H26" s="297"/>
      <c r="I26" s="298"/>
      <c r="J26" s="241"/>
      <c r="K26" s="241"/>
      <c r="L26" s="241"/>
    </row>
    <row r="27" ht="15.75" customHeight="1">
      <c r="A27" s="301"/>
      <c r="B27" s="301"/>
      <c r="C27" s="302"/>
      <c r="I27" s="278"/>
      <c r="J27" s="241"/>
      <c r="K27" s="241"/>
      <c r="L27" s="241"/>
    </row>
    <row r="28" ht="15.75" customHeight="1">
      <c r="A28" s="301"/>
      <c r="B28" s="301"/>
      <c r="C28" s="417" t="s">
        <v>681</v>
      </c>
      <c r="D28" s="303"/>
      <c r="E28" s="303"/>
      <c r="F28" s="303"/>
      <c r="G28" s="303"/>
      <c r="H28" s="303"/>
      <c r="I28" s="427"/>
      <c r="J28" s="241"/>
      <c r="K28" s="241"/>
      <c r="L28" s="241"/>
    </row>
    <row r="29" ht="15.75" customHeight="1">
      <c r="A29" s="301"/>
      <c r="B29" s="301"/>
      <c r="C29" s="417" t="s">
        <v>682</v>
      </c>
      <c r="D29" s="303"/>
      <c r="E29" s="303"/>
      <c r="F29" s="303"/>
      <c r="G29" s="303"/>
      <c r="H29" s="303"/>
      <c r="I29" s="427"/>
      <c r="J29" s="241"/>
      <c r="K29" s="241"/>
      <c r="L29" s="241"/>
    </row>
    <row r="30" ht="15.75" customHeight="1">
      <c r="A30" s="301"/>
      <c r="B30" s="301"/>
      <c r="C30" s="428"/>
      <c r="D30" s="303"/>
      <c r="E30" s="303"/>
      <c r="F30" s="303"/>
      <c r="G30" s="303"/>
      <c r="H30" s="303"/>
      <c r="I30" s="427"/>
      <c r="J30" s="241"/>
      <c r="K30" s="241"/>
      <c r="L30" s="241"/>
    </row>
    <row r="31" ht="15.75" customHeight="1">
      <c r="A31" s="301"/>
      <c r="B31" s="301"/>
      <c r="C31" s="417" t="s">
        <v>683</v>
      </c>
      <c r="D31" s="303"/>
      <c r="E31" s="303"/>
      <c r="F31" s="303"/>
      <c r="G31" s="303"/>
      <c r="H31" s="303"/>
      <c r="I31" s="427"/>
      <c r="J31" s="241"/>
      <c r="K31" s="241"/>
      <c r="L31" s="241"/>
    </row>
    <row r="32" ht="15.75" customHeight="1">
      <c r="A32" s="307"/>
      <c r="B32" s="307"/>
      <c r="C32" s="417" t="s">
        <v>684</v>
      </c>
      <c r="D32" s="308"/>
      <c r="E32" s="309"/>
      <c r="I32" s="418"/>
    </row>
    <row r="33" ht="15.75" customHeight="1">
      <c r="A33" s="307"/>
      <c r="B33" s="307"/>
      <c r="C33" s="417" t="s">
        <v>685</v>
      </c>
      <c r="D33" s="308"/>
      <c r="E33" s="309"/>
      <c r="I33" s="418"/>
    </row>
    <row r="34" ht="15.75" customHeight="1">
      <c r="A34" s="307"/>
      <c r="B34" s="307"/>
      <c r="C34" s="417" t="s">
        <v>686</v>
      </c>
      <c r="D34" s="308"/>
      <c r="E34" s="309"/>
      <c r="I34" s="418"/>
    </row>
    <row r="35" ht="15.75" customHeight="1">
      <c r="A35" s="307"/>
      <c r="B35" s="307"/>
      <c r="C35" s="417" t="s">
        <v>687</v>
      </c>
      <c r="D35" s="308"/>
      <c r="E35" s="309"/>
      <c r="I35" s="418"/>
    </row>
    <row r="36" ht="15.75" customHeight="1">
      <c r="A36" s="307"/>
      <c r="B36" s="307"/>
      <c r="C36" s="417" t="s">
        <v>688</v>
      </c>
      <c r="D36" s="308"/>
      <c r="E36" s="309"/>
      <c r="I36" s="418"/>
    </row>
    <row r="37" ht="15.75" customHeight="1">
      <c r="A37" s="307"/>
      <c r="B37" s="307"/>
      <c r="C37" s="417" t="s">
        <v>689</v>
      </c>
      <c r="D37" s="308"/>
      <c r="E37" s="309"/>
      <c r="I37" s="418"/>
    </row>
    <row r="38" ht="15.75" customHeight="1">
      <c r="A38" s="307"/>
      <c r="B38" s="307"/>
      <c r="C38" s="315"/>
      <c r="D38" s="308"/>
      <c r="E38" s="309"/>
      <c r="I38" s="418"/>
    </row>
    <row r="39" ht="15.75" customHeight="1">
      <c r="A39" s="307"/>
      <c r="B39" s="307"/>
      <c r="C39" s="417" t="s">
        <v>690</v>
      </c>
      <c r="D39" s="308"/>
      <c r="E39" s="309"/>
      <c r="I39" s="418"/>
    </row>
    <row r="40" ht="15.75" customHeight="1">
      <c r="A40" s="307"/>
      <c r="B40" s="307"/>
      <c r="C40" s="315"/>
      <c r="D40" s="308"/>
      <c r="E40" s="309"/>
      <c r="I40" s="418"/>
    </row>
    <row r="41" ht="15.75" customHeight="1">
      <c r="A41" s="307"/>
      <c r="B41" s="307"/>
      <c r="C41" s="419" t="s">
        <v>691</v>
      </c>
      <c r="D41" s="420"/>
      <c r="E41" s="421"/>
      <c r="F41" s="422"/>
      <c r="G41" s="422"/>
      <c r="H41" s="422"/>
      <c r="I41" s="423"/>
    </row>
    <row r="42" ht="15.75" customHeight="1">
      <c r="A42" s="307"/>
      <c r="B42" s="307"/>
      <c r="D42" s="308"/>
      <c r="E42" s="309"/>
    </row>
    <row r="43" ht="15.75" customHeight="1">
      <c r="A43" s="307"/>
      <c r="B43" s="307"/>
      <c r="D43" s="308"/>
      <c r="E43" s="309"/>
    </row>
    <row r="44" ht="15.75" customHeight="1">
      <c r="A44" s="307"/>
      <c r="B44" s="361" t="s">
        <v>0</v>
      </c>
      <c r="C44" s="362" t="s">
        <v>692</v>
      </c>
      <c r="D44" s="361" t="s">
        <v>20</v>
      </c>
      <c r="E44" s="363" t="s">
        <v>317</v>
      </c>
      <c r="F44" s="361" t="s">
        <v>318</v>
      </c>
      <c r="G44" s="364" t="s">
        <v>319</v>
      </c>
      <c r="H44" s="361" t="s">
        <v>320</v>
      </c>
      <c r="I44" s="361" t="s">
        <v>321</v>
      </c>
      <c r="J44" s="365"/>
      <c r="K44" s="361" t="s">
        <v>653</v>
      </c>
    </row>
    <row r="45" ht="15.75" customHeight="1">
      <c r="A45" s="307"/>
      <c r="B45" s="377" t="str">
        <f t="array" ref="B45">+XLOOKUP(C45,'Base de datos'!C:C,'Base de datos'!A:A,"",FALSE)</f>
        <v/>
      </c>
      <c r="C45" s="367"/>
      <c r="D45" s="255"/>
      <c r="E45" s="256"/>
      <c r="F45" s="368"/>
      <c r="G45" s="368"/>
      <c r="H45" s="370"/>
      <c r="I45" s="371"/>
      <c r="J45" s="241"/>
      <c r="K45" s="372" t="s">
        <v>324</v>
      </c>
    </row>
    <row r="46" ht="15.75" customHeight="1">
      <c r="A46" s="307"/>
      <c r="B46" s="377" t="str">
        <f t="array" ref="B46">+XLOOKUP(C46,'Base de datos'!C:C,'Base de datos'!A:A,"",FALSE)</f>
        <v/>
      </c>
      <c r="C46" s="367"/>
      <c r="D46" s="373"/>
      <c r="E46" s="256"/>
      <c r="F46" s="368"/>
      <c r="G46" s="369"/>
      <c r="H46" s="370"/>
      <c r="I46" s="371"/>
      <c r="J46" s="241"/>
      <c r="K46" s="374">
        <f>SUM(I45:I54)</f>
        <v>0</v>
      </c>
    </row>
    <row r="47" ht="15.75" customHeight="1">
      <c r="A47" s="307"/>
      <c r="B47" s="377" t="str">
        <f t="array" ref="B47">+XLOOKUP(C47,'Base de datos'!C:C,'Base de datos'!A:A,"",FALSE)</f>
        <v/>
      </c>
      <c r="C47" s="367"/>
      <c r="D47" s="373"/>
      <c r="E47" s="256"/>
      <c r="F47" s="368"/>
      <c r="G47" s="369"/>
      <c r="H47" s="370"/>
      <c r="I47" s="371"/>
      <c r="J47" s="241"/>
      <c r="K47" s="372" t="s">
        <v>654</v>
      </c>
    </row>
    <row r="48" ht="15.75" customHeight="1">
      <c r="A48" s="307"/>
      <c r="B48" s="377" t="str">
        <f t="array" ref="B48">+XLOOKUP(C48,'Base de datos'!C:C,'Base de datos'!A:A,"",FALSE)</f>
        <v/>
      </c>
      <c r="C48" s="367"/>
      <c r="D48" s="373"/>
      <c r="E48" s="256"/>
      <c r="F48" s="368"/>
      <c r="G48" s="369"/>
      <c r="H48" s="370"/>
      <c r="I48" s="371"/>
      <c r="J48" s="241"/>
      <c r="K48" s="376">
        <f>SUM(F45:F54)</f>
        <v>0</v>
      </c>
    </row>
    <row r="49" ht="15.75" customHeight="1">
      <c r="A49" s="307"/>
      <c r="B49" s="377" t="str">
        <f t="array" ref="B49">+XLOOKUP(C49,'Base de datos'!C:C,'Base de datos'!A:A,"",FALSE)</f>
        <v/>
      </c>
      <c r="C49" s="367"/>
      <c r="D49" s="373"/>
      <c r="E49" s="256"/>
      <c r="F49" s="378"/>
      <c r="G49" s="379"/>
      <c r="H49" s="370"/>
      <c r="I49" s="371"/>
      <c r="J49" s="241"/>
      <c r="K49" s="372" t="s">
        <v>656</v>
      </c>
    </row>
    <row r="50" ht="15.75" customHeight="1">
      <c r="A50" s="307"/>
      <c r="B50" s="377" t="str">
        <f t="array" ref="B50">+XLOOKUP(C50,'Base de datos'!C:C,'Base de datos'!A:A,"",FALSE)</f>
        <v/>
      </c>
      <c r="C50" s="367"/>
      <c r="D50" s="255"/>
      <c r="E50" s="256"/>
      <c r="F50" s="378"/>
      <c r="G50" s="379"/>
      <c r="H50" s="370"/>
      <c r="I50" s="371"/>
      <c r="J50" s="241"/>
      <c r="K50" s="374" t="str">
        <f>K46/K48</f>
        <v>#DIV/0!</v>
      </c>
    </row>
    <row r="51" ht="15.75" customHeight="1">
      <c r="A51" s="307"/>
      <c r="B51" s="377" t="str">
        <f t="array" ref="B51">+XLOOKUP(C51,'Base de datos'!C:C,'Base de datos'!A:A,"",FALSE)</f>
        <v/>
      </c>
      <c r="C51" s="381"/>
      <c r="D51" s="255"/>
      <c r="E51" s="256"/>
      <c r="F51" s="379"/>
      <c r="G51" s="379"/>
      <c r="H51" s="370"/>
      <c r="I51" s="371"/>
      <c r="J51" s="241"/>
      <c r="K51" s="382" t="s">
        <v>658</v>
      </c>
    </row>
    <row r="52" ht="15.75" customHeight="1">
      <c r="A52" s="307"/>
      <c r="B52" s="377" t="str">
        <f t="array" ref="B52">+XLOOKUP(C52,'Base de datos'!C:C,'Base de datos'!A:A,"",FALSE)</f>
        <v/>
      </c>
      <c r="C52" s="381"/>
      <c r="D52" s="255" t="s">
        <v>14</v>
      </c>
      <c r="E52" s="256">
        <f t="array" ref="E52">+XLOOKUP(B52,'Base de datos'!A:A,'Base de datos'!H:H,0)</f>
        <v>0</v>
      </c>
      <c r="F52" s="379"/>
      <c r="G52" s="379"/>
      <c r="H52" s="370" t="str">
        <f t="shared" ref="H52:H54" si="3">IFERROR(1-G52/F52,"")</f>
        <v/>
      </c>
      <c r="I52" s="371">
        <f t="shared" ref="I52:I54" si="4">IFERROR(E52*F52,"")</f>
        <v>0</v>
      </c>
      <c r="J52" s="241"/>
      <c r="K52" s="383" t="str">
        <f>K48/F21</f>
        <v>#DIV/0!</v>
      </c>
    </row>
    <row r="53" ht="15.75" customHeight="1">
      <c r="A53" s="307"/>
      <c r="B53" s="377" t="str">
        <f t="array" ref="B53">+XLOOKUP(C53,'Base de datos'!C:C,'Base de datos'!A:A,"",FALSE)</f>
        <v/>
      </c>
      <c r="C53" s="381"/>
      <c r="D53" s="255" t="s">
        <v>14</v>
      </c>
      <c r="E53" s="256">
        <f t="array" ref="E53">+XLOOKUP(B53,'Base de datos'!A:A,'Base de datos'!H:H,0)</f>
        <v>0</v>
      </c>
      <c r="F53" s="379"/>
      <c r="G53" s="379"/>
      <c r="H53" s="370" t="str">
        <f t="shared" si="3"/>
        <v/>
      </c>
      <c r="I53" s="371">
        <f t="shared" si="4"/>
        <v>0</v>
      </c>
      <c r="J53" s="241"/>
      <c r="K53" s="384"/>
    </row>
    <row r="54" ht="15.75" customHeight="1">
      <c r="A54" s="307"/>
      <c r="B54" s="377" t="str">
        <f t="array" ref="B54">+XLOOKUP(C54,'Base de datos'!C:C,'Base de datos'!A:A,"",FALSE)</f>
        <v/>
      </c>
      <c r="C54" s="381"/>
      <c r="D54" s="255" t="s">
        <v>14</v>
      </c>
      <c r="E54" s="256">
        <f t="array" ref="E54">+XLOOKUP(B54,'Base de datos'!A:A,'Base de datos'!H:H,0)</f>
        <v>0</v>
      </c>
      <c r="F54" s="379"/>
      <c r="G54" s="379"/>
      <c r="H54" s="370" t="str">
        <f t="shared" si="3"/>
        <v/>
      </c>
      <c r="I54" s="371">
        <f t="shared" si="4"/>
        <v>0</v>
      </c>
      <c r="J54" s="241"/>
      <c r="K54" s="384"/>
    </row>
    <row r="55" ht="15.75" customHeight="1">
      <c r="A55" s="307"/>
      <c r="B55" s="240"/>
      <c r="C55" s="241"/>
      <c r="D55" s="242"/>
      <c r="E55" s="243"/>
      <c r="F55" s="244"/>
      <c r="G55" s="244"/>
      <c r="H55" s="241"/>
      <c r="I55" s="241"/>
      <c r="J55" s="241"/>
      <c r="K55" s="241"/>
    </row>
    <row r="56" ht="15.75" customHeight="1">
      <c r="A56" s="307"/>
      <c r="B56" s="295"/>
      <c r="C56" s="296" t="s">
        <v>338</v>
      </c>
      <c r="D56" s="297"/>
      <c r="E56" s="297"/>
      <c r="F56" s="297"/>
      <c r="G56" s="297"/>
      <c r="H56" s="297"/>
      <c r="I56" s="298"/>
      <c r="J56" s="241"/>
      <c r="K56" s="241"/>
    </row>
    <row r="57" ht="15.75" customHeight="1">
      <c r="A57" s="307"/>
      <c r="B57" s="299"/>
      <c r="C57" s="300"/>
      <c r="D57" s="297"/>
      <c r="E57" s="297"/>
      <c r="F57" s="297"/>
      <c r="G57" s="297"/>
      <c r="H57" s="297"/>
      <c r="I57" s="298"/>
      <c r="J57" s="241"/>
      <c r="K57" s="241"/>
    </row>
    <row r="58" ht="15.75" customHeight="1">
      <c r="A58" s="307"/>
      <c r="B58" s="301"/>
      <c r="C58" s="302"/>
      <c r="I58" s="278"/>
      <c r="J58" s="241"/>
      <c r="K58" s="241"/>
    </row>
    <row r="59" ht="15.75" customHeight="1">
      <c r="A59" s="307"/>
      <c r="B59" s="301"/>
      <c r="C59" s="417"/>
      <c r="D59" s="303"/>
      <c r="E59" s="303"/>
      <c r="F59" s="303"/>
      <c r="G59" s="303"/>
      <c r="H59" s="303"/>
      <c r="I59" s="427"/>
      <c r="J59" s="241"/>
      <c r="K59" s="241"/>
    </row>
    <row r="60" ht="15.75" customHeight="1">
      <c r="A60" s="307"/>
      <c r="B60" s="301"/>
      <c r="C60" s="417"/>
      <c r="D60" s="303"/>
      <c r="E60" s="303"/>
      <c r="F60" s="303"/>
      <c r="G60" s="303"/>
      <c r="H60" s="303"/>
      <c r="I60" s="427"/>
      <c r="J60" s="241"/>
      <c r="K60" s="241"/>
    </row>
    <row r="61" ht="15.75" customHeight="1">
      <c r="A61" s="307"/>
      <c r="B61" s="301"/>
      <c r="C61" s="428"/>
      <c r="D61" s="303"/>
      <c r="E61" s="303"/>
      <c r="F61" s="303"/>
      <c r="G61" s="303"/>
      <c r="H61" s="303"/>
      <c r="I61" s="427"/>
      <c r="J61" s="241"/>
      <c r="K61" s="241"/>
    </row>
    <row r="62" ht="15.75" customHeight="1">
      <c r="A62" s="307"/>
      <c r="B62" s="301"/>
      <c r="C62" s="417"/>
      <c r="D62" s="303"/>
      <c r="E62" s="303"/>
      <c r="F62" s="303"/>
      <c r="G62" s="303"/>
      <c r="H62" s="303"/>
      <c r="I62" s="427"/>
      <c r="J62" s="241"/>
      <c r="K62" s="241"/>
    </row>
    <row r="63" ht="15.75" customHeight="1">
      <c r="A63" s="307"/>
      <c r="B63" s="307"/>
      <c r="C63" s="417"/>
      <c r="D63" s="308"/>
      <c r="E63" s="309"/>
      <c r="I63" s="418"/>
    </row>
    <row r="64" ht="15.75" customHeight="1">
      <c r="A64" s="307"/>
      <c r="B64" s="307"/>
      <c r="C64" s="417"/>
      <c r="D64" s="308"/>
      <c r="E64" s="309"/>
      <c r="I64" s="418"/>
    </row>
    <row r="65" ht="15.75" customHeight="1">
      <c r="A65" s="307"/>
      <c r="B65" s="307"/>
      <c r="C65" s="417"/>
      <c r="D65" s="308"/>
      <c r="E65" s="309"/>
      <c r="I65" s="418"/>
    </row>
    <row r="66" ht="15.75" customHeight="1">
      <c r="A66" s="307"/>
      <c r="B66" s="307"/>
      <c r="C66" s="417"/>
      <c r="D66" s="308"/>
      <c r="E66" s="309"/>
      <c r="I66" s="418"/>
    </row>
    <row r="67" ht="15.75" customHeight="1">
      <c r="A67" s="307"/>
      <c r="B67" s="307"/>
      <c r="C67" s="417"/>
      <c r="D67" s="308"/>
      <c r="E67" s="309"/>
      <c r="I67" s="418"/>
    </row>
    <row r="68" ht="15.75" customHeight="1">
      <c r="A68" s="307"/>
      <c r="B68" s="307"/>
      <c r="C68" s="417"/>
      <c r="D68" s="308"/>
      <c r="E68" s="309"/>
      <c r="I68" s="418"/>
    </row>
    <row r="69" ht="15.75" customHeight="1">
      <c r="A69" s="307"/>
      <c r="B69" s="307"/>
      <c r="C69" s="315"/>
      <c r="D69" s="308"/>
      <c r="E69" s="309"/>
      <c r="I69" s="418"/>
    </row>
    <row r="70" ht="15.75" customHeight="1">
      <c r="A70" s="307"/>
      <c r="B70" s="307"/>
      <c r="C70" s="417"/>
      <c r="D70" s="308"/>
      <c r="E70" s="309"/>
      <c r="I70" s="418"/>
    </row>
    <row r="71" ht="15.75" customHeight="1">
      <c r="A71" s="307"/>
      <c r="B71" s="307"/>
      <c r="C71" s="315"/>
      <c r="D71" s="308"/>
      <c r="E71" s="309"/>
      <c r="I71" s="418"/>
    </row>
    <row r="72" ht="15.75" customHeight="1">
      <c r="A72" s="307"/>
      <c r="B72" s="307"/>
      <c r="C72" s="419"/>
      <c r="D72" s="420"/>
      <c r="E72" s="421"/>
      <c r="F72" s="422"/>
      <c r="G72" s="422"/>
      <c r="H72" s="422"/>
      <c r="I72" s="423"/>
    </row>
    <row r="73" ht="15.75" customHeight="1">
      <c r="A73" s="307"/>
      <c r="B73" s="307"/>
      <c r="D73" s="308"/>
      <c r="E73" s="309"/>
    </row>
    <row r="74" ht="15.75" customHeight="1">
      <c r="A74" s="307"/>
      <c r="B74" s="307"/>
      <c r="D74" s="308"/>
      <c r="E74" s="309"/>
    </row>
    <row r="75" ht="15.75" customHeight="1">
      <c r="A75" s="307"/>
      <c r="B75" s="361" t="s">
        <v>0</v>
      </c>
      <c r="C75" s="362" t="s">
        <v>693</v>
      </c>
      <c r="D75" s="361" t="s">
        <v>20</v>
      </c>
      <c r="E75" s="363" t="s">
        <v>317</v>
      </c>
      <c r="F75" s="361" t="s">
        <v>318</v>
      </c>
      <c r="G75" s="364" t="s">
        <v>319</v>
      </c>
      <c r="H75" s="361" t="s">
        <v>320</v>
      </c>
      <c r="I75" s="361" t="s">
        <v>321</v>
      </c>
      <c r="J75" s="365"/>
      <c r="K75" s="361" t="s">
        <v>653</v>
      </c>
      <c r="L75" s="249"/>
    </row>
    <row r="76" ht="15.75" customHeight="1">
      <c r="A76" s="307"/>
      <c r="B76" s="366">
        <f t="array" ref="B76">+XLOOKUP(C76,'Base de datos'!C:C,'Base de datos'!A:A,"",FALSE)</f>
        <v>158</v>
      </c>
      <c r="C76" s="367" t="s">
        <v>190</v>
      </c>
      <c r="D76" s="255" t="s">
        <v>14</v>
      </c>
      <c r="E76" s="256">
        <f t="array" ref="E76">+XLOOKUP(B76,'Base de datos'!A:A,'Base de datos'!H:H,0)</f>
        <v>4</v>
      </c>
      <c r="F76" s="368">
        <v>2.0</v>
      </c>
      <c r="G76" s="368">
        <v>1.4</v>
      </c>
      <c r="H76" s="370">
        <f t="shared" ref="H76:H85" si="5">IFERROR(1-G76/F76,"")</f>
        <v>0.3</v>
      </c>
      <c r="I76" s="371">
        <f t="shared" ref="I76:I85" si="6">IFERROR(E76*F76,"")</f>
        <v>8</v>
      </c>
      <c r="J76" s="241"/>
      <c r="K76" s="372" t="s">
        <v>324</v>
      </c>
      <c r="L76" s="241"/>
    </row>
    <row r="77" ht="15.75" customHeight="1">
      <c r="A77" s="307"/>
      <c r="B77" s="366">
        <f t="array" ref="B77">+XLOOKUP(C77,'Base de datos'!C:C,'Base de datos'!A:A,"",FALSE)</f>
        <v>100</v>
      </c>
      <c r="C77" s="367" t="s">
        <v>123</v>
      </c>
      <c r="D77" s="373" t="s">
        <v>14</v>
      </c>
      <c r="E77" s="256">
        <f t="array" ref="E77">+XLOOKUP(B77,'Base de datos'!A:A,'Base de datos'!H:H,0)</f>
        <v>0.83</v>
      </c>
      <c r="F77" s="368">
        <v>0.2</v>
      </c>
      <c r="G77" s="369"/>
      <c r="H77" s="370">
        <f t="shared" si="5"/>
        <v>1</v>
      </c>
      <c r="I77" s="371">
        <f t="shared" si="6"/>
        <v>0.166</v>
      </c>
      <c r="J77" s="241"/>
      <c r="K77" s="374">
        <f>SUM(I76:I85)</f>
        <v>9.440845455</v>
      </c>
      <c r="L77" s="241"/>
    </row>
    <row r="78" ht="15.75" customHeight="1">
      <c r="A78" s="307"/>
      <c r="B78" s="366">
        <f t="array" ref="B78">+XLOOKUP(C78,'Base de datos'!C:C,'Base de datos'!A:A,"",FALSE)</f>
        <v>119</v>
      </c>
      <c r="C78" s="367" t="s">
        <v>145</v>
      </c>
      <c r="D78" s="373" t="s">
        <v>14</v>
      </c>
      <c r="E78" s="256">
        <f t="array" ref="E78">+XLOOKUP(B78,'Base de datos'!A:A,'Base de datos'!H:H,0)</f>
        <v>0.43</v>
      </c>
      <c r="F78" s="368">
        <v>0.01</v>
      </c>
      <c r="G78" s="369"/>
      <c r="H78" s="370">
        <f t="shared" si="5"/>
        <v>1</v>
      </c>
      <c r="I78" s="371">
        <f t="shared" si="6"/>
        <v>0.0043</v>
      </c>
      <c r="J78" s="241"/>
      <c r="K78" s="372" t="s">
        <v>654</v>
      </c>
      <c r="L78" s="375"/>
    </row>
    <row r="79" ht="15.75" customHeight="1">
      <c r="A79" s="307"/>
      <c r="B79" s="366">
        <f t="array" ref="B79">+XLOOKUP(C79,'Base de datos'!C:C,'Base de datos'!A:A,"",FALSE)</f>
        <v>159</v>
      </c>
      <c r="C79" s="367" t="s">
        <v>192</v>
      </c>
      <c r="D79" s="373" t="s">
        <v>14</v>
      </c>
      <c r="E79" s="256">
        <f t="array" ref="E79">+XLOOKUP(B79,'Base de datos'!A:A,'Base de datos'!H:H,0)</f>
        <v>10</v>
      </c>
      <c r="F79" s="368">
        <v>0.01</v>
      </c>
      <c r="G79" s="369"/>
      <c r="H79" s="370">
        <f t="shared" si="5"/>
        <v>1</v>
      </c>
      <c r="I79" s="371">
        <f t="shared" si="6"/>
        <v>0.1</v>
      </c>
      <c r="J79" s="241"/>
      <c r="K79" s="376">
        <f>SUM(F76:F85)</f>
        <v>2.43</v>
      </c>
      <c r="L79" s="241"/>
    </row>
    <row r="80" ht="15.75" customHeight="1">
      <c r="A80" s="307"/>
      <c r="B80" s="366">
        <f t="array" ref="B80">+XLOOKUP(C80,'Base de datos'!C:C,'Base de datos'!A:A,"",FALSE)</f>
        <v>118</v>
      </c>
      <c r="C80" s="367" t="s">
        <v>144</v>
      </c>
      <c r="D80" s="373" t="s">
        <v>14</v>
      </c>
      <c r="E80" s="256">
        <f t="array" ref="E80">+XLOOKUP(B80,'Base de datos'!A:A,'Base de datos'!H:H,0)</f>
        <v>5</v>
      </c>
      <c r="F80" s="378">
        <v>0.2</v>
      </c>
      <c r="G80" s="379"/>
      <c r="H80" s="370">
        <f t="shared" si="5"/>
        <v>1</v>
      </c>
      <c r="I80" s="371">
        <f t="shared" si="6"/>
        <v>1</v>
      </c>
      <c r="J80" s="241"/>
      <c r="K80" s="372" t="s">
        <v>656</v>
      </c>
      <c r="L80" s="380"/>
    </row>
    <row r="81" ht="15.75" customHeight="1">
      <c r="A81" s="307"/>
      <c r="B81" s="366">
        <f t="array" ref="B81">+XLOOKUP(C81,'Base de datos'!C:C,'Base de datos'!A:A,"",FALSE)</f>
        <v>127</v>
      </c>
      <c r="C81" s="367" t="s">
        <v>153</v>
      </c>
      <c r="D81" s="255" t="s">
        <v>14</v>
      </c>
      <c r="E81" s="256">
        <f t="array" ref="E81">+XLOOKUP(B81,'Base de datos'!A:A,'Base de datos'!H:H,0)</f>
        <v>17.05454545</v>
      </c>
      <c r="F81" s="378">
        <v>0.01</v>
      </c>
      <c r="G81" s="379"/>
      <c r="H81" s="370">
        <f t="shared" si="5"/>
        <v>1</v>
      </c>
      <c r="I81" s="371">
        <f t="shared" si="6"/>
        <v>0.1705454545</v>
      </c>
      <c r="J81" s="241"/>
      <c r="K81" s="374">
        <f>K77/K79</f>
        <v>3.885121586</v>
      </c>
      <c r="L81" s="241"/>
    </row>
    <row r="82" ht="15.75" customHeight="1">
      <c r="A82" s="307"/>
      <c r="B82" s="377" t="str">
        <f t="array" ref="B82">+XLOOKUP(C82,'Base de datos'!C:C,'Base de datos'!A:A,"",FALSE)</f>
        <v/>
      </c>
      <c r="C82" s="381"/>
      <c r="D82" s="255" t="s">
        <v>14</v>
      </c>
      <c r="E82" s="256">
        <f t="array" ref="E82">+XLOOKUP(B82,'Base de datos'!A:A,'Base de datos'!H:H,0)</f>
        <v>0</v>
      </c>
      <c r="F82" s="379"/>
      <c r="G82" s="379"/>
      <c r="H82" s="370" t="str">
        <f t="shared" si="5"/>
        <v/>
      </c>
      <c r="I82" s="371">
        <f t="shared" si="6"/>
        <v>0</v>
      </c>
      <c r="J82" s="241"/>
      <c r="K82" s="382" t="s">
        <v>658</v>
      </c>
      <c r="L82" s="241"/>
    </row>
    <row r="83" ht="15.75" customHeight="1">
      <c r="B83" s="377" t="str">
        <f t="array" ref="B83">+XLOOKUP(C83,'Base de datos'!C:C,'Base de datos'!A:A,"",FALSE)</f>
        <v/>
      </c>
      <c r="C83" s="381"/>
      <c r="D83" s="255" t="s">
        <v>14</v>
      </c>
      <c r="E83" s="256">
        <f t="array" ref="E83">+XLOOKUP(B83,'Base de datos'!A:A,'Base de datos'!H:H,0)</f>
        <v>0</v>
      </c>
      <c r="F83" s="379"/>
      <c r="G83" s="379"/>
      <c r="H83" s="370" t="str">
        <f t="shared" si="5"/>
        <v/>
      </c>
      <c r="I83" s="371">
        <f t="shared" si="6"/>
        <v>0</v>
      </c>
      <c r="J83" s="241"/>
      <c r="K83" s="383">
        <f>K79/F7</f>
        <v>60.75</v>
      </c>
      <c r="L83" s="241"/>
    </row>
    <row r="84" ht="15.75" customHeight="1">
      <c r="B84" s="377" t="str">
        <f t="array" ref="B84">+XLOOKUP(C84,'Base de datos'!C:C,'Base de datos'!A:A,"",FALSE)</f>
        <v/>
      </c>
      <c r="C84" s="381"/>
      <c r="D84" s="255" t="s">
        <v>14</v>
      </c>
      <c r="E84" s="256">
        <f t="array" ref="E84">+XLOOKUP(B84,'Base de datos'!A:A,'Base de datos'!H:H,0)</f>
        <v>0</v>
      </c>
      <c r="F84" s="379"/>
      <c r="G84" s="379"/>
      <c r="H84" s="370" t="str">
        <f t="shared" si="5"/>
        <v/>
      </c>
      <c r="I84" s="371">
        <f t="shared" si="6"/>
        <v>0</v>
      </c>
      <c r="J84" s="241"/>
      <c r="K84" s="384"/>
      <c r="L84" s="241"/>
    </row>
    <row r="85" ht="15.75" customHeight="1">
      <c r="B85" s="377" t="str">
        <f t="array" ref="B85">+XLOOKUP(C85,'Base de datos'!C:C,'Base de datos'!A:A,"",FALSE)</f>
        <v/>
      </c>
      <c r="C85" s="381"/>
      <c r="D85" s="255" t="s">
        <v>14</v>
      </c>
      <c r="E85" s="256">
        <f t="array" ref="E85">+XLOOKUP(B85,'Base de datos'!A:A,'Base de datos'!H:H,0)</f>
        <v>0</v>
      </c>
      <c r="F85" s="379"/>
      <c r="G85" s="379"/>
      <c r="H85" s="370" t="str">
        <f t="shared" si="5"/>
        <v/>
      </c>
      <c r="I85" s="371">
        <f t="shared" si="6"/>
        <v>0</v>
      </c>
      <c r="J85" s="241"/>
      <c r="K85" s="384"/>
      <c r="L85" s="241"/>
    </row>
    <row r="86" ht="15.75" customHeight="1">
      <c r="B86" s="240"/>
      <c r="C86" s="241"/>
      <c r="D86" s="242"/>
      <c r="E86" s="243"/>
      <c r="F86" s="244"/>
      <c r="G86" s="244"/>
      <c r="H86" s="241"/>
      <c r="I86" s="241"/>
      <c r="J86" s="241"/>
      <c r="K86" s="241"/>
      <c r="L86" s="241"/>
    </row>
    <row r="87" ht="15.75" customHeight="1">
      <c r="B87" s="295"/>
      <c r="C87" s="296" t="s">
        <v>338</v>
      </c>
      <c r="D87" s="297"/>
      <c r="E87" s="297"/>
      <c r="F87" s="297"/>
      <c r="G87" s="297"/>
      <c r="H87" s="297"/>
      <c r="I87" s="298"/>
      <c r="J87" s="241"/>
      <c r="K87" s="241"/>
      <c r="L87" s="241"/>
    </row>
    <row r="88" ht="15.75" customHeight="1">
      <c r="B88" s="299"/>
      <c r="C88" s="300"/>
      <c r="D88" s="297"/>
      <c r="E88" s="297"/>
      <c r="F88" s="297"/>
      <c r="G88" s="297"/>
      <c r="H88" s="297"/>
      <c r="I88" s="298"/>
      <c r="J88" s="241"/>
      <c r="K88" s="241"/>
      <c r="L88" s="241"/>
    </row>
    <row r="89" ht="15.75" customHeight="1">
      <c r="B89" s="301"/>
      <c r="C89" s="302"/>
      <c r="I89" s="278"/>
      <c r="J89" s="241"/>
      <c r="K89" s="241"/>
      <c r="L89" s="241"/>
    </row>
    <row r="90" ht="15.75" customHeight="1">
      <c r="B90" s="301"/>
      <c r="C90" s="417" t="s">
        <v>694</v>
      </c>
      <c r="D90" s="303"/>
      <c r="E90" s="303"/>
      <c r="F90" s="303"/>
      <c r="G90" s="303"/>
      <c r="H90" s="303"/>
      <c r="I90" s="427"/>
      <c r="J90" s="241"/>
      <c r="K90" s="241"/>
      <c r="L90" s="241"/>
    </row>
    <row r="91" ht="15.75" customHeight="1">
      <c r="B91" s="301"/>
      <c r="C91" s="417" t="s">
        <v>695</v>
      </c>
      <c r="D91" s="303"/>
      <c r="E91" s="303"/>
      <c r="F91" s="303"/>
      <c r="G91" s="303"/>
      <c r="H91" s="303"/>
      <c r="I91" s="427"/>
      <c r="J91" s="241"/>
      <c r="K91" s="241"/>
      <c r="L91" s="241"/>
    </row>
    <row r="92" ht="15.75" customHeight="1">
      <c r="B92" s="301"/>
      <c r="C92" s="428"/>
      <c r="D92" s="303"/>
      <c r="E92" s="303"/>
      <c r="F92" s="303"/>
      <c r="G92" s="303"/>
      <c r="H92" s="303"/>
      <c r="I92" s="427"/>
      <c r="J92" s="241"/>
      <c r="K92" s="241"/>
      <c r="L92" s="241"/>
    </row>
    <row r="93" ht="15.75" customHeight="1">
      <c r="B93" s="301"/>
      <c r="C93" s="417"/>
      <c r="D93" s="303"/>
      <c r="E93" s="303"/>
      <c r="F93" s="303"/>
      <c r="G93" s="303"/>
      <c r="H93" s="303"/>
      <c r="I93" s="427"/>
      <c r="J93" s="241"/>
      <c r="K93" s="241"/>
      <c r="L93" s="241"/>
    </row>
    <row r="94" ht="15.75" customHeight="1">
      <c r="B94" s="307"/>
      <c r="C94" s="417"/>
      <c r="D94" s="308"/>
      <c r="E94" s="309"/>
      <c r="I94" s="418"/>
    </row>
    <row r="95" ht="15.75" customHeight="1">
      <c r="B95" s="307"/>
      <c r="C95" s="417"/>
      <c r="D95" s="308"/>
      <c r="E95" s="309"/>
      <c r="I95" s="418"/>
    </row>
    <row r="96" ht="15.75" customHeight="1">
      <c r="B96" s="307"/>
      <c r="C96" s="417"/>
      <c r="D96" s="308"/>
      <c r="E96" s="309"/>
      <c r="I96" s="418"/>
    </row>
    <row r="97" ht="15.75" customHeight="1">
      <c r="B97" s="307"/>
      <c r="C97" s="417"/>
      <c r="D97" s="308"/>
      <c r="E97" s="309"/>
      <c r="I97" s="418"/>
    </row>
    <row r="98" ht="15.75" customHeight="1">
      <c r="B98" s="307"/>
      <c r="C98" s="417"/>
      <c r="D98" s="308"/>
      <c r="E98" s="309"/>
      <c r="I98" s="418"/>
    </row>
    <row r="99" ht="15.75" customHeight="1">
      <c r="B99" s="307"/>
      <c r="C99" s="417"/>
      <c r="D99" s="308"/>
      <c r="E99" s="309"/>
      <c r="I99" s="418"/>
    </row>
    <row r="100" ht="15.75" customHeight="1">
      <c r="B100" s="307"/>
      <c r="C100" s="315"/>
      <c r="D100" s="308"/>
      <c r="E100" s="309"/>
      <c r="I100" s="418"/>
    </row>
    <row r="101" ht="15.75" customHeight="1">
      <c r="B101" s="307"/>
      <c r="C101" s="417"/>
      <c r="D101" s="308"/>
      <c r="E101" s="309"/>
      <c r="I101" s="418"/>
    </row>
    <row r="102" ht="15.75" customHeight="1">
      <c r="B102" s="307"/>
      <c r="C102" s="315"/>
      <c r="D102" s="308"/>
      <c r="E102" s="309"/>
      <c r="I102" s="418"/>
    </row>
    <row r="103" ht="15.75" customHeight="1">
      <c r="B103" s="307"/>
      <c r="C103" s="419"/>
      <c r="D103" s="420"/>
      <c r="E103" s="421"/>
      <c r="F103" s="422"/>
      <c r="G103" s="422"/>
      <c r="H103" s="422"/>
      <c r="I103" s="42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</sheetData>
  <mergeCells count="14">
    <mergeCell ref="C27:I27"/>
    <mergeCell ref="C56:I56"/>
    <mergeCell ref="C57:I57"/>
    <mergeCell ref="C58:I58"/>
    <mergeCell ref="C87:I87"/>
    <mergeCell ref="C88:I88"/>
    <mergeCell ref="C89:I89"/>
    <mergeCell ref="D2:I2"/>
    <mergeCell ref="L6:M6"/>
    <mergeCell ref="L7:M7"/>
    <mergeCell ref="L8:M8"/>
    <mergeCell ref="L9:M9"/>
    <mergeCell ref="C25:I25"/>
    <mergeCell ref="C26:I26"/>
  </mergeCells>
  <dataValidations>
    <dataValidation type="list" allowBlank="1" showErrorMessage="1" sqref="D6:D11 D14:D23 D45:D54 D76:D85">
      <formula1>'Hoja 2'!$A$2:$A$4</formula1>
    </dataValidation>
    <dataValidation type="list" allowBlank="1" showErrorMessage="1" sqref="C8:C11 C14:C23 C45:C54 C76:C85">
      <formula1>'Base de datos'!$C$2:$C$931</formula1>
    </dataValidation>
  </dataValidations>
  <hyperlinks>
    <hyperlink display="INDICE" location="'INDICE 25'!A1" ref="K5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2.13"/>
    <col customWidth="1" min="3" max="5" width="13.63"/>
    <col customWidth="1" min="6" max="6" width="15.75"/>
    <col customWidth="1" min="10" max="10" width="28.38"/>
    <col customWidth="1" min="11" max="11" width="37.63"/>
  </cols>
  <sheetData>
    <row r="5" ht="22.5" customHeight="1">
      <c r="B5" s="429" t="s">
        <v>247</v>
      </c>
      <c r="C5" s="430" t="s">
        <v>325</v>
      </c>
      <c r="D5" s="430" t="s">
        <v>696</v>
      </c>
      <c r="E5" s="429" t="s">
        <v>697</v>
      </c>
      <c r="F5" s="431" t="s">
        <v>698</v>
      </c>
      <c r="J5" s="432" t="s">
        <v>345</v>
      </c>
      <c r="K5" s="432" t="s">
        <v>213</v>
      </c>
      <c r="L5" s="432" t="s">
        <v>346</v>
      </c>
    </row>
    <row r="6" ht="22.5" customHeight="1">
      <c r="B6" s="433" t="s">
        <v>248</v>
      </c>
      <c r="C6" s="434">
        <v>8.0</v>
      </c>
      <c r="D6" s="435">
        <v>1.77</v>
      </c>
      <c r="E6" s="436">
        <v>75.71</v>
      </c>
      <c r="F6" s="436" t="s">
        <v>699</v>
      </c>
      <c r="J6" s="437" t="s">
        <v>357</v>
      </c>
      <c r="K6" s="437" t="s">
        <v>371</v>
      </c>
      <c r="L6" s="438">
        <v>136.0</v>
      </c>
    </row>
    <row r="7" ht="22.5" customHeight="1">
      <c r="B7" s="439" t="s">
        <v>249</v>
      </c>
      <c r="C7" s="440">
        <v>7.0</v>
      </c>
      <c r="D7" s="435">
        <v>1.55</v>
      </c>
      <c r="E7" s="436">
        <v>75.66</v>
      </c>
      <c r="F7" s="436" t="s">
        <v>699</v>
      </c>
      <c r="J7" s="437" t="s">
        <v>357</v>
      </c>
      <c r="K7" s="437" t="s">
        <v>379</v>
      </c>
      <c r="L7" s="438">
        <v>23.0</v>
      </c>
    </row>
    <row r="8" ht="22.5" customHeight="1">
      <c r="B8" s="441" t="s">
        <v>250</v>
      </c>
      <c r="C8" s="442">
        <v>9.9</v>
      </c>
      <c r="D8" s="443">
        <v>2.48</v>
      </c>
      <c r="E8" s="444">
        <v>72.43602693602693</v>
      </c>
      <c r="F8" s="442" t="s">
        <v>700</v>
      </c>
      <c r="J8" s="437" t="s">
        <v>357</v>
      </c>
      <c r="K8" s="437" t="s">
        <v>358</v>
      </c>
      <c r="L8" s="438">
        <v>20.0</v>
      </c>
    </row>
    <row r="9" ht="22.5" customHeight="1">
      <c r="B9" s="433" t="s">
        <v>251</v>
      </c>
      <c r="C9" s="440">
        <v>10.0</v>
      </c>
      <c r="D9" s="435">
        <v>2.5</v>
      </c>
      <c r="E9" s="445">
        <v>72.26519765534897</v>
      </c>
      <c r="F9" s="436" t="s">
        <v>699</v>
      </c>
      <c r="J9" s="437" t="s">
        <v>357</v>
      </c>
      <c r="K9" s="437" t="s">
        <v>363</v>
      </c>
      <c r="L9" s="438">
        <v>13.0</v>
      </c>
    </row>
    <row r="10" ht="22.5" customHeight="1">
      <c r="B10" s="433" t="s">
        <v>252</v>
      </c>
      <c r="C10" s="446">
        <v>9.9</v>
      </c>
      <c r="D10" s="435">
        <v>2.94</v>
      </c>
      <c r="E10" s="445">
        <v>70.64424293575314</v>
      </c>
      <c r="J10" s="437" t="s">
        <v>357</v>
      </c>
      <c r="K10" s="437" t="s">
        <v>375</v>
      </c>
      <c r="L10" s="438">
        <v>13.0</v>
      </c>
    </row>
    <row r="11" ht="22.5" customHeight="1">
      <c r="B11" s="433" t="s">
        <v>253</v>
      </c>
      <c r="C11" s="440">
        <v>8.0</v>
      </c>
      <c r="D11" s="435">
        <v>2.54</v>
      </c>
      <c r="E11" s="445">
        <v>65.10010416666668</v>
      </c>
      <c r="F11" s="436" t="s">
        <v>701</v>
      </c>
      <c r="J11" s="437" t="s">
        <v>357</v>
      </c>
      <c r="K11" s="437" t="s">
        <v>367</v>
      </c>
      <c r="L11" s="438">
        <v>1.0</v>
      </c>
    </row>
    <row r="12" ht="22.5" customHeight="1">
      <c r="B12" s="433" t="s">
        <v>254</v>
      </c>
      <c r="C12" s="446">
        <v>8.0</v>
      </c>
      <c r="D12" s="435">
        <v>2.55</v>
      </c>
      <c r="E12" s="445">
        <v>64.94679166666667</v>
      </c>
      <c r="F12" s="436" t="s">
        <v>701</v>
      </c>
      <c r="J12" s="437" t="s">
        <v>357</v>
      </c>
      <c r="K12" s="437" t="s">
        <v>386</v>
      </c>
      <c r="L12" s="438">
        <v>1.0</v>
      </c>
    </row>
    <row r="13" ht="22.5" customHeight="1">
      <c r="B13" s="433" t="s">
        <v>255</v>
      </c>
      <c r="C13" s="440">
        <v>8.0</v>
      </c>
      <c r="D13" s="435">
        <v>2.6</v>
      </c>
      <c r="E13" s="445">
        <v>64.18824197147651</v>
      </c>
      <c r="J13" s="437" t="s">
        <v>391</v>
      </c>
      <c r="K13" s="437" t="s">
        <v>404</v>
      </c>
      <c r="L13" s="438">
        <v>10.0</v>
      </c>
    </row>
    <row r="14" ht="22.5" customHeight="1">
      <c r="B14" s="433" t="s">
        <v>256</v>
      </c>
      <c r="C14" s="446">
        <v>7.0</v>
      </c>
      <c r="D14" s="435">
        <v>2.67</v>
      </c>
      <c r="E14" s="445">
        <v>58.05222304511278</v>
      </c>
      <c r="F14" s="436" t="s">
        <v>701</v>
      </c>
      <c r="J14" s="437" t="s">
        <v>391</v>
      </c>
      <c r="K14" s="437" t="s">
        <v>408</v>
      </c>
      <c r="L14" s="438">
        <v>7.0</v>
      </c>
    </row>
    <row r="15" ht="22.5" customHeight="1">
      <c r="J15" s="437" t="s">
        <v>391</v>
      </c>
      <c r="K15" s="437" t="s">
        <v>417</v>
      </c>
      <c r="L15" s="438">
        <v>6.0</v>
      </c>
    </row>
    <row r="16" ht="22.5" customHeight="1">
      <c r="J16" s="437" t="s">
        <v>391</v>
      </c>
      <c r="K16" s="437" t="s">
        <v>412</v>
      </c>
      <c r="L16" s="438">
        <v>2.0</v>
      </c>
    </row>
    <row r="17" ht="22.5" customHeight="1">
      <c r="J17" s="437" t="s">
        <v>391</v>
      </c>
      <c r="K17" s="437" t="s">
        <v>430</v>
      </c>
      <c r="L17" s="438">
        <v>2.0</v>
      </c>
    </row>
    <row r="18" ht="22.5" customHeight="1">
      <c r="B18" s="429" t="s">
        <v>702</v>
      </c>
      <c r="C18" s="430" t="s">
        <v>703</v>
      </c>
      <c r="D18" s="430" t="s">
        <v>696</v>
      </c>
      <c r="E18" s="429" t="s">
        <v>697</v>
      </c>
      <c r="F18" s="431" t="s">
        <v>704</v>
      </c>
      <c r="J18" s="437" t="s">
        <v>391</v>
      </c>
      <c r="K18" s="437" t="s">
        <v>397</v>
      </c>
      <c r="L18" s="438">
        <v>1.0</v>
      </c>
    </row>
    <row r="19" ht="22.5" customHeight="1">
      <c r="B19" s="433" t="s">
        <v>230</v>
      </c>
      <c r="C19" s="436"/>
      <c r="D19" s="435">
        <v>1.34</v>
      </c>
      <c r="E19" s="447">
        <v>62.26</v>
      </c>
      <c r="F19" s="436" t="s">
        <v>701</v>
      </c>
      <c r="J19" s="437" t="s">
        <v>391</v>
      </c>
      <c r="K19" s="437" t="s">
        <v>426</v>
      </c>
      <c r="L19" s="438">
        <v>1.0</v>
      </c>
    </row>
    <row r="20" ht="22.5" customHeight="1">
      <c r="B20" s="441" t="s">
        <v>231</v>
      </c>
      <c r="C20" s="442"/>
      <c r="D20" s="443">
        <v>1.53</v>
      </c>
      <c r="E20" s="444">
        <v>75.97414285714285</v>
      </c>
      <c r="F20" s="442" t="s">
        <v>700</v>
      </c>
      <c r="J20" s="437" t="s">
        <v>296</v>
      </c>
      <c r="K20" s="437" t="s">
        <v>370</v>
      </c>
      <c r="L20" s="438">
        <v>68.0</v>
      </c>
    </row>
    <row r="21" ht="22.5" customHeight="1">
      <c r="B21" s="433" t="s">
        <v>233</v>
      </c>
      <c r="C21" s="436"/>
      <c r="D21" s="435">
        <v>1.52</v>
      </c>
      <c r="E21" s="447">
        <v>76.18</v>
      </c>
      <c r="F21" s="436" t="s">
        <v>699</v>
      </c>
      <c r="J21" s="437" t="s">
        <v>296</v>
      </c>
      <c r="K21" s="437" t="s">
        <v>378</v>
      </c>
      <c r="L21" s="438">
        <v>61.0</v>
      </c>
    </row>
    <row r="22" ht="22.5" customHeight="1">
      <c r="B22" s="441" t="s">
        <v>232</v>
      </c>
      <c r="C22" s="442"/>
      <c r="D22" s="443">
        <v>1.82</v>
      </c>
      <c r="E22" s="444">
        <v>74.918375</v>
      </c>
      <c r="F22" s="442" t="s">
        <v>700</v>
      </c>
      <c r="J22" s="437" t="s">
        <v>298</v>
      </c>
      <c r="K22" s="437" t="s">
        <v>405</v>
      </c>
      <c r="L22" s="438">
        <v>30.0</v>
      </c>
    </row>
    <row r="23" ht="22.5" customHeight="1">
      <c r="B23" s="441" t="s">
        <v>235</v>
      </c>
      <c r="C23" s="442"/>
      <c r="D23" s="443">
        <v>1.57</v>
      </c>
      <c r="E23" s="444">
        <f>SERRANOS!L39</f>
        <v>73.488</v>
      </c>
      <c r="F23" s="442" t="s">
        <v>700</v>
      </c>
      <c r="J23" s="437" t="s">
        <v>298</v>
      </c>
      <c r="K23" s="437" t="s">
        <v>449</v>
      </c>
      <c r="L23" s="438">
        <v>11.0</v>
      </c>
    </row>
    <row r="24" ht="22.5" customHeight="1">
      <c r="B24" s="433" t="s">
        <v>705</v>
      </c>
      <c r="E24" s="448"/>
      <c r="J24" s="437" t="s">
        <v>296</v>
      </c>
      <c r="K24" s="437" t="s">
        <v>383</v>
      </c>
      <c r="L24" s="438">
        <v>59.0</v>
      </c>
    </row>
    <row r="25" ht="22.5" customHeight="1">
      <c r="B25" s="433" t="s">
        <v>236</v>
      </c>
      <c r="D25" s="435">
        <v>1.63</v>
      </c>
      <c r="E25" s="448">
        <f>SERRANOS!L11</f>
        <v>70.1695</v>
      </c>
      <c r="F25" s="436" t="s">
        <v>701</v>
      </c>
      <c r="J25" s="437" t="s">
        <v>296</v>
      </c>
      <c r="K25" s="437" t="s">
        <v>380</v>
      </c>
      <c r="L25" s="438">
        <v>59.0</v>
      </c>
    </row>
    <row r="26" ht="22.5" customHeight="1">
      <c r="B26" s="433" t="s">
        <v>706</v>
      </c>
      <c r="E26" s="448"/>
      <c r="J26" s="437" t="s">
        <v>294</v>
      </c>
      <c r="K26" s="437" t="s">
        <v>372</v>
      </c>
      <c r="L26" s="438">
        <v>58.0</v>
      </c>
    </row>
    <row r="27" ht="22.5" customHeight="1">
      <c r="B27" s="441" t="s">
        <v>237</v>
      </c>
      <c r="C27" s="442"/>
      <c r="D27" s="443">
        <v>1.57</v>
      </c>
      <c r="E27" s="444">
        <f>SERRANOS!L68</f>
        <v>73.4984142</v>
      </c>
      <c r="F27" s="442" t="s">
        <v>700</v>
      </c>
      <c r="J27" s="437" t="s">
        <v>359</v>
      </c>
      <c r="K27" s="437" t="s">
        <v>427</v>
      </c>
      <c r="L27" s="438">
        <v>56.0</v>
      </c>
    </row>
    <row r="28" ht="22.5" customHeight="1">
      <c r="B28" s="433" t="s">
        <v>707</v>
      </c>
      <c r="E28" s="448"/>
      <c r="J28" s="437" t="s">
        <v>298</v>
      </c>
      <c r="K28" s="437" t="s">
        <v>224</v>
      </c>
      <c r="L28" s="438">
        <v>11.0</v>
      </c>
    </row>
    <row r="29" ht="22.5" customHeight="1">
      <c r="B29" s="433" t="s">
        <v>238</v>
      </c>
      <c r="C29" s="436"/>
      <c r="D29" s="435">
        <v>1.5</v>
      </c>
      <c r="E29" s="447">
        <v>76.43</v>
      </c>
      <c r="F29" s="436" t="s">
        <v>699</v>
      </c>
      <c r="J29" s="437" t="s">
        <v>298</v>
      </c>
      <c r="K29" s="437" t="s">
        <v>459</v>
      </c>
      <c r="L29" s="438">
        <v>10.0</v>
      </c>
    </row>
    <row r="30" ht="22.5" customHeight="1">
      <c r="B30" s="436" t="s">
        <v>708</v>
      </c>
      <c r="E30" s="448"/>
      <c r="J30" s="437" t="s">
        <v>297</v>
      </c>
      <c r="K30" s="437" t="s">
        <v>385</v>
      </c>
      <c r="L30" s="438">
        <v>54.0</v>
      </c>
    </row>
    <row r="31" ht="22.5" customHeight="1">
      <c r="B31" s="449" t="s">
        <v>223</v>
      </c>
      <c r="C31" s="450"/>
      <c r="D31" s="451">
        <v>1.4</v>
      </c>
      <c r="E31" s="452">
        <v>61.44</v>
      </c>
      <c r="F31" s="450" t="s">
        <v>709</v>
      </c>
      <c r="J31" s="437" t="s">
        <v>297</v>
      </c>
      <c r="K31" s="437" t="s">
        <v>465</v>
      </c>
      <c r="L31" s="438">
        <v>29.0</v>
      </c>
    </row>
    <row r="32" ht="22.5" customHeight="1">
      <c r="B32" s="449" t="s">
        <v>224</v>
      </c>
      <c r="C32" s="453"/>
      <c r="D32" s="451">
        <v>1.34</v>
      </c>
      <c r="E32" s="454">
        <f>BOCATAS!L25</f>
        <v>70.491</v>
      </c>
      <c r="F32" s="450" t="s">
        <v>709</v>
      </c>
      <c r="J32" s="437" t="s">
        <v>297</v>
      </c>
      <c r="K32" s="437" t="s">
        <v>411</v>
      </c>
      <c r="L32" s="438">
        <v>21.0</v>
      </c>
    </row>
    <row r="33" ht="22.5" customHeight="1">
      <c r="B33" s="449" t="s">
        <v>710</v>
      </c>
      <c r="C33" s="453"/>
      <c r="D33" s="451">
        <v>1.4</v>
      </c>
      <c r="E33" s="454">
        <f>BOCATAS!L11</f>
        <v>61.45</v>
      </c>
      <c r="F33" s="450" t="s">
        <v>709</v>
      </c>
      <c r="J33" s="437" t="s">
        <v>297</v>
      </c>
      <c r="K33" s="437" t="s">
        <v>467</v>
      </c>
      <c r="L33" s="438">
        <v>6.0</v>
      </c>
    </row>
    <row r="34" ht="22.5" customHeight="1">
      <c r="B34" s="449" t="s">
        <v>225</v>
      </c>
      <c r="C34" s="453"/>
      <c r="D34" s="451">
        <v>1.27</v>
      </c>
      <c r="E34" s="454">
        <f>BOCATAS!L53</f>
        <v>71.965</v>
      </c>
      <c r="F34" s="450" t="s">
        <v>709</v>
      </c>
      <c r="J34" s="437" t="s">
        <v>439</v>
      </c>
      <c r="K34" s="437" t="s">
        <v>420</v>
      </c>
      <c r="L34" s="438"/>
    </row>
    <row r="35" ht="22.5" customHeight="1">
      <c r="B35" s="449" t="s">
        <v>229</v>
      </c>
      <c r="C35" s="453"/>
      <c r="D35" s="451">
        <v>1.33</v>
      </c>
      <c r="E35" s="454">
        <v>70.7682</v>
      </c>
      <c r="F35" s="450" t="s">
        <v>709</v>
      </c>
      <c r="J35" s="437" t="s">
        <v>439</v>
      </c>
      <c r="K35" s="437" t="s">
        <v>445</v>
      </c>
      <c r="L35" s="438">
        <v>30.0</v>
      </c>
    </row>
    <row r="36" ht="22.5" customHeight="1">
      <c r="B36" s="433" t="s">
        <v>228</v>
      </c>
      <c r="C36" s="436"/>
      <c r="D36" s="435">
        <v>1.31</v>
      </c>
      <c r="E36" s="447">
        <v>72.42</v>
      </c>
      <c r="F36" s="436" t="s">
        <v>699</v>
      </c>
      <c r="J36" s="437" t="s">
        <v>439</v>
      </c>
      <c r="K36" s="437" t="s">
        <v>453</v>
      </c>
      <c r="L36" s="438">
        <v>26.0</v>
      </c>
    </row>
    <row r="37" ht="22.5" customHeight="1">
      <c r="B37" s="433" t="s">
        <v>226</v>
      </c>
      <c r="C37" s="436"/>
      <c r="D37" s="435">
        <v>1.37</v>
      </c>
      <c r="E37" s="447">
        <v>69.89</v>
      </c>
      <c r="F37" s="436" t="s">
        <v>701</v>
      </c>
      <c r="J37" s="437" t="s">
        <v>439</v>
      </c>
      <c r="K37" s="437" t="s">
        <v>440</v>
      </c>
      <c r="L37" s="438">
        <v>25.0</v>
      </c>
    </row>
    <row r="38" ht="22.5" customHeight="1">
      <c r="B38" s="441" t="s">
        <v>227</v>
      </c>
      <c r="C38" s="442"/>
      <c r="D38" s="443">
        <v>1.37</v>
      </c>
      <c r="E38" s="444">
        <v>76.83</v>
      </c>
      <c r="F38" s="442" t="s">
        <v>700</v>
      </c>
      <c r="J38" s="437" t="s">
        <v>439</v>
      </c>
      <c r="K38" s="437" t="s">
        <v>438</v>
      </c>
      <c r="L38" s="438">
        <v>22.0</v>
      </c>
    </row>
    <row r="39" ht="22.5" customHeight="1">
      <c r="E39" s="448"/>
      <c r="J39" s="437" t="s">
        <v>439</v>
      </c>
      <c r="K39" s="437" t="s">
        <v>487</v>
      </c>
      <c r="L39" s="438">
        <v>13.0</v>
      </c>
    </row>
    <row r="40" ht="22.5" customHeight="1">
      <c r="E40" s="448"/>
      <c r="J40" s="437" t="s">
        <v>295</v>
      </c>
      <c r="K40" s="437" t="s">
        <v>390</v>
      </c>
      <c r="L40" s="438">
        <v>26.0</v>
      </c>
    </row>
    <row r="41" ht="22.5" customHeight="1">
      <c r="E41" s="448"/>
      <c r="J41" s="437" t="s">
        <v>295</v>
      </c>
      <c r="K41" s="437" t="s">
        <v>416</v>
      </c>
      <c r="L41" s="438">
        <v>26.0</v>
      </c>
    </row>
    <row r="42" ht="22.5" customHeight="1">
      <c r="B42" s="436"/>
      <c r="E42" s="448"/>
      <c r="J42" s="437" t="s">
        <v>295</v>
      </c>
      <c r="K42" s="437" t="s">
        <v>455</v>
      </c>
      <c r="L42" s="438">
        <v>17.0</v>
      </c>
    </row>
    <row r="43" ht="22.5" customHeight="1">
      <c r="J43" s="437" t="s">
        <v>295</v>
      </c>
      <c r="K43" s="437" t="s">
        <v>443</v>
      </c>
      <c r="L43" s="438">
        <v>14.0</v>
      </c>
    </row>
    <row r="44" ht="22.5" customHeight="1">
      <c r="B44" s="429" t="s">
        <v>240</v>
      </c>
      <c r="C44" s="430" t="s">
        <v>703</v>
      </c>
      <c r="D44" s="430" t="s">
        <v>696</v>
      </c>
      <c r="E44" s="429" t="s">
        <v>697</v>
      </c>
      <c r="F44" s="431" t="s">
        <v>704</v>
      </c>
      <c r="J44" s="437" t="s">
        <v>295</v>
      </c>
      <c r="K44" s="437" t="s">
        <v>471</v>
      </c>
      <c r="L44" s="438">
        <v>10.0</v>
      </c>
    </row>
    <row r="45" ht="22.5" customHeight="1">
      <c r="B45" s="433" t="s">
        <v>711</v>
      </c>
      <c r="C45" s="445"/>
      <c r="D45" s="455">
        <v>2.13</v>
      </c>
      <c r="E45" s="456">
        <v>76.36379756468799</v>
      </c>
      <c r="H45" s="205"/>
      <c r="J45" s="437" t="s">
        <v>295</v>
      </c>
      <c r="K45" s="437" t="s">
        <v>495</v>
      </c>
      <c r="L45" s="438">
        <v>3.0</v>
      </c>
    </row>
    <row r="46" ht="22.5" customHeight="1">
      <c r="B46" s="441" t="s">
        <v>243</v>
      </c>
      <c r="C46" s="442"/>
      <c r="D46" s="443">
        <v>1.97</v>
      </c>
      <c r="E46" s="457">
        <v>72.91971296501238</v>
      </c>
      <c r="F46" s="442" t="s">
        <v>700</v>
      </c>
      <c r="J46" s="437" t="s">
        <v>293</v>
      </c>
      <c r="K46" s="437" t="s">
        <v>349</v>
      </c>
      <c r="L46" s="438">
        <v>142.0</v>
      </c>
    </row>
    <row r="47" ht="22.5" customHeight="1">
      <c r="B47" s="441" t="s">
        <v>244</v>
      </c>
      <c r="C47" s="442"/>
      <c r="D47" s="443">
        <v>2.01</v>
      </c>
      <c r="E47" s="457">
        <v>72.6681600877193</v>
      </c>
      <c r="F47" s="442" t="s">
        <v>700</v>
      </c>
      <c r="J47" s="437" t="s">
        <v>293</v>
      </c>
      <c r="K47" s="437" t="s">
        <v>352</v>
      </c>
      <c r="L47" s="438">
        <v>135.0</v>
      </c>
    </row>
    <row r="48" ht="22.5" customHeight="1">
      <c r="B48" s="458" t="s">
        <v>245</v>
      </c>
      <c r="C48" s="458"/>
      <c r="D48" s="458"/>
      <c r="E48" s="459">
        <v>72.29</v>
      </c>
      <c r="J48" s="437" t="s">
        <v>293</v>
      </c>
      <c r="K48" s="437" t="s">
        <v>356</v>
      </c>
      <c r="L48" s="438">
        <v>98.0</v>
      </c>
    </row>
    <row r="49" ht="22.5" customHeight="1">
      <c r="B49" s="433" t="s">
        <v>246</v>
      </c>
      <c r="C49" s="436"/>
      <c r="D49" s="435">
        <v>2.58</v>
      </c>
      <c r="E49" s="460">
        <v>64.59</v>
      </c>
      <c r="F49" s="436" t="s">
        <v>701</v>
      </c>
      <c r="J49" s="437" t="s">
        <v>293</v>
      </c>
      <c r="K49" s="437" t="s">
        <v>368</v>
      </c>
      <c r="L49" s="438">
        <v>88.0</v>
      </c>
    </row>
    <row r="50" ht="22.5" customHeight="1">
      <c r="J50" s="437" t="s">
        <v>293</v>
      </c>
      <c r="K50" s="437" t="s">
        <v>362</v>
      </c>
      <c r="L50" s="438">
        <v>86.0</v>
      </c>
    </row>
    <row r="51" ht="22.5" customHeight="1">
      <c r="J51" s="437" t="s">
        <v>293</v>
      </c>
      <c r="K51" s="437" t="s">
        <v>376</v>
      </c>
      <c r="L51" s="438">
        <v>65.0</v>
      </c>
    </row>
    <row r="52" ht="22.5" customHeight="1">
      <c r="B52" s="429" t="s">
        <v>258</v>
      </c>
      <c r="C52" s="431" t="s">
        <v>703</v>
      </c>
      <c r="D52" s="431" t="s">
        <v>696</v>
      </c>
      <c r="E52" s="431" t="s">
        <v>712</v>
      </c>
      <c r="F52" s="431" t="s">
        <v>713</v>
      </c>
      <c r="J52" s="437" t="s">
        <v>293</v>
      </c>
      <c r="K52" s="437" t="s">
        <v>400</v>
      </c>
      <c r="L52" s="438">
        <v>21.0</v>
      </c>
    </row>
    <row r="53" ht="22.5" customHeight="1">
      <c r="B53" s="441" t="s">
        <v>262</v>
      </c>
      <c r="C53" s="442"/>
      <c r="D53" s="443">
        <v>0.7</v>
      </c>
      <c r="E53" s="457">
        <v>84.5640647368421</v>
      </c>
      <c r="F53" s="442" t="s">
        <v>700</v>
      </c>
      <c r="J53" s="437" t="s">
        <v>293</v>
      </c>
      <c r="K53" s="437" t="s">
        <v>433</v>
      </c>
      <c r="L53" s="438">
        <v>20.0</v>
      </c>
    </row>
    <row r="54" ht="22.5" customHeight="1">
      <c r="B54" s="441" t="s">
        <v>263</v>
      </c>
      <c r="C54" s="442"/>
      <c r="D54" s="443">
        <v>0.98</v>
      </c>
      <c r="E54" s="457">
        <v>84.56390244530245</v>
      </c>
      <c r="F54" s="442" t="s">
        <v>700</v>
      </c>
      <c r="J54" s="437" t="s">
        <v>293</v>
      </c>
      <c r="K54" s="437" t="s">
        <v>514</v>
      </c>
      <c r="L54" s="438">
        <v>19.0</v>
      </c>
    </row>
    <row r="55" ht="22.5" customHeight="1">
      <c r="B55" s="441" t="s">
        <v>260</v>
      </c>
      <c r="C55" s="442"/>
      <c r="D55" s="443">
        <v>1.56</v>
      </c>
      <c r="E55" s="457">
        <v>71.42004364035088</v>
      </c>
      <c r="F55" s="442" t="s">
        <v>700</v>
      </c>
      <c r="J55" s="437" t="s">
        <v>359</v>
      </c>
      <c r="K55" s="437" t="s">
        <v>418</v>
      </c>
      <c r="L55" s="438">
        <v>74.0</v>
      </c>
    </row>
    <row r="56" ht="22.5" customHeight="1">
      <c r="B56" s="449" t="s">
        <v>261</v>
      </c>
      <c r="C56" s="450"/>
      <c r="D56" s="451">
        <v>1.83</v>
      </c>
      <c r="E56" s="452">
        <v>66.40404364035086</v>
      </c>
      <c r="F56" s="450" t="s">
        <v>709</v>
      </c>
      <c r="J56" s="437" t="s">
        <v>359</v>
      </c>
      <c r="K56" s="437" t="s">
        <v>484</v>
      </c>
      <c r="L56" s="438">
        <v>71.0</v>
      </c>
    </row>
    <row r="57" ht="22.5" customHeight="1">
      <c r="B57" s="449" t="s">
        <v>259</v>
      </c>
      <c r="C57" s="450"/>
      <c r="D57" s="451">
        <v>2.42</v>
      </c>
      <c r="E57" s="452">
        <v>55.556210307017544</v>
      </c>
      <c r="F57" s="450" t="s">
        <v>709</v>
      </c>
      <c r="J57" s="437" t="s">
        <v>359</v>
      </c>
      <c r="K57" s="437" t="s">
        <v>470</v>
      </c>
      <c r="L57" s="438">
        <v>52.0</v>
      </c>
    </row>
    <row r="58" ht="22.5" customHeight="1">
      <c r="B58" s="433" t="s">
        <v>714</v>
      </c>
      <c r="D58" s="435">
        <v>2.81</v>
      </c>
      <c r="E58" s="445">
        <v>48.43921030701755</v>
      </c>
      <c r="F58" s="436" t="s">
        <v>701</v>
      </c>
      <c r="J58" s="437" t="s">
        <v>359</v>
      </c>
      <c r="K58" s="437" t="s">
        <v>715</v>
      </c>
      <c r="L58" s="438">
        <v>50.0</v>
      </c>
      <c r="N58" s="177">
        <f>L50+L56</f>
        <v>157</v>
      </c>
    </row>
    <row r="59" ht="22.5" customHeight="1">
      <c r="J59" s="437" t="s">
        <v>359</v>
      </c>
      <c r="K59" s="437" t="s">
        <v>360</v>
      </c>
      <c r="L59" s="438">
        <v>47.0</v>
      </c>
    </row>
    <row r="60" ht="22.5" customHeight="1">
      <c r="J60" s="437" t="s">
        <v>359</v>
      </c>
      <c r="K60" s="437" t="s">
        <v>356</v>
      </c>
      <c r="L60" s="438">
        <v>43.0</v>
      </c>
    </row>
    <row r="61" ht="22.5" customHeight="1">
      <c r="B61" s="429" t="s">
        <v>716</v>
      </c>
      <c r="C61" s="431" t="s">
        <v>703</v>
      </c>
      <c r="D61" s="431" t="s">
        <v>696</v>
      </c>
      <c r="E61" s="431" t="s">
        <v>712</v>
      </c>
      <c r="F61" s="431" t="s">
        <v>713</v>
      </c>
      <c r="J61" s="437" t="s">
        <v>359</v>
      </c>
      <c r="K61" s="437" t="s">
        <v>364</v>
      </c>
      <c r="L61" s="438">
        <v>41.0</v>
      </c>
    </row>
    <row r="62" ht="22.5" customHeight="1">
      <c r="B62" s="433" t="s">
        <v>717</v>
      </c>
      <c r="E62" s="445">
        <v>81.12259803921569</v>
      </c>
      <c r="J62" s="437" t="s">
        <v>359</v>
      </c>
      <c r="K62" s="437" t="s">
        <v>447</v>
      </c>
      <c r="L62" s="438">
        <v>19.0</v>
      </c>
    </row>
    <row r="63" ht="22.5" customHeight="1">
      <c r="B63" s="461"/>
      <c r="E63" s="445"/>
      <c r="J63" s="437" t="s">
        <v>359</v>
      </c>
      <c r="K63" s="437" t="s">
        <v>250</v>
      </c>
      <c r="L63" s="438">
        <v>17.0</v>
      </c>
    </row>
    <row r="64" ht="22.5" customHeight="1">
      <c r="J64" s="437" t="s">
        <v>359</v>
      </c>
      <c r="K64" s="437" t="s">
        <v>499</v>
      </c>
      <c r="L64" s="438">
        <v>16.0</v>
      </c>
    </row>
    <row r="65" ht="22.5" customHeight="1">
      <c r="J65" s="437" t="s">
        <v>359</v>
      </c>
      <c r="K65" s="437" t="s">
        <v>519</v>
      </c>
      <c r="L65" s="438">
        <v>11.0</v>
      </c>
    </row>
    <row r="66" ht="22.5" customHeight="1">
      <c r="J66" s="437" t="s">
        <v>359</v>
      </c>
      <c r="K66" s="437" t="s">
        <v>468</v>
      </c>
      <c r="L66" s="438">
        <v>8.0</v>
      </c>
    </row>
    <row r="67" ht="22.5" customHeight="1">
      <c r="J67" s="437" t="s">
        <v>422</v>
      </c>
      <c r="K67" s="437" t="s">
        <v>500</v>
      </c>
      <c r="L67" s="438">
        <v>63.0</v>
      </c>
    </row>
    <row r="68" ht="22.5" customHeight="1">
      <c r="B68" s="429" t="s">
        <v>266</v>
      </c>
      <c r="C68" s="431" t="s">
        <v>703</v>
      </c>
      <c r="D68" s="431" t="s">
        <v>696</v>
      </c>
      <c r="E68" s="431" t="s">
        <v>712</v>
      </c>
      <c r="F68" s="431" t="s">
        <v>713</v>
      </c>
      <c r="J68" s="437" t="s">
        <v>422</v>
      </c>
      <c r="K68" s="437" t="s">
        <v>474</v>
      </c>
      <c r="L68" s="438">
        <v>47.0</v>
      </c>
    </row>
    <row r="69" ht="22.5" customHeight="1">
      <c r="B69" s="461" t="s">
        <v>267</v>
      </c>
      <c r="E69" s="445"/>
      <c r="J69" s="437" t="s">
        <v>422</v>
      </c>
      <c r="K69" s="437" t="s">
        <v>452</v>
      </c>
      <c r="L69" s="438">
        <v>40.0</v>
      </c>
    </row>
    <row r="70" ht="22.5" customHeight="1">
      <c r="B70" s="461" t="s">
        <v>268</v>
      </c>
      <c r="E70" s="445"/>
      <c r="J70" s="437" t="s">
        <v>422</v>
      </c>
      <c r="K70" s="437" t="s">
        <v>423</v>
      </c>
      <c r="L70" s="438">
        <v>31.0</v>
      </c>
    </row>
    <row r="71" ht="22.5" customHeight="1">
      <c r="J71" s="437" t="s">
        <v>422</v>
      </c>
      <c r="K71" s="437" t="s">
        <v>538</v>
      </c>
      <c r="L71" s="438">
        <v>17.0</v>
      </c>
    </row>
    <row r="72" ht="22.5" customHeight="1">
      <c r="J72" s="437" t="s">
        <v>422</v>
      </c>
      <c r="K72" s="437" t="s">
        <v>497</v>
      </c>
      <c r="L72" s="438">
        <v>17.0</v>
      </c>
    </row>
    <row r="73" ht="22.5" customHeight="1">
      <c r="B73" s="462" t="s">
        <v>718</v>
      </c>
      <c r="C73" s="431" t="s">
        <v>703</v>
      </c>
      <c r="D73" s="431" t="s">
        <v>696</v>
      </c>
      <c r="E73" s="431" t="s">
        <v>712</v>
      </c>
      <c r="F73" s="431" t="s">
        <v>719</v>
      </c>
      <c r="J73" s="437" t="s">
        <v>422</v>
      </c>
      <c r="K73" s="437" t="s">
        <v>720</v>
      </c>
      <c r="L73" s="438">
        <v>6.0</v>
      </c>
    </row>
    <row r="74" ht="22.5" customHeight="1">
      <c r="B74" s="461" t="s">
        <v>721</v>
      </c>
      <c r="D74" s="463">
        <v>0.13</v>
      </c>
      <c r="E74" s="445">
        <v>88.39237127128658</v>
      </c>
      <c r="J74" s="437" t="s">
        <v>395</v>
      </c>
      <c r="K74" s="437" t="s">
        <v>396</v>
      </c>
      <c r="L74" s="438">
        <v>39.0</v>
      </c>
    </row>
    <row r="75" ht="22.5" customHeight="1">
      <c r="B75" s="461" t="s">
        <v>722</v>
      </c>
      <c r="D75" s="463">
        <v>0.16</v>
      </c>
      <c r="E75" s="445">
        <v>85.23096448386904</v>
      </c>
      <c r="J75" s="437" t="s">
        <v>395</v>
      </c>
      <c r="K75" s="437" t="s">
        <v>436</v>
      </c>
      <c r="L75" s="438">
        <v>19.0</v>
      </c>
    </row>
    <row r="76" ht="22.5" customHeight="1">
      <c r="B76" s="461" t="s">
        <v>723</v>
      </c>
      <c r="D76" s="463">
        <v>0.1</v>
      </c>
      <c r="E76" s="445">
        <v>77.030843492148</v>
      </c>
      <c r="F76" s="445">
        <v>84.68722899476532</v>
      </c>
      <c r="J76" s="437" t="s">
        <v>395</v>
      </c>
      <c r="K76" s="437" t="s">
        <v>464</v>
      </c>
      <c r="L76" s="438">
        <v>15.0</v>
      </c>
    </row>
    <row r="77" ht="22.5" customHeight="1">
      <c r="B77" s="461" t="s">
        <v>724</v>
      </c>
      <c r="D77" s="463">
        <v>0.26</v>
      </c>
      <c r="E77" s="445">
        <v>71.1085</v>
      </c>
      <c r="J77" s="437" t="s">
        <v>395</v>
      </c>
      <c r="K77" s="437" t="s">
        <v>525</v>
      </c>
      <c r="L77" s="438">
        <v>8.0</v>
      </c>
    </row>
    <row r="78" ht="22.5" customHeight="1">
      <c r="B78" s="461" t="s">
        <v>211</v>
      </c>
      <c r="D78" s="463">
        <v>0.32</v>
      </c>
      <c r="E78" s="445">
        <v>71.06541666666666</v>
      </c>
      <c r="J78" s="437" t="s">
        <v>395</v>
      </c>
      <c r="K78" s="437" t="s">
        <v>425</v>
      </c>
      <c r="L78" s="438">
        <v>3.0</v>
      </c>
    </row>
    <row r="79" ht="22.5" customHeight="1">
      <c r="B79" s="461" t="s">
        <v>208</v>
      </c>
      <c r="D79" s="463">
        <v>0.58</v>
      </c>
      <c r="E79" s="445">
        <v>68.24017465753424</v>
      </c>
      <c r="J79" s="437" t="s">
        <v>480</v>
      </c>
      <c r="K79" s="437" t="s">
        <v>481</v>
      </c>
      <c r="L79" s="438">
        <v>26.0</v>
      </c>
    </row>
    <row r="80" ht="22.5" customHeight="1">
      <c r="B80" s="461" t="s">
        <v>210</v>
      </c>
      <c r="D80" s="463">
        <v>0.15</v>
      </c>
      <c r="E80" s="445">
        <v>66.98483783783784</v>
      </c>
      <c r="F80" s="445">
        <v>77.98989189189189</v>
      </c>
      <c r="J80" s="437" t="s">
        <v>413</v>
      </c>
      <c r="K80" s="437" t="s">
        <v>414</v>
      </c>
      <c r="L80" s="438">
        <v>345.0</v>
      </c>
    </row>
    <row r="81" ht="22.5" customHeight="1">
      <c r="B81" s="461" t="s">
        <v>725</v>
      </c>
      <c r="D81" s="463">
        <v>0.18</v>
      </c>
      <c r="E81" s="445">
        <v>60.025812764728535</v>
      </c>
      <c r="F81" s="445">
        <v>73.35054184315236</v>
      </c>
      <c r="J81" s="437" t="s">
        <v>413</v>
      </c>
      <c r="K81" s="437" t="s">
        <v>529</v>
      </c>
      <c r="L81" s="438">
        <v>9.0</v>
      </c>
    </row>
    <row r="82" ht="22.5" customHeight="1">
      <c r="B82" s="461" t="s">
        <v>726</v>
      </c>
      <c r="D82" s="463">
        <v>0.18</v>
      </c>
      <c r="E82" s="445">
        <v>59.314567567567565</v>
      </c>
      <c r="J82" s="437" t="s">
        <v>413</v>
      </c>
      <c r="K82" s="437" t="s">
        <v>509</v>
      </c>
      <c r="L82" s="438">
        <v>8.0</v>
      </c>
    </row>
    <row r="83" ht="22.5" customHeight="1">
      <c r="B83" s="461" t="s">
        <v>727</v>
      </c>
      <c r="D83" s="463">
        <v>0.19</v>
      </c>
      <c r="E83" s="445">
        <v>58.226857718120804</v>
      </c>
      <c r="F83" s="445">
        <v>72.1512384787472</v>
      </c>
      <c r="J83" s="437" t="s">
        <v>294</v>
      </c>
      <c r="K83" s="437" t="s">
        <v>354</v>
      </c>
      <c r="L83" s="438">
        <v>227.0</v>
      </c>
    </row>
    <row r="84" ht="22.5" customHeight="1">
      <c r="B84" s="461" t="s">
        <v>728</v>
      </c>
      <c r="D84" s="463">
        <v>0.19</v>
      </c>
      <c r="E84" s="445">
        <v>57.78712368421052</v>
      </c>
      <c r="F84" s="445">
        <v>71.85808245614035</v>
      </c>
      <c r="J84" s="437" t="s">
        <v>294</v>
      </c>
      <c r="K84" s="437" t="s">
        <v>374</v>
      </c>
      <c r="L84" s="438">
        <v>60.0</v>
      </c>
    </row>
    <row r="85" ht="22.5" customHeight="1">
      <c r="J85" s="437" t="s">
        <v>294</v>
      </c>
      <c r="K85" s="437" t="s">
        <v>393</v>
      </c>
      <c r="L85" s="438">
        <v>39.0</v>
      </c>
    </row>
    <row r="86" ht="22.5" customHeight="1">
      <c r="J86" s="437" t="s">
        <v>284</v>
      </c>
      <c r="K86" s="437" t="s">
        <v>409</v>
      </c>
      <c r="L86" s="438">
        <v>100.0</v>
      </c>
      <c r="N86" s="177">
        <f>L91+L32</f>
        <v>47</v>
      </c>
    </row>
    <row r="87" ht="22.5" customHeight="1">
      <c r="J87" s="437" t="s">
        <v>284</v>
      </c>
      <c r="K87" s="437" t="s">
        <v>460</v>
      </c>
      <c r="L87" s="438">
        <v>97.0</v>
      </c>
    </row>
    <row r="88" ht="22.5" customHeight="1">
      <c r="J88" s="437" t="s">
        <v>284</v>
      </c>
      <c r="K88" s="437" t="s">
        <v>435</v>
      </c>
      <c r="L88" s="438">
        <v>72.0</v>
      </c>
    </row>
    <row r="89" ht="22.5" customHeight="1">
      <c r="J89" s="437" t="s">
        <v>284</v>
      </c>
      <c r="K89" s="437" t="s">
        <v>493</v>
      </c>
      <c r="L89" s="438">
        <v>45.0</v>
      </c>
    </row>
    <row r="90" ht="22.5" customHeight="1">
      <c r="J90" s="437" t="s">
        <v>284</v>
      </c>
      <c r="K90" s="437" t="s">
        <v>462</v>
      </c>
      <c r="L90" s="438">
        <v>45.0</v>
      </c>
    </row>
    <row r="91" ht="22.5" customHeight="1">
      <c r="J91" s="437" t="s">
        <v>284</v>
      </c>
      <c r="K91" s="437" t="s">
        <v>503</v>
      </c>
      <c r="L91" s="438">
        <v>26.0</v>
      </c>
    </row>
    <row r="92" ht="22.5" customHeight="1">
      <c r="J92" s="437" t="s">
        <v>284</v>
      </c>
      <c r="K92" s="437" t="s">
        <v>506</v>
      </c>
      <c r="L92" s="438">
        <v>10.0</v>
      </c>
    </row>
    <row r="93" ht="22.5" customHeight="1">
      <c r="J93" s="437" t="s">
        <v>284</v>
      </c>
      <c r="K93" s="437" t="s">
        <v>464</v>
      </c>
      <c r="L93" s="438">
        <v>7.0</v>
      </c>
    </row>
    <row r="94" ht="22.5" customHeight="1">
      <c r="J94" s="437" t="s">
        <v>284</v>
      </c>
      <c r="K94" s="437" t="s">
        <v>425</v>
      </c>
      <c r="L94" s="438">
        <v>4.0</v>
      </c>
    </row>
    <row r="95" ht="22.5" customHeight="1">
      <c r="J95" s="437" t="s">
        <v>515</v>
      </c>
      <c r="K95" s="437" t="s">
        <v>516</v>
      </c>
      <c r="L95" s="438">
        <v>12.0</v>
      </c>
    </row>
    <row r="96" ht="22.5" customHeight="1">
      <c r="J96" s="437" t="s">
        <v>515</v>
      </c>
      <c r="K96" s="437" t="s">
        <v>535</v>
      </c>
      <c r="L96" s="438">
        <v>8.0</v>
      </c>
    </row>
    <row r="97" ht="22.5" customHeight="1">
      <c r="J97" s="437" t="s">
        <v>515</v>
      </c>
      <c r="K97" s="437" t="s">
        <v>533</v>
      </c>
      <c r="L97" s="438">
        <v>6.0</v>
      </c>
    </row>
    <row r="98" ht="22.5" customHeight="1">
      <c r="J98" s="437" t="s">
        <v>515</v>
      </c>
      <c r="K98" s="437" t="s">
        <v>729</v>
      </c>
      <c r="L98" s="438">
        <v>3.0</v>
      </c>
    </row>
    <row r="99" ht="22.5" customHeight="1">
      <c r="J99" s="437" t="s">
        <v>515</v>
      </c>
      <c r="K99" s="437" t="s">
        <v>558</v>
      </c>
      <c r="L99" s="438">
        <v>2.0</v>
      </c>
    </row>
    <row r="100" ht="22.5" customHeight="1">
      <c r="J100" s="437" t="s">
        <v>515</v>
      </c>
      <c r="K100" s="437" t="s">
        <v>551</v>
      </c>
      <c r="L100" s="438">
        <v>2.0</v>
      </c>
    </row>
    <row r="101" ht="22.5" customHeight="1">
      <c r="J101" s="437" t="s">
        <v>515</v>
      </c>
      <c r="K101" s="437" t="s">
        <v>545</v>
      </c>
      <c r="L101" s="438">
        <v>1.0</v>
      </c>
    </row>
    <row r="102" ht="22.5" customHeight="1">
      <c r="J102" s="437" t="s">
        <v>522</v>
      </c>
      <c r="K102" s="437" t="s">
        <v>523</v>
      </c>
      <c r="L102" s="438">
        <v>19.0</v>
      </c>
    </row>
    <row r="103" ht="22.5" customHeight="1">
      <c r="J103" s="437" t="s">
        <v>522</v>
      </c>
      <c r="K103" s="437" t="s">
        <v>530</v>
      </c>
      <c r="L103" s="438">
        <v>10.0</v>
      </c>
    </row>
    <row r="104" ht="22.5" customHeight="1">
      <c r="J104" s="437" t="s">
        <v>522</v>
      </c>
      <c r="K104" s="437" t="s">
        <v>544</v>
      </c>
      <c r="L104" s="438">
        <v>7.0</v>
      </c>
    </row>
    <row r="105" ht="22.5" customHeight="1">
      <c r="J105" s="437" t="s">
        <v>522</v>
      </c>
      <c r="K105" s="437" t="s">
        <v>540</v>
      </c>
      <c r="L105" s="438">
        <v>4.0</v>
      </c>
    </row>
  </sheetData>
  <dataValidations>
    <dataValidation type="custom" allowBlank="1" showDropDown="1" sqref="E19:E42 E45:E49 D74:D84">
      <formula1>AND(ISNUMBER(D19),(NOT(OR(NOT(ISERROR(DATEVALUE(D19))), AND(ISNUMBER(D19), LEFT(CELL("format", D19))="D")))))</formula1>
    </dataValidation>
  </dataValidations>
  <hyperlinks>
    <hyperlink display="CRUJIPOLLO BBQ" location="null!A1" ref="B6"/>
    <hyperlink display="CRUJIPOLLO ORIGINAL " location="null!A1" ref="B7"/>
    <hyperlink display="MAKA" location="null!A1" ref="B8"/>
    <hyperlink display="BICHOTA" location="null!A1" ref="B9"/>
    <hyperlink display="DADDY" location="null!A1" ref="B10"/>
    <hyperlink display="DOBLE QUESOS" location="BURGERS!A1" ref="B11"/>
    <hyperlink display="CERO15" location="null!A1" ref="B12"/>
    <hyperlink display="KAROL " location="null!A1" ref="B13"/>
    <hyperlink display="BARRIERA" location="null!A1" ref="B14"/>
    <hyperlink display="BARBARA" location="null!A1" ref="B19"/>
    <hyperlink display="CRISTIAN" location="null!A1" ref="B20"/>
    <hyperlink display="GUARRITO" location="null!A1" ref="B21"/>
    <hyperlink display="JAKINIÑO" location="null!A1" ref="B22"/>
    <hyperlink display="SERRANO EMPANADO" location="null!A1" ref="B23"/>
    <hyperlink display="SERRANO EMPANADO + 3 Q" location="null!A1" ref="B24"/>
    <hyperlink display="SERRANO POLLO" location="SERRANOS!A1" ref="B25"/>
    <hyperlink display="SERRANO POLLO + 3 Q" location="SERRANOS!A1" ref="B26"/>
    <hyperlink display="SERRANO POLLO ASADO" location="null!A1" ref="B27"/>
    <hyperlink display="SERRANO POLLO ASADO + 3 Q" location="null!A1" ref="B28"/>
    <hyperlink display="SERRANO SOLOMILLO" location="null!A1" ref="B29"/>
    <hyperlink display="SIMPLE ASADO" location="null!A1" ref="B31"/>
    <hyperlink display="SIMPLE EMPANADO" location="null!A1" ref="B32"/>
    <hyperlink display="SIMPLE POLLO" location="BOCATAS!A1" ref="B33"/>
    <hyperlink display="SIMPLE SOLOMILO" location="null!A1" ref="B34"/>
    <hyperlink display="VEGETAL ATUN" location="null!A1" ref="B35"/>
    <hyperlink display="VEGETAL EMPANADO" location="null!A1" ref="B36"/>
    <hyperlink display="VEGETAL POLLO" location="null!A1" ref="B37"/>
    <hyperlink display="VEGETAL POLLO ASADO" location="null!A1" ref="B38"/>
    <hyperlink display="NAVIDAD" location="null!A1" ref="B45"/>
    <hyperlink display="GYPSY" location="null!A1" ref="B46"/>
    <hyperlink display="CHICKEN FRIED" location="'BRIOCH-SUBS'!A1" ref="B47"/>
    <hyperlink display="SMASH SERRANO" location="null!A1" ref="B49"/>
    <hyperlink display="BOX PATATAS" location="null!A1" ref="B53"/>
    <hyperlink display="BOX PAPAS PULLED PORK " location="null!A1" ref="B54"/>
    <hyperlink display="BOX LAGRIMITAS" location="null!A1" ref="B55"/>
    <hyperlink display="BOX NUGGETS" location="ENTRANTES!A1" ref="B56"/>
    <hyperlink display="BOX ALITAS" location="null!A1" ref="B57"/>
    <hyperlink display="BOX TEKILLOS " location="null!A1" ref="B58"/>
    <hyperlink display="CARTUCHO PATATAS EXTRA" location="null!A1" ref="B62"/>
    <hyperlink display="TARROS SALSAS" location="'TARROS SALSA'!A1" ref="B73"/>
  </hyperlink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50.75"/>
  </cols>
  <sheetData>
    <row r="1">
      <c r="A1" s="201" t="s">
        <v>345</v>
      </c>
      <c r="B1" s="201" t="s">
        <v>213</v>
      </c>
      <c r="C1" s="201" t="s">
        <v>346</v>
      </c>
      <c r="D1" s="201" t="s">
        <v>347</v>
      </c>
    </row>
    <row r="2">
      <c r="A2" s="201" t="s">
        <v>391</v>
      </c>
      <c r="B2" s="201" t="s">
        <v>392</v>
      </c>
      <c r="C2" s="202">
        <v>8.0</v>
      </c>
      <c r="D2" s="202">
        <v>9.6</v>
      </c>
      <c r="E2" s="177">
        <f>C98</f>
        <v>163</v>
      </c>
      <c r="F2" s="175" t="s">
        <v>730</v>
      </c>
    </row>
    <row r="3">
      <c r="A3" s="201" t="s">
        <v>357</v>
      </c>
      <c r="B3" s="201" t="s">
        <v>358</v>
      </c>
      <c r="C3" s="202">
        <v>112.0</v>
      </c>
      <c r="D3" s="202">
        <v>168.0</v>
      </c>
      <c r="E3" s="177">
        <f>C97</f>
        <v>33</v>
      </c>
      <c r="F3" s="171" t="s">
        <v>223</v>
      </c>
      <c r="G3" s="177">
        <v>33.0</v>
      </c>
    </row>
    <row r="4">
      <c r="A4" s="201" t="s">
        <v>391</v>
      </c>
      <c r="B4" s="201" t="s">
        <v>397</v>
      </c>
      <c r="C4" s="202">
        <v>1.0</v>
      </c>
      <c r="D4" s="202">
        <v>1.6</v>
      </c>
      <c r="E4" s="177">
        <f t="shared" ref="E4:E5" si="1">C99</f>
        <v>31</v>
      </c>
      <c r="F4" s="464" t="s">
        <v>224</v>
      </c>
      <c r="G4" s="177">
        <v>31.0</v>
      </c>
    </row>
    <row r="5">
      <c r="A5" s="201" t="s">
        <v>357</v>
      </c>
      <c r="B5" s="201" t="s">
        <v>363</v>
      </c>
      <c r="C5" s="202">
        <v>29.0</v>
      </c>
      <c r="D5" s="202">
        <v>46.4</v>
      </c>
      <c r="E5" s="177">
        <f t="shared" si="1"/>
        <v>19</v>
      </c>
      <c r="F5" s="464" t="s">
        <v>225</v>
      </c>
      <c r="G5" s="177">
        <v>19.0</v>
      </c>
    </row>
    <row r="6">
      <c r="A6" s="201" t="s">
        <v>391</v>
      </c>
      <c r="B6" s="201" t="s">
        <v>401</v>
      </c>
      <c r="C6" s="202">
        <v>4.0</v>
      </c>
      <c r="D6" s="202">
        <v>6.4</v>
      </c>
      <c r="E6" s="177">
        <f>C138+C63</f>
        <v>218</v>
      </c>
      <c r="F6" s="171" t="s">
        <v>226</v>
      </c>
      <c r="G6" s="177">
        <v>218.0</v>
      </c>
    </row>
    <row r="7">
      <c r="A7" s="201" t="s">
        <v>296</v>
      </c>
      <c r="B7" s="201" t="s">
        <v>383</v>
      </c>
      <c r="C7" s="202">
        <v>249.0</v>
      </c>
      <c r="D7" s="203">
        <v>1252.5</v>
      </c>
      <c r="E7" s="177">
        <f>C63+C139+C136+C135</f>
        <v>173</v>
      </c>
      <c r="F7" s="171" t="s">
        <v>227</v>
      </c>
      <c r="G7" s="177">
        <v>173.0</v>
      </c>
    </row>
    <row r="8">
      <c r="A8" s="201" t="s">
        <v>359</v>
      </c>
      <c r="B8" s="201" t="s">
        <v>407</v>
      </c>
      <c r="C8" s="202">
        <v>63.0</v>
      </c>
      <c r="D8" s="202">
        <v>630.7</v>
      </c>
      <c r="E8" s="177">
        <f>C137</f>
        <v>25</v>
      </c>
      <c r="F8" s="171" t="s">
        <v>228</v>
      </c>
      <c r="G8" s="177">
        <v>25.0</v>
      </c>
    </row>
    <row r="9">
      <c r="A9" s="201" t="s">
        <v>293</v>
      </c>
      <c r="B9" s="201" t="s">
        <v>362</v>
      </c>
      <c r="C9" s="202">
        <v>301.0</v>
      </c>
      <c r="D9" s="203">
        <v>2307.9</v>
      </c>
      <c r="E9" s="177">
        <f>C134</f>
        <v>35</v>
      </c>
      <c r="F9" s="171" t="s">
        <v>229</v>
      </c>
      <c r="G9" s="177">
        <v>35.0</v>
      </c>
    </row>
    <row r="10">
      <c r="A10" s="201" t="s">
        <v>359</v>
      </c>
      <c r="B10" s="201" t="s">
        <v>418</v>
      </c>
      <c r="C10" s="202">
        <v>52.0</v>
      </c>
      <c r="D10" s="202">
        <v>639.6</v>
      </c>
      <c r="E10" s="177">
        <f>C7</f>
        <v>249</v>
      </c>
      <c r="F10" s="171" t="s">
        <v>230</v>
      </c>
      <c r="G10" s="177">
        <v>249.0</v>
      </c>
    </row>
    <row r="11">
      <c r="A11" s="201" t="s">
        <v>293</v>
      </c>
      <c r="B11" s="201" t="s">
        <v>349</v>
      </c>
      <c r="C11" s="202">
        <v>480.0</v>
      </c>
      <c r="D11" s="203">
        <v>4848.0</v>
      </c>
      <c r="E11" s="177">
        <f>C36</f>
        <v>188</v>
      </c>
      <c r="F11" s="171" t="s">
        <v>231</v>
      </c>
      <c r="G11" s="177">
        <v>188.0</v>
      </c>
    </row>
    <row r="12">
      <c r="A12" s="201" t="s">
        <v>293</v>
      </c>
      <c r="B12" s="201" t="s">
        <v>514</v>
      </c>
      <c r="C12" s="202">
        <v>2.0</v>
      </c>
      <c r="D12" s="202">
        <v>20.8</v>
      </c>
      <c r="E12" s="177">
        <f>C68+C54+C55</f>
        <v>374</v>
      </c>
      <c r="F12" s="171" t="s">
        <v>232</v>
      </c>
      <c r="G12" s="177">
        <v>374.0</v>
      </c>
    </row>
    <row r="13">
      <c r="A13" s="201" t="s">
        <v>439</v>
      </c>
      <c r="B13" s="201" t="s">
        <v>453</v>
      </c>
      <c r="C13" s="202">
        <v>63.0</v>
      </c>
      <c r="D13" s="202">
        <v>380.6</v>
      </c>
      <c r="E13" s="177">
        <f>C51</f>
        <v>197</v>
      </c>
      <c r="F13" s="171" t="s">
        <v>233</v>
      </c>
      <c r="G13" s="177">
        <v>197.0</v>
      </c>
    </row>
    <row r="14">
      <c r="A14" s="201" t="s">
        <v>258</v>
      </c>
      <c r="B14" s="201" t="s">
        <v>453</v>
      </c>
      <c r="C14" s="202">
        <v>22.0</v>
      </c>
      <c r="D14" s="202">
        <v>132.5</v>
      </c>
      <c r="F14" s="171"/>
    </row>
    <row r="15">
      <c r="A15" s="201" t="s">
        <v>439</v>
      </c>
      <c r="B15" s="201" t="s">
        <v>445</v>
      </c>
      <c r="C15" s="202">
        <v>70.0</v>
      </c>
      <c r="D15" s="202">
        <v>421.4</v>
      </c>
      <c r="E15" s="177">
        <f>C70+C89+C93</f>
        <v>183</v>
      </c>
      <c r="F15" s="465" t="s">
        <v>235</v>
      </c>
      <c r="G15" s="187">
        <v>183.0</v>
      </c>
    </row>
    <row r="16">
      <c r="A16" s="201" t="s">
        <v>258</v>
      </c>
      <c r="B16" s="201" t="s">
        <v>445</v>
      </c>
      <c r="C16" s="202">
        <v>43.0</v>
      </c>
      <c r="D16" s="202">
        <v>259.9</v>
      </c>
      <c r="E16" s="177">
        <f>C90+C88+C87+C69</f>
        <v>1105</v>
      </c>
      <c r="F16" s="465" t="s">
        <v>236</v>
      </c>
      <c r="G16" s="187">
        <v>1105.0</v>
      </c>
    </row>
    <row r="17">
      <c r="A17" s="201" t="s">
        <v>439</v>
      </c>
      <c r="B17" s="201" t="s">
        <v>440</v>
      </c>
      <c r="C17" s="202">
        <v>76.0</v>
      </c>
      <c r="D17" s="202">
        <v>456.7</v>
      </c>
      <c r="E17" s="177">
        <f>C71+C92+C91</f>
        <v>357</v>
      </c>
      <c r="F17" s="465" t="s">
        <v>237</v>
      </c>
      <c r="G17" s="187">
        <v>357.0</v>
      </c>
    </row>
    <row r="18">
      <c r="A18" s="201" t="s">
        <v>258</v>
      </c>
      <c r="B18" s="201" t="s">
        <v>440</v>
      </c>
      <c r="C18" s="202">
        <v>22.0</v>
      </c>
      <c r="D18" s="202">
        <v>132.0</v>
      </c>
      <c r="E18" s="177">
        <f>C95+C94</f>
        <v>270</v>
      </c>
      <c r="F18" s="465" t="s">
        <v>238</v>
      </c>
      <c r="G18" s="187">
        <v>270.0</v>
      </c>
    </row>
    <row r="19">
      <c r="A19" s="201" t="s">
        <v>439</v>
      </c>
      <c r="B19" s="201" t="s">
        <v>438</v>
      </c>
      <c r="C19" s="202">
        <v>52.0</v>
      </c>
      <c r="D19" s="202">
        <v>364.0</v>
      </c>
      <c r="F19" s="464" t="s">
        <v>731</v>
      </c>
    </row>
    <row r="20">
      <c r="A20" s="201" t="s">
        <v>258</v>
      </c>
      <c r="B20" s="201" t="s">
        <v>438</v>
      </c>
      <c r="C20" s="202">
        <v>39.0</v>
      </c>
      <c r="D20" s="202">
        <v>273.0</v>
      </c>
      <c r="F20" s="171"/>
    </row>
    <row r="21">
      <c r="A21" s="201" t="s">
        <v>439</v>
      </c>
      <c r="B21" s="201" t="s">
        <v>420</v>
      </c>
      <c r="C21" s="202">
        <v>88.0</v>
      </c>
      <c r="D21" s="202">
        <v>445.6</v>
      </c>
      <c r="F21" s="250" t="s">
        <v>241</v>
      </c>
      <c r="G21" s="466"/>
    </row>
    <row r="22">
      <c r="A22" s="201" t="s">
        <v>258</v>
      </c>
      <c r="B22" s="201" t="s">
        <v>420</v>
      </c>
      <c r="C22" s="202">
        <v>76.0</v>
      </c>
      <c r="D22" s="202">
        <v>386.3</v>
      </c>
      <c r="E22" s="177">
        <f>C75</f>
        <v>15</v>
      </c>
      <c r="F22" s="250" t="s">
        <v>242</v>
      </c>
      <c r="G22" s="466">
        <v>15.0</v>
      </c>
    </row>
    <row r="23">
      <c r="A23" s="201" t="s">
        <v>439</v>
      </c>
      <c r="B23" s="201" t="s">
        <v>487</v>
      </c>
      <c r="C23" s="202">
        <v>24.0</v>
      </c>
      <c r="D23" s="202">
        <v>147.5</v>
      </c>
      <c r="E23" s="177">
        <f>C49+C50</f>
        <v>71</v>
      </c>
      <c r="F23" s="250" t="s">
        <v>243</v>
      </c>
      <c r="G23" s="466">
        <v>71.0</v>
      </c>
    </row>
    <row r="24">
      <c r="A24" s="201" t="s">
        <v>359</v>
      </c>
      <c r="B24" s="201" t="s">
        <v>364</v>
      </c>
      <c r="C24" s="202">
        <v>176.0</v>
      </c>
      <c r="D24" s="203">
        <v>2174.7</v>
      </c>
      <c r="E24" s="177">
        <f>C105+C106+C74</f>
        <v>210</v>
      </c>
      <c r="F24" s="250" t="s">
        <v>244</v>
      </c>
      <c r="G24" s="466">
        <v>210.0</v>
      </c>
    </row>
    <row r="25">
      <c r="A25" s="201" t="s">
        <v>293</v>
      </c>
      <c r="B25" s="201" t="s">
        <v>356</v>
      </c>
      <c r="C25" s="202">
        <v>366.0</v>
      </c>
      <c r="D25" s="203">
        <v>2998.5</v>
      </c>
      <c r="F25" s="188" t="s">
        <v>245</v>
      </c>
      <c r="G25" s="466"/>
    </row>
    <row r="26">
      <c r="A26" s="201" t="s">
        <v>359</v>
      </c>
      <c r="B26" s="201" t="s">
        <v>254</v>
      </c>
      <c r="C26" s="202">
        <v>108.0</v>
      </c>
      <c r="D26" s="203">
        <v>1284.2</v>
      </c>
      <c r="E26" s="177">
        <f>C103++C102+C73+C72</f>
        <v>144</v>
      </c>
      <c r="F26" s="185" t="s">
        <v>246</v>
      </c>
      <c r="G26" s="467">
        <v>144.0</v>
      </c>
    </row>
    <row r="27">
      <c r="A27" s="201" t="s">
        <v>359</v>
      </c>
      <c r="B27" s="201" t="s">
        <v>356</v>
      </c>
      <c r="C27" s="202">
        <v>29.0</v>
      </c>
      <c r="D27" s="202">
        <v>289.1</v>
      </c>
      <c r="F27" s="188"/>
    </row>
    <row r="28">
      <c r="A28" s="201" t="s">
        <v>357</v>
      </c>
      <c r="B28" s="201" t="s">
        <v>367</v>
      </c>
      <c r="C28" s="202">
        <v>2.0</v>
      </c>
      <c r="D28" s="202">
        <v>3.0</v>
      </c>
      <c r="F28" s="188"/>
    </row>
    <row r="29">
      <c r="A29" s="201" t="s">
        <v>295</v>
      </c>
      <c r="B29" s="201" t="s">
        <v>491</v>
      </c>
      <c r="C29" s="202">
        <v>8.0</v>
      </c>
      <c r="D29" s="202">
        <v>68.0</v>
      </c>
      <c r="E29" s="177">
        <f>C37+C38+C64</f>
        <v>131</v>
      </c>
      <c r="F29" s="185" t="s">
        <v>248</v>
      </c>
      <c r="G29" s="467">
        <v>131.0</v>
      </c>
    </row>
    <row r="30">
      <c r="A30" s="201" t="s">
        <v>357</v>
      </c>
      <c r="B30" s="201" t="s">
        <v>371</v>
      </c>
      <c r="C30" s="202">
        <v>439.0</v>
      </c>
      <c r="D30" s="202">
        <v>670.5</v>
      </c>
      <c r="E30" s="177">
        <f>C39+C40+C62</f>
        <v>98</v>
      </c>
      <c r="F30" s="185" t="s">
        <v>249</v>
      </c>
      <c r="G30" s="467">
        <v>98.0</v>
      </c>
    </row>
    <row r="31">
      <c r="A31" s="201" t="s">
        <v>391</v>
      </c>
      <c r="B31" s="201" t="s">
        <v>404</v>
      </c>
      <c r="C31" s="202">
        <v>55.0</v>
      </c>
      <c r="D31" s="202">
        <v>82.5</v>
      </c>
      <c r="E31" s="177">
        <f>C59+C60</f>
        <v>210</v>
      </c>
      <c r="F31" s="185" t="s">
        <v>250</v>
      </c>
      <c r="G31" s="467">
        <v>210.0</v>
      </c>
    </row>
    <row r="32">
      <c r="A32" s="201" t="s">
        <v>391</v>
      </c>
      <c r="B32" s="201" t="s">
        <v>408</v>
      </c>
      <c r="C32" s="202">
        <v>56.0</v>
      </c>
      <c r="D32" s="202">
        <v>84.0</v>
      </c>
      <c r="E32" s="177">
        <f>C10+C11</f>
        <v>532</v>
      </c>
      <c r="F32" s="185" t="s">
        <v>251</v>
      </c>
      <c r="G32" s="467">
        <v>532.0</v>
      </c>
    </row>
    <row r="33">
      <c r="A33" s="201" t="s">
        <v>391</v>
      </c>
      <c r="B33" s="201" t="s">
        <v>412</v>
      </c>
      <c r="C33" s="202">
        <v>19.0</v>
      </c>
      <c r="D33" s="202">
        <v>28.5</v>
      </c>
      <c r="F33" s="185" t="s">
        <v>252</v>
      </c>
      <c r="G33" s="467"/>
    </row>
    <row r="34">
      <c r="A34" s="201" t="s">
        <v>293</v>
      </c>
      <c r="B34" s="201" t="s">
        <v>511</v>
      </c>
      <c r="C34" s="202">
        <v>8.0</v>
      </c>
      <c r="D34" s="202">
        <v>62.0</v>
      </c>
      <c r="E34" s="177">
        <f>C41+C42+C67</f>
        <v>781</v>
      </c>
      <c r="F34" s="185" t="s">
        <v>253</v>
      </c>
      <c r="G34" s="467">
        <v>781.0</v>
      </c>
    </row>
    <row r="35">
      <c r="A35" s="201" t="s">
        <v>293</v>
      </c>
      <c r="B35" s="201" t="s">
        <v>512</v>
      </c>
      <c r="C35" s="202">
        <v>5.0</v>
      </c>
      <c r="D35" s="202">
        <v>55.4</v>
      </c>
      <c r="E35" s="177">
        <f>C25+C26+C27+C61</f>
        <v>525</v>
      </c>
      <c r="F35" s="185" t="s">
        <v>254</v>
      </c>
      <c r="G35" s="467">
        <v>525.0</v>
      </c>
    </row>
    <row r="36">
      <c r="A36" s="201" t="s">
        <v>296</v>
      </c>
      <c r="B36" s="201" t="s">
        <v>380</v>
      </c>
      <c r="C36" s="202">
        <v>188.0</v>
      </c>
      <c r="D36" s="203">
        <v>1321.0</v>
      </c>
      <c r="F36" s="185" t="s">
        <v>255</v>
      </c>
      <c r="G36" s="467"/>
    </row>
    <row r="37">
      <c r="A37" s="201" t="s">
        <v>293</v>
      </c>
      <c r="B37" s="201" t="s">
        <v>400</v>
      </c>
      <c r="C37" s="202">
        <v>95.0</v>
      </c>
      <c r="D37" s="202">
        <v>760.0</v>
      </c>
      <c r="E37" s="177">
        <f>C8+C9+C65+C66</f>
        <v>383</v>
      </c>
      <c r="F37" s="185" t="s">
        <v>256</v>
      </c>
      <c r="G37" s="467">
        <v>383.0</v>
      </c>
    </row>
    <row r="38">
      <c r="A38" s="201" t="s">
        <v>359</v>
      </c>
      <c r="B38" s="201" t="s">
        <v>468</v>
      </c>
      <c r="C38" s="202">
        <v>24.0</v>
      </c>
      <c r="D38" s="202">
        <v>242.7</v>
      </c>
      <c r="F38" s="188"/>
    </row>
    <row r="39">
      <c r="A39" s="201" t="s">
        <v>293</v>
      </c>
      <c r="B39" s="201" t="s">
        <v>433</v>
      </c>
      <c r="C39" s="202">
        <v>58.0</v>
      </c>
      <c r="D39" s="202">
        <v>413.5</v>
      </c>
      <c r="F39" s="188"/>
    </row>
    <row r="40">
      <c r="A40" s="201" t="s">
        <v>359</v>
      </c>
      <c r="B40" s="201" t="s">
        <v>447</v>
      </c>
      <c r="C40" s="202">
        <v>35.0</v>
      </c>
      <c r="D40" s="202">
        <v>322.8</v>
      </c>
      <c r="E40" s="177">
        <f>C13+C14</f>
        <v>85</v>
      </c>
      <c r="F40" s="188" t="s">
        <v>259</v>
      </c>
      <c r="G40" s="177">
        <v>85.0</v>
      </c>
    </row>
    <row r="41">
      <c r="A41" s="201" t="s">
        <v>359</v>
      </c>
      <c r="B41" s="201" t="s">
        <v>360</v>
      </c>
      <c r="C41" s="202">
        <v>228.0</v>
      </c>
      <c r="D41" s="203">
        <v>2678.7</v>
      </c>
      <c r="E41" s="177">
        <f>C15+C16</f>
        <v>113</v>
      </c>
      <c r="F41" s="188" t="s">
        <v>260</v>
      </c>
      <c r="G41" s="177">
        <v>113.0</v>
      </c>
    </row>
    <row r="42">
      <c r="A42" s="201" t="s">
        <v>293</v>
      </c>
      <c r="B42" s="201" t="s">
        <v>352</v>
      </c>
      <c r="C42" s="202">
        <v>510.0</v>
      </c>
      <c r="D42" s="203">
        <v>4253.5</v>
      </c>
      <c r="E42" s="177">
        <f>C17+C18</f>
        <v>98</v>
      </c>
      <c r="F42" s="188" t="s">
        <v>261</v>
      </c>
      <c r="G42" s="177">
        <v>98.0</v>
      </c>
    </row>
    <row r="43">
      <c r="A43" s="201" t="s">
        <v>357</v>
      </c>
      <c r="B43" s="201" t="s">
        <v>375</v>
      </c>
      <c r="C43" s="202">
        <v>66.0</v>
      </c>
      <c r="D43" s="202">
        <v>99.0</v>
      </c>
      <c r="E43" s="177">
        <f>C21+C22</f>
        <v>164</v>
      </c>
      <c r="F43" s="188" t="s">
        <v>262</v>
      </c>
      <c r="G43" s="177">
        <v>164.0</v>
      </c>
    </row>
    <row r="44">
      <c r="A44" s="201" t="s">
        <v>391</v>
      </c>
      <c r="B44" s="201" t="s">
        <v>417</v>
      </c>
      <c r="C44" s="202">
        <v>12.0</v>
      </c>
      <c r="D44" s="202">
        <v>18.0</v>
      </c>
      <c r="E44" s="177">
        <f>C20+C19</f>
        <v>91</v>
      </c>
      <c r="F44" s="188" t="s">
        <v>263</v>
      </c>
      <c r="G44" s="177">
        <v>91.0</v>
      </c>
    </row>
    <row r="45">
      <c r="A45" s="201" t="s">
        <v>391</v>
      </c>
      <c r="B45" s="201" t="s">
        <v>421</v>
      </c>
      <c r="C45" s="202">
        <v>16.0</v>
      </c>
      <c r="D45" s="202">
        <v>24.0</v>
      </c>
      <c r="E45" s="177">
        <f>C85+C86</f>
        <v>60</v>
      </c>
      <c r="F45" s="188" t="s">
        <v>264</v>
      </c>
      <c r="G45" s="177">
        <v>60.0</v>
      </c>
    </row>
    <row r="46">
      <c r="A46" s="201" t="s">
        <v>357</v>
      </c>
      <c r="B46" s="201" t="s">
        <v>379</v>
      </c>
      <c r="C46" s="202">
        <v>55.0</v>
      </c>
      <c r="D46" s="202">
        <v>88.0</v>
      </c>
      <c r="F46" s="181" t="s">
        <v>265</v>
      </c>
    </row>
    <row r="47">
      <c r="A47" s="201" t="s">
        <v>391</v>
      </c>
      <c r="B47" s="201" t="s">
        <v>426</v>
      </c>
      <c r="C47" s="202">
        <v>10.0</v>
      </c>
      <c r="D47" s="202">
        <v>18.0</v>
      </c>
      <c r="F47" s="171"/>
    </row>
    <row r="48">
      <c r="A48" s="201" t="s">
        <v>391</v>
      </c>
      <c r="B48" s="201" t="s">
        <v>430</v>
      </c>
      <c r="C48" s="202">
        <v>12.0</v>
      </c>
      <c r="D48" s="202">
        <v>21.6</v>
      </c>
      <c r="F48" s="171"/>
    </row>
    <row r="49">
      <c r="A49" s="201" t="s">
        <v>295</v>
      </c>
      <c r="B49" s="201" t="s">
        <v>443</v>
      </c>
      <c r="C49" s="202">
        <v>34.0</v>
      </c>
      <c r="D49" s="202">
        <v>341.6</v>
      </c>
      <c r="E49" s="177">
        <f>C132+C129</f>
        <v>44</v>
      </c>
      <c r="F49" s="181" t="s">
        <v>267</v>
      </c>
      <c r="G49" s="177">
        <v>44.0</v>
      </c>
    </row>
    <row r="50">
      <c r="A50" s="201" t="s">
        <v>395</v>
      </c>
      <c r="B50" s="201" t="s">
        <v>436</v>
      </c>
      <c r="C50" s="202">
        <v>37.0</v>
      </c>
      <c r="D50" s="202">
        <v>366.3</v>
      </c>
      <c r="E50" s="177">
        <f>C130+C131</f>
        <v>13</v>
      </c>
      <c r="F50" s="181" t="s">
        <v>268</v>
      </c>
      <c r="G50" s="177">
        <v>13.0</v>
      </c>
    </row>
    <row r="51">
      <c r="A51" s="201" t="s">
        <v>296</v>
      </c>
      <c r="B51" s="201" t="s">
        <v>378</v>
      </c>
      <c r="C51" s="202">
        <v>197.0</v>
      </c>
      <c r="D51" s="203">
        <v>1387.7</v>
      </c>
      <c r="F51" s="181" t="s">
        <v>269</v>
      </c>
    </row>
    <row r="52">
      <c r="A52" s="201" t="s">
        <v>395</v>
      </c>
      <c r="B52" s="201" t="s">
        <v>525</v>
      </c>
      <c r="C52" s="202">
        <v>5.0</v>
      </c>
      <c r="D52" s="202">
        <v>35.0</v>
      </c>
    </row>
    <row r="53">
      <c r="A53" s="201" t="s">
        <v>395</v>
      </c>
      <c r="B53" s="201" t="s">
        <v>507</v>
      </c>
      <c r="C53" s="202">
        <v>9.0</v>
      </c>
      <c r="D53" s="202">
        <v>74.6</v>
      </c>
    </row>
    <row r="54">
      <c r="A54" s="201" t="s">
        <v>284</v>
      </c>
      <c r="B54" s="201" t="s">
        <v>388</v>
      </c>
      <c r="C54" s="202">
        <v>107.0</v>
      </c>
      <c r="D54" s="202">
        <v>995.9</v>
      </c>
      <c r="E54" s="177">
        <f>C53+C52+C82+C83+C84</f>
        <v>136</v>
      </c>
      <c r="F54" s="190" t="s">
        <v>270</v>
      </c>
      <c r="G54" s="177">
        <v>136.0</v>
      </c>
    </row>
    <row r="55">
      <c r="A55" s="201" t="s">
        <v>296</v>
      </c>
      <c r="B55" s="201" t="s">
        <v>370</v>
      </c>
      <c r="C55" s="202">
        <v>230.0</v>
      </c>
      <c r="D55" s="203">
        <v>1845.0</v>
      </c>
    </row>
    <row r="56">
      <c r="A56" s="201" t="s">
        <v>357</v>
      </c>
      <c r="B56" s="201" t="s">
        <v>382</v>
      </c>
      <c r="C56" s="202">
        <v>1.0</v>
      </c>
      <c r="D56" s="202">
        <v>2.3</v>
      </c>
    </row>
    <row r="57">
      <c r="A57" s="201" t="s">
        <v>422</v>
      </c>
      <c r="B57" s="201" t="s">
        <v>474</v>
      </c>
      <c r="C57" s="202">
        <v>36.0</v>
      </c>
      <c r="D57" s="202">
        <v>236.5</v>
      </c>
    </row>
    <row r="58">
      <c r="A58" s="201" t="s">
        <v>450</v>
      </c>
      <c r="B58" s="201" t="s">
        <v>474</v>
      </c>
      <c r="C58" s="202">
        <v>24.0</v>
      </c>
      <c r="D58" s="202">
        <v>157.5</v>
      </c>
    </row>
    <row r="59">
      <c r="A59" s="201" t="s">
        <v>293</v>
      </c>
      <c r="B59" s="201" t="s">
        <v>376</v>
      </c>
      <c r="C59" s="202">
        <v>145.0</v>
      </c>
      <c r="D59" s="203">
        <v>1445.5</v>
      </c>
    </row>
    <row r="60">
      <c r="A60" s="201" t="s">
        <v>359</v>
      </c>
      <c r="B60" s="201" t="s">
        <v>250</v>
      </c>
      <c r="C60" s="202">
        <v>65.0</v>
      </c>
      <c r="D60" s="202">
        <v>845.0</v>
      </c>
    </row>
    <row r="61">
      <c r="A61" s="201" t="s">
        <v>359</v>
      </c>
      <c r="B61" s="201" t="s">
        <v>470</v>
      </c>
      <c r="C61" s="202">
        <v>22.0</v>
      </c>
      <c r="D61" s="202">
        <v>271.4</v>
      </c>
    </row>
    <row r="62">
      <c r="A62" s="201" t="s">
        <v>359</v>
      </c>
      <c r="B62" s="201" t="s">
        <v>519</v>
      </c>
      <c r="C62" s="202">
        <v>5.0</v>
      </c>
      <c r="D62" s="202">
        <v>46.0</v>
      </c>
    </row>
    <row r="63">
      <c r="A63" s="201" t="s">
        <v>284</v>
      </c>
      <c r="B63" s="201" t="s">
        <v>506</v>
      </c>
      <c r="C63" s="202">
        <v>9.0</v>
      </c>
      <c r="D63" s="202">
        <v>76.0</v>
      </c>
    </row>
    <row r="64">
      <c r="A64" s="201" t="s">
        <v>359</v>
      </c>
      <c r="B64" s="201" t="s">
        <v>499</v>
      </c>
      <c r="C64" s="202">
        <v>12.0</v>
      </c>
      <c r="D64" s="202">
        <v>108.0</v>
      </c>
    </row>
    <row r="65">
      <c r="A65" s="201" t="s">
        <v>359</v>
      </c>
      <c r="B65" s="201" t="s">
        <v>542</v>
      </c>
      <c r="C65" s="202">
        <v>2.0</v>
      </c>
      <c r="D65" s="202">
        <v>19.8</v>
      </c>
    </row>
    <row r="66">
      <c r="A66" s="201" t="s">
        <v>359</v>
      </c>
      <c r="B66" s="201" t="s">
        <v>484</v>
      </c>
      <c r="C66" s="202">
        <v>17.0</v>
      </c>
      <c r="D66" s="202">
        <v>169.8</v>
      </c>
    </row>
    <row r="67">
      <c r="A67" s="201" t="s">
        <v>359</v>
      </c>
      <c r="B67" s="201" t="s">
        <v>427</v>
      </c>
      <c r="C67" s="202">
        <v>43.0</v>
      </c>
      <c r="D67" s="202">
        <v>534.1</v>
      </c>
    </row>
    <row r="68">
      <c r="A68" s="201" t="s">
        <v>284</v>
      </c>
      <c r="B68" s="201" t="s">
        <v>460</v>
      </c>
      <c r="C68" s="202">
        <v>37.0</v>
      </c>
      <c r="D68" s="202">
        <v>337.5</v>
      </c>
    </row>
    <row r="69">
      <c r="A69" s="201" t="s">
        <v>284</v>
      </c>
      <c r="B69" s="201" t="s">
        <v>409</v>
      </c>
      <c r="C69" s="202">
        <v>90.0</v>
      </c>
      <c r="D69" s="202">
        <v>712.7</v>
      </c>
    </row>
    <row r="70">
      <c r="A70" s="201" t="s">
        <v>284</v>
      </c>
      <c r="B70" s="201" t="s">
        <v>493</v>
      </c>
      <c r="C70" s="202">
        <v>16.0</v>
      </c>
      <c r="D70" s="202">
        <v>132.0</v>
      </c>
    </row>
    <row r="71">
      <c r="A71" s="201" t="s">
        <v>284</v>
      </c>
      <c r="B71" s="201" t="s">
        <v>462</v>
      </c>
      <c r="C71" s="202">
        <v>41.0</v>
      </c>
      <c r="D71" s="202">
        <v>335.0</v>
      </c>
    </row>
    <row r="72">
      <c r="A72" s="201" t="s">
        <v>395</v>
      </c>
      <c r="B72" s="201" t="s">
        <v>464</v>
      </c>
      <c r="C72" s="202">
        <v>17.0</v>
      </c>
      <c r="D72" s="202">
        <v>191.8</v>
      </c>
    </row>
    <row r="73">
      <c r="A73" s="201" t="s">
        <v>284</v>
      </c>
      <c r="B73" s="201" t="s">
        <v>464</v>
      </c>
      <c r="C73" s="202">
        <v>13.0</v>
      </c>
      <c r="D73" s="202">
        <v>144.7</v>
      </c>
    </row>
    <row r="74">
      <c r="A74" s="201" t="s">
        <v>395</v>
      </c>
      <c r="B74" s="201" t="s">
        <v>396</v>
      </c>
      <c r="C74" s="202">
        <v>114.0</v>
      </c>
      <c r="D74" s="202">
        <v>979.7</v>
      </c>
    </row>
    <row r="75">
      <c r="A75" s="201" t="s">
        <v>395</v>
      </c>
      <c r="B75" s="201" t="s">
        <v>478</v>
      </c>
      <c r="C75" s="202">
        <v>15.0</v>
      </c>
      <c r="D75" s="202">
        <v>163.0</v>
      </c>
    </row>
    <row r="76">
      <c r="A76" s="201" t="s">
        <v>422</v>
      </c>
      <c r="B76" s="201" t="s">
        <v>497</v>
      </c>
      <c r="C76" s="202">
        <v>17.0</v>
      </c>
      <c r="D76" s="202">
        <v>110.5</v>
      </c>
    </row>
    <row r="77">
      <c r="A77" s="201" t="s">
        <v>422</v>
      </c>
      <c r="B77" s="201" t="s">
        <v>485</v>
      </c>
      <c r="C77" s="202">
        <v>21.0</v>
      </c>
      <c r="D77" s="202">
        <v>165.8</v>
      </c>
    </row>
    <row r="78">
      <c r="A78" s="201" t="s">
        <v>422</v>
      </c>
      <c r="B78" s="201" t="s">
        <v>452</v>
      </c>
      <c r="C78" s="202">
        <v>62.0</v>
      </c>
      <c r="D78" s="202">
        <v>393.0</v>
      </c>
    </row>
    <row r="79">
      <c r="A79" s="201" t="s">
        <v>450</v>
      </c>
      <c r="B79" s="201" t="s">
        <v>452</v>
      </c>
      <c r="C79" s="202">
        <v>33.0</v>
      </c>
      <c r="D79" s="202">
        <v>220.0</v>
      </c>
    </row>
    <row r="80">
      <c r="A80" s="201" t="s">
        <v>422</v>
      </c>
      <c r="B80" s="201" t="s">
        <v>423</v>
      </c>
      <c r="C80" s="202">
        <v>76.0</v>
      </c>
      <c r="D80" s="202">
        <v>570.0</v>
      </c>
    </row>
    <row r="81">
      <c r="A81" s="201" t="s">
        <v>450</v>
      </c>
      <c r="B81" s="201" t="s">
        <v>423</v>
      </c>
      <c r="C81" s="202">
        <v>35.0</v>
      </c>
      <c r="D81" s="202">
        <v>262.5</v>
      </c>
    </row>
    <row r="82">
      <c r="A82" s="201" t="s">
        <v>295</v>
      </c>
      <c r="B82" s="201" t="s">
        <v>455</v>
      </c>
      <c r="C82" s="202">
        <v>75.0</v>
      </c>
      <c r="D82" s="202">
        <v>298.2</v>
      </c>
    </row>
    <row r="83">
      <c r="A83" s="201" t="s">
        <v>295</v>
      </c>
      <c r="B83" s="201" t="s">
        <v>471</v>
      </c>
      <c r="C83" s="202">
        <v>35.0</v>
      </c>
      <c r="D83" s="202">
        <v>207.0</v>
      </c>
    </row>
    <row r="84">
      <c r="A84" s="201" t="s">
        <v>295</v>
      </c>
      <c r="B84" s="201" t="s">
        <v>495</v>
      </c>
      <c r="C84" s="202">
        <v>12.0</v>
      </c>
      <c r="D84" s="202">
        <v>82.8</v>
      </c>
    </row>
    <row r="85">
      <c r="A85" s="201" t="s">
        <v>450</v>
      </c>
      <c r="B85" s="201" t="s">
        <v>477</v>
      </c>
      <c r="C85" s="202">
        <v>42.0</v>
      </c>
      <c r="D85" s="202">
        <v>121.8</v>
      </c>
    </row>
    <row r="86">
      <c r="A86" s="201" t="s">
        <v>258</v>
      </c>
      <c r="B86" s="201" t="s">
        <v>477</v>
      </c>
      <c r="C86" s="202">
        <v>18.0</v>
      </c>
      <c r="D86" s="202">
        <v>36.0</v>
      </c>
    </row>
    <row r="87">
      <c r="A87" s="201" t="s">
        <v>284</v>
      </c>
      <c r="B87" s="201" t="s">
        <v>435</v>
      </c>
      <c r="C87" s="202">
        <v>80.0</v>
      </c>
      <c r="D87" s="202">
        <v>505.0</v>
      </c>
    </row>
    <row r="88">
      <c r="A88" s="201" t="s">
        <v>284</v>
      </c>
      <c r="B88" s="201" t="s">
        <v>366</v>
      </c>
      <c r="C88" s="202">
        <v>240.0</v>
      </c>
      <c r="D88" s="203">
        <v>2059.7</v>
      </c>
    </row>
    <row r="89">
      <c r="A89" s="201" t="s">
        <v>284</v>
      </c>
      <c r="B89" s="201" t="s">
        <v>429</v>
      </c>
      <c r="C89" s="202">
        <v>47.0</v>
      </c>
      <c r="D89" s="202">
        <v>441.9</v>
      </c>
    </row>
    <row r="90">
      <c r="A90" s="201" t="s">
        <v>294</v>
      </c>
      <c r="B90" s="201" t="s">
        <v>354</v>
      </c>
      <c r="C90" s="202">
        <v>695.0</v>
      </c>
      <c r="D90" s="203">
        <v>4215.0</v>
      </c>
    </row>
    <row r="91">
      <c r="A91" s="201" t="s">
        <v>294</v>
      </c>
      <c r="B91" s="201" t="s">
        <v>372</v>
      </c>
      <c r="C91" s="202">
        <v>222.0</v>
      </c>
      <c r="D91" s="203">
        <v>1491.0</v>
      </c>
    </row>
    <row r="92">
      <c r="A92" s="201" t="s">
        <v>284</v>
      </c>
      <c r="B92" s="201" t="s">
        <v>398</v>
      </c>
      <c r="C92" s="202">
        <v>94.0</v>
      </c>
      <c r="D92" s="202">
        <v>878.8</v>
      </c>
    </row>
    <row r="93">
      <c r="A93" s="201" t="s">
        <v>294</v>
      </c>
      <c r="B93" s="201" t="s">
        <v>393</v>
      </c>
      <c r="C93" s="202">
        <v>120.0</v>
      </c>
      <c r="D93" s="202">
        <v>788.0</v>
      </c>
    </row>
    <row r="94">
      <c r="A94" s="201" t="s">
        <v>294</v>
      </c>
      <c r="B94" s="201" t="s">
        <v>374</v>
      </c>
      <c r="C94" s="202">
        <v>201.0</v>
      </c>
      <c r="D94" s="203">
        <v>1416.5</v>
      </c>
    </row>
    <row r="95">
      <c r="A95" s="201" t="s">
        <v>284</v>
      </c>
      <c r="B95" s="201" t="s">
        <v>403</v>
      </c>
      <c r="C95" s="202">
        <v>69.0</v>
      </c>
      <c r="D95" s="202">
        <v>646.3</v>
      </c>
    </row>
    <row r="96">
      <c r="A96" s="201" t="s">
        <v>357</v>
      </c>
      <c r="B96" s="201" t="s">
        <v>386</v>
      </c>
      <c r="C96" s="202">
        <v>3.0</v>
      </c>
      <c r="D96" s="202">
        <v>4.5</v>
      </c>
    </row>
    <row r="97">
      <c r="A97" s="201" t="s">
        <v>298</v>
      </c>
      <c r="B97" s="201" t="s">
        <v>449</v>
      </c>
      <c r="C97" s="202">
        <v>33.0</v>
      </c>
      <c r="D97" s="202">
        <v>185.5</v>
      </c>
    </row>
    <row r="98">
      <c r="A98" s="201" t="s">
        <v>298</v>
      </c>
      <c r="B98" s="201" t="s">
        <v>405</v>
      </c>
      <c r="C98" s="202">
        <v>163.0</v>
      </c>
      <c r="D98" s="202">
        <v>725.0</v>
      </c>
    </row>
    <row r="99">
      <c r="A99" s="201" t="s">
        <v>298</v>
      </c>
      <c r="B99" s="201" t="s">
        <v>224</v>
      </c>
      <c r="C99" s="202">
        <v>31.0</v>
      </c>
      <c r="D99" s="202">
        <v>170.0</v>
      </c>
    </row>
    <row r="100">
      <c r="A100" s="201" t="s">
        <v>298</v>
      </c>
      <c r="B100" s="201" t="s">
        <v>459</v>
      </c>
      <c r="C100" s="202">
        <v>19.0</v>
      </c>
      <c r="D100" s="202">
        <v>108.0</v>
      </c>
    </row>
    <row r="101">
      <c r="A101" s="201" t="s">
        <v>395</v>
      </c>
      <c r="B101" s="201" t="s">
        <v>425</v>
      </c>
      <c r="C101" s="202">
        <v>40.0</v>
      </c>
      <c r="D101" s="202">
        <v>493.3</v>
      </c>
    </row>
    <row r="102">
      <c r="A102" s="201" t="s">
        <v>284</v>
      </c>
      <c r="B102" s="201" t="s">
        <v>425</v>
      </c>
      <c r="C102" s="202">
        <v>10.0</v>
      </c>
      <c r="D102" s="202">
        <v>100.0</v>
      </c>
    </row>
    <row r="103">
      <c r="A103" s="201" t="s">
        <v>295</v>
      </c>
      <c r="B103" s="201" t="s">
        <v>390</v>
      </c>
      <c r="C103" s="202">
        <v>104.0</v>
      </c>
      <c r="D103" s="202">
        <v>837.0</v>
      </c>
    </row>
    <row r="104">
      <c r="A104" s="201" t="s">
        <v>293</v>
      </c>
      <c r="B104" s="201" t="s">
        <v>368</v>
      </c>
      <c r="C104" s="202">
        <v>259.0</v>
      </c>
      <c r="D104" s="203">
        <v>2179.2</v>
      </c>
    </row>
    <row r="105">
      <c r="A105" s="201" t="s">
        <v>295</v>
      </c>
      <c r="B105" s="201" t="s">
        <v>416</v>
      </c>
      <c r="C105" s="202">
        <v>61.0</v>
      </c>
      <c r="D105" s="202">
        <v>488.0</v>
      </c>
    </row>
    <row r="106">
      <c r="A106" s="201" t="s">
        <v>395</v>
      </c>
      <c r="B106" s="201" t="s">
        <v>431</v>
      </c>
      <c r="C106" s="202">
        <v>35.0</v>
      </c>
      <c r="D106" s="202">
        <v>297.5</v>
      </c>
    </row>
    <row r="107">
      <c r="A107" s="201" t="s">
        <v>515</v>
      </c>
      <c r="B107" s="201" t="s">
        <v>516</v>
      </c>
      <c r="C107" s="202">
        <v>48.0</v>
      </c>
      <c r="D107" s="202">
        <v>36.0</v>
      </c>
    </row>
    <row r="108">
      <c r="A108" s="201" t="s">
        <v>413</v>
      </c>
      <c r="B108" s="201" t="s">
        <v>414</v>
      </c>
      <c r="C108" s="204">
        <v>1093.0</v>
      </c>
      <c r="D108" s="202">
        <v>546.5</v>
      </c>
    </row>
    <row r="109">
      <c r="A109" s="201" t="s">
        <v>457</v>
      </c>
      <c r="B109" s="201" t="s">
        <v>458</v>
      </c>
      <c r="C109" s="202">
        <v>237.0</v>
      </c>
      <c r="D109" s="202">
        <v>284.4</v>
      </c>
    </row>
    <row r="110">
      <c r="A110" s="201" t="s">
        <v>515</v>
      </c>
      <c r="B110" s="201" t="s">
        <v>533</v>
      </c>
      <c r="C110" s="202">
        <v>20.0</v>
      </c>
      <c r="D110" s="202">
        <v>20.0</v>
      </c>
    </row>
    <row r="111">
      <c r="A111" s="201" t="s">
        <v>457</v>
      </c>
      <c r="B111" s="201" t="s">
        <v>527</v>
      </c>
      <c r="C111" s="202">
        <v>16.0</v>
      </c>
      <c r="D111" s="202">
        <v>29.5</v>
      </c>
    </row>
    <row r="112">
      <c r="A112" s="201" t="s">
        <v>522</v>
      </c>
      <c r="B112" s="201" t="s">
        <v>540</v>
      </c>
      <c r="C112" s="202">
        <v>37.0</v>
      </c>
      <c r="D112" s="202">
        <v>18.5</v>
      </c>
    </row>
    <row r="113">
      <c r="A113" s="201" t="s">
        <v>515</v>
      </c>
      <c r="B113" s="201" t="s">
        <v>558</v>
      </c>
      <c r="C113" s="202">
        <v>2.0</v>
      </c>
      <c r="D113" s="202">
        <v>1.5</v>
      </c>
    </row>
    <row r="114">
      <c r="A114" s="201" t="s">
        <v>413</v>
      </c>
      <c r="B114" s="201" t="s">
        <v>529</v>
      </c>
      <c r="C114" s="202">
        <v>26.0</v>
      </c>
      <c r="D114" s="202">
        <v>31.2</v>
      </c>
    </row>
    <row r="115">
      <c r="A115" s="201" t="s">
        <v>515</v>
      </c>
      <c r="B115" s="201" t="s">
        <v>551</v>
      </c>
      <c r="C115" s="202">
        <v>6.0</v>
      </c>
      <c r="D115" s="202">
        <v>7.2</v>
      </c>
    </row>
    <row r="116">
      <c r="A116" s="201" t="s">
        <v>413</v>
      </c>
      <c r="B116" s="201" t="s">
        <v>509</v>
      </c>
      <c r="C116" s="202">
        <v>57.0</v>
      </c>
      <c r="D116" s="202">
        <v>57.0</v>
      </c>
    </row>
    <row r="117">
      <c r="A117" s="201" t="s">
        <v>457</v>
      </c>
      <c r="B117" s="201" t="s">
        <v>210</v>
      </c>
      <c r="C117" s="202">
        <v>1.0</v>
      </c>
      <c r="D117" s="202">
        <v>1.2</v>
      </c>
    </row>
    <row r="118">
      <c r="A118" s="201" t="s">
        <v>522</v>
      </c>
      <c r="B118" s="201" t="s">
        <v>544</v>
      </c>
      <c r="C118" s="202">
        <v>22.0</v>
      </c>
      <c r="D118" s="202">
        <v>11.0</v>
      </c>
    </row>
    <row r="119">
      <c r="A119" s="201" t="s">
        <v>515</v>
      </c>
      <c r="B119" s="201" t="s">
        <v>547</v>
      </c>
      <c r="C119" s="202">
        <v>6.0</v>
      </c>
      <c r="D119" s="202">
        <v>12.0</v>
      </c>
    </row>
    <row r="120">
      <c r="A120" s="201" t="s">
        <v>457</v>
      </c>
      <c r="B120" s="201" t="s">
        <v>208</v>
      </c>
      <c r="C120" s="202">
        <v>4.0</v>
      </c>
      <c r="D120" s="202">
        <v>6.0</v>
      </c>
    </row>
    <row r="121">
      <c r="A121" s="201" t="s">
        <v>522</v>
      </c>
      <c r="B121" s="201" t="s">
        <v>523</v>
      </c>
      <c r="C121" s="202">
        <v>64.0</v>
      </c>
      <c r="D121" s="202">
        <v>32.0</v>
      </c>
    </row>
    <row r="122">
      <c r="A122" s="201" t="s">
        <v>457</v>
      </c>
      <c r="B122" s="201" t="s">
        <v>548</v>
      </c>
      <c r="C122" s="202">
        <v>5.0</v>
      </c>
      <c r="D122" s="202">
        <v>6.0</v>
      </c>
    </row>
    <row r="123">
      <c r="A123" s="201" t="s">
        <v>515</v>
      </c>
      <c r="B123" s="201" t="s">
        <v>535</v>
      </c>
      <c r="C123" s="202">
        <v>23.0</v>
      </c>
      <c r="D123" s="202">
        <v>17.25</v>
      </c>
    </row>
    <row r="124">
      <c r="A124" s="201" t="s">
        <v>457</v>
      </c>
      <c r="B124" s="201" t="s">
        <v>532</v>
      </c>
      <c r="C124" s="202">
        <v>13.0</v>
      </c>
      <c r="D124" s="202">
        <v>20.8</v>
      </c>
    </row>
    <row r="125">
      <c r="A125" s="201" t="s">
        <v>515</v>
      </c>
      <c r="B125" s="201" t="s">
        <v>554</v>
      </c>
      <c r="C125" s="202">
        <v>5.0</v>
      </c>
      <c r="D125" s="202">
        <v>6.0</v>
      </c>
    </row>
    <row r="126">
      <c r="A126" s="201" t="s">
        <v>522</v>
      </c>
      <c r="B126" s="201" t="s">
        <v>530</v>
      </c>
      <c r="C126" s="202">
        <v>48.0</v>
      </c>
      <c r="D126" s="202">
        <v>24.0</v>
      </c>
    </row>
    <row r="127">
      <c r="A127" s="201" t="s">
        <v>515</v>
      </c>
      <c r="B127" s="201" t="s">
        <v>545</v>
      </c>
      <c r="C127" s="202">
        <v>13.0</v>
      </c>
      <c r="D127" s="202">
        <v>9.75</v>
      </c>
    </row>
    <row r="128">
      <c r="A128" s="201" t="s">
        <v>480</v>
      </c>
      <c r="B128" s="201" t="s">
        <v>520</v>
      </c>
      <c r="C128" s="202">
        <v>7.0</v>
      </c>
      <c r="D128" s="202">
        <v>45.5</v>
      </c>
    </row>
    <row r="129">
      <c r="A129" s="201" t="s">
        <v>480</v>
      </c>
      <c r="B129" s="201" t="s">
        <v>481</v>
      </c>
      <c r="C129" s="202">
        <v>20.0</v>
      </c>
      <c r="D129" s="202">
        <v>132.5</v>
      </c>
    </row>
    <row r="130">
      <c r="A130" s="201" t="s">
        <v>480</v>
      </c>
      <c r="B130" s="201" t="s">
        <v>505</v>
      </c>
      <c r="C130" s="202">
        <v>7.0</v>
      </c>
      <c r="D130" s="202">
        <v>42.0</v>
      </c>
    </row>
    <row r="131">
      <c r="A131" s="201" t="s">
        <v>480</v>
      </c>
      <c r="B131" s="201" t="s">
        <v>505</v>
      </c>
      <c r="C131" s="202">
        <v>6.0</v>
      </c>
      <c r="D131" s="202">
        <v>48.0</v>
      </c>
    </row>
    <row r="132">
      <c r="A132" s="201" t="s">
        <v>480</v>
      </c>
      <c r="B132" s="201" t="s">
        <v>488</v>
      </c>
      <c r="C132" s="202">
        <v>24.0</v>
      </c>
      <c r="D132" s="202">
        <v>120.0</v>
      </c>
    </row>
    <row r="133">
      <c r="A133" s="201" t="s">
        <v>422</v>
      </c>
      <c r="B133" s="201" t="s">
        <v>500</v>
      </c>
      <c r="C133" s="202">
        <v>14.0</v>
      </c>
      <c r="D133" s="202">
        <v>101.0</v>
      </c>
    </row>
    <row r="134">
      <c r="A134" s="201" t="s">
        <v>297</v>
      </c>
      <c r="B134" s="201" t="s">
        <v>465</v>
      </c>
      <c r="C134" s="202">
        <v>35.0</v>
      </c>
      <c r="D134" s="202">
        <v>193.5</v>
      </c>
    </row>
    <row r="135">
      <c r="A135" s="201" t="s">
        <v>284</v>
      </c>
      <c r="B135" s="201" t="s">
        <v>503</v>
      </c>
      <c r="C135" s="202">
        <v>13.0</v>
      </c>
      <c r="D135" s="202">
        <v>83.0</v>
      </c>
    </row>
    <row r="136">
      <c r="A136" s="201" t="s">
        <v>284</v>
      </c>
      <c r="B136" s="201" t="s">
        <v>442</v>
      </c>
      <c r="C136" s="202">
        <v>56.0</v>
      </c>
      <c r="D136" s="202">
        <v>411.0</v>
      </c>
    </row>
    <row r="137">
      <c r="A137" s="201" t="s">
        <v>297</v>
      </c>
      <c r="B137" s="201" t="s">
        <v>467</v>
      </c>
      <c r="C137" s="202">
        <v>25.0</v>
      </c>
      <c r="D137" s="202">
        <v>152.0</v>
      </c>
    </row>
    <row r="138">
      <c r="A138" s="201" t="s">
        <v>297</v>
      </c>
      <c r="B138" s="201" t="s">
        <v>385</v>
      </c>
      <c r="C138" s="202">
        <v>209.0</v>
      </c>
      <c r="D138" s="203">
        <v>1060.0</v>
      </c>
    </row>
    <row r="139">
      <c r="A139" s="201" t="s">
        <v>297</v>
      </c>
      <c r="B139" s="201" t="s">
        <v>411</v>
      </c>
      <c r="C139" s="202">
        <v>95.0</v>
      </c>
      <c r="D139" s="202">
        <v>619.2</v>
      </c>
    </row>
    <row r="140">
      <c r="A140" s="201" t="s">
        <v>295</v>
      </c>
      <c r="B140" s="201" t="s">
        <v>351</v>
      </c>
      <c r="C140" s="202">
        <v>5.0</v>
      </c>
      <c r="D140" s="202">
        <v>49.5</v>
      </c>
    </row>
    <row r="141">
      <c r="A141" s="201" t="s">
        <v>350</v>
      </c>
      <c r="B141" s="201" t="s">
        <v>351</v>
      </c>
      <c r="C141" s="202">
        <v>4.0</v>
      </c>
      <c r="D141" s="202">
        <v>39.6</v>
      </c>
    </row>
  </sheetData>
  <autoFilter ref="$A$1:$D$141">
    <sortState ref="A1:D141">
      <sortCondition ref="B1:B141"/>
    </sortState>
  </autoFilter>
  <hyperlinks>
    <hyperlink display="SIMPLE EMPANADO" location="null!A1" ref="F4"/>
    <hyperlink display="SIMPLE SOLOMILO" location="null!A1" ref="F5"/>
    <hyperlink display="SERRANO EMPANADO" location="null!A1" ref="F15"/>
    <hyperlink display="SERRANO POLLO" location="SERRANOS!A1" ref="F16"/>
    <hyperlink display="SERRANO POLLO ASADO" location="null!A1" ref="F17"/>
    <hyperlink display="SERRANO SOLOMILLO" location="null!A1" ref="F18"/>
    <hyperlink display="SERRANO PULLED PORK " location="null!A1" ref="F19"/>
    <hyperlink display="XMAS CHIKEN " location="null!A1" ref="F21"/>
    <hyperlink display="CESAR BRIOCHE " location="null!A1" ref="F22"/>
    <hyperlink display="GYPSY" location="null!A1" ref="F23"/>
    <hyperlink display="CHICKEN FRIED" location="'BRIOCH-SUBS'!A1" ref="F24"/>
  </hyperlinks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261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9" si="1">IFERROR(1-G6/F6,"")</f>
        <v/>
      </c>
      <c r="I6" s="256">
        <f t="shared" ref="I6:I9" si="2">IFERROR(E6*F6,"")</f>
        <v>0</v>
      </c>
      <c r="J6" s="241"/>
      <c r="K6" s="259" t="s">
        <v>324</v>
      </c>
      <c r="L6" s="260">
        <f>SUM(I6:I17)</f>
        <v>1.832506711</v>
      </c>
      <c r="M6" s="261"/>
    </row>
    <row r="7" ht="15.75" customHeight="1">
      <c r="A7" s="252"/>
      <c r="B7" s="262" t="str">
        <f>K29</f>
        <v/>
      </c>
      <c r="C7" s="262" t="str">
        <f>C29</f>
        <v/>
      </c>
      <c r="D7" s="263" t="s">
        <v>14</v>
      </c>
      <c r="E7" s="264" t="str">
        <f>K35</f>
        <v>PVP</v>
      </c>
      <c r="F7" s="265"/>
      <c r="G7" s="265"/>
      <c r="H7" s="266" t="str">
        <f t="shared" si="1"/>
        <v/>
      </c>
      <c r="I7" s="264" t="str">
        <f t="shared" si="2"/>
        <v/>
      </c>
      <c r="J7" s="241"/>
      <c r="K7" s="267" t="s">
        <v>325</v>
      </c>
      <c r="L7" s="268">
        <v>6.0</v>
      </c>
      <c r="M7" s="261"/>
    </row>
    <row r="8" ht="15.75" customHeight="1">
      <c r="A8" s="252"/>
      <c r="B8" s="269">
        <f t="array" ref="B8">+XLOOKUP(C8,'Base de datos'!C:C,'Base de datos'!A:A,"",FALSE)</f>
        <v>42</v>
      </c>
      <c r="C8" s="270" t="s">
        <v>74</v>
      </c>
      <c r="D8" s="255" t="s">
        <v>14</v>
      </c>
      <c r="E8" s="256">
        <f t="array" ref="E8">+XLOOKUP(B8,'Base de datos'!A:A,'Base de datos'!H:H,0)</f>
        <v>7.2</v>
      </c>
      <c r="F8" s="271">
        <v>0.178</v>
      </c>
      <c r="G8" s="271"/>
      <c r="H8" s="258">
        <f t="shared" si="1"/>
        <v>1</v>
      </c>
      <c r="I8" s="256">
        <f t="shared" si="2"/>
        <v>1.2816</v>
      </c>
      <c r="J8" s="241"/>
      <c r="K8" s="272" t="s">
        <v>326</v>
      </c>
      <c r="L8" s="273">
        <f>L7/1.1</f>
        <v>5.454545455</v>
      </c>
      <c r="M8" s="274"/>
    </row>
    <row r="9" ht="15.75" customHeight="1">
      <c r="A9" s="252"/>
      <c r="B9" s="269">
        <f t="array" ref="B9">+XLOOKUP(C9,'Base de datos'!C:C,'Base de datos'!A:A,"",FALSE)</f>
        <v>132</v>
      </c>
      <c r="C9" s="270" t="s">
        <v>159</v>
      </c>
      <c r="D9" s="255" t="s">
        <v>14</v>
      </c>
      <c r="E9" s="256">
        <f t="array" ref="E9">+XLOOKUP(B9,'Base de datos'!A:A,'Base de datos'!H:H,0)</f>
        <v>3.014534211</v>
      </c>
      <c r="F9" s="271">
        <v>0.05</v>
      </c>
      <c r="G9" s="271"/>
      <c r="H9" s="258">
        <f t="shared" si="1"/>
        <v>1</v>
      </c>
      <c r="I9" s="256">
        <f t="shared" si="2"/>
        <v>0.1507267105</v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253"/>
      <c r="C10" s="270"/>
      <c r="D10" s="275"/>
      <c r="E10" s="256"/>
      <c r="F10" s="271"/>
      <c r="G10" s="271"/>
      <c r="H10" s="258"/>
      <c r="I10" s="256"/>
      <c r="J10" s="241"/>
      <c r="K10" s="279" t="s">
        <v>328</v>
      </c>
      <c r="L10" s="280">
        <f>L6/L8*100</f>
        <v>33.59595636</v>
      </c>
      <c r="M10" s="281" t="s">
        <v>329</v>
      </c>
    </row>
    <row r="11" ht="15.75" customHeight="1">
      <c r="A11" s="252"/>
      <c r="B11" s="253"/>
      <c r="C11" s="270"/>
      <c r="D11" s="275"/>
      <c r="E11" s="256"/>
      <c r="F11" s="271"/>
      <c r="G11" s="271"/>
      <c r="H11" s="258"/>
      <c r="I11" s="256"/>
      <c r="J11" s="241"/>
      <c r="K11" s="282" t="s">
        <v>330</v>
      </c>
      <c r="L11" s="283">
        <f>100-L10</f>
        <v>66.40404364</v>
      </c>
      <c r="M11" s="284" t="s">
        <v>329</v>
      </c>
    </row>
    <row r="12" ht="15.75" customHeight="1">
      <c r="A12" s="252"/>
      <c r="B12" s="253"/>
      <c r="C12" s="270"/>
      <c r="D12" s="255"/>
      <c r="E12" s="256"/>
      <c r="F12" s="271"/>
      <c r="G12" s="271"/>
      <c r="H12" s="258"/>
      <c r="I12" s="256"/>
      <c r="J12" s="241"/>
      <c r="L12" s="288"/>
    </row>
    <row r="13" ht="15.75" customHeight="1">
      <c r="A13" s="252"/>
      <c r="B13" s="253"/>
      <c r="C13" s="270"/>
      <c r="D13" s="275"/>
      <c r="E13" s="256"/>
      <c r="F13" s="271"/>
      <c r="G13" s="271"/>
      <c r="H13" s="258"/>
      <c r="I13" s="256"/>
      <c r="J13" s="241"/>
      <c r="K13" s="250" t="s">
        <v>323</v>
      </c>
      <c r="L13" s="251"/>
      <c r="M13" s="251"/>
    </row>
    <row r="14" ht="15.75" customHeight="1">
      <c r="A14" s="252"/>
      <c r="B14" s="253"/>
      <c r="C14" s="270"/>
      <c r="D14" s="255"/>
      <c r="E14" s="256"/>
      <c r="F14" s="271"/>
      <c r="G14" s="257"/>
      <c r="H14" s="258"/>
      <c r="I14" s="256"/>
      <c r="J14" s="241"/>
      <c r="K14" s="259" t="s">
        <v>324</v>
      </c>
      <c r="L14" s="260">
        <f>L6</f>
        <v>1.832506711</v>
      </c>
      <c r="M14" s="261"/>
    </row>
    <row r="15" ht="15.75" customHeight="1">
      <c r="A15" s="252"/>
      <c r="B15" s="269">
        <f t="array" ref="B15">+XLOOKUP(C15,'Base de datos'!C:C,'Base de datos'!A:A,"",FALSE)</f>
        <v>93</v>
      </c>
      <c r="C15" s="270" t="s">
        <v>114</v>
      </c>
      <c r="D15" s="275" t="s">
        <v>20</v>
      </c>
      <c r="E15" s="256">
        <f t="array" ref="E15">+XLOOKUP(B15,'Base de datos'!A:A,'Base de datos'!H:H,0)</f>
        <v>0.0277</v>
      </c>
      <c r="F15" s="271">
        <v>1.0</v>
      </c>
      <c r="G15" s="271">
        <v>1.0</v>
      </c>
      <c r="H15" s="258">
        <f t="shared" ref="H15:H17" si="3">IFERROR(1-G15/F15,"")</f>
        <v>0</v>
      </c>
      <c r="I15" s="256">
        <f t="shared" ref="I15:I17" si="4">IFERROR(E15*F15,"")</f>
        <v>0.0277</v>
      </c>
      <c r="J15" s="241"/>
      <c r="K15" s="267" t="s">
        <v>325</v>
      </c>
      <c r="L15" s="268">
        <v>7.8</v>
      </c>
      <c r="M15" s="261"/>
    </row>
    <row r="16" ht="15.75" customHeight="1">
      <c r="A16" s="252"/>
      <c r="B16" s="269">
        <f t="array" ref="B16">+XLOOKUP(C16,'Base de datos'!C:C,'Base de datos'!A:A,"",FALSE)</f>
        <v>9</v>
      </c>
      <c r="C16" s="270" t="s">
        <v>25</v>
      </c>
      <c r="D16" s="275" t="s">
        <v>20</v>
      </c>
      <c r="E16" s="256">
        <f t="array" ref="E16">+XLOOKUP(B16,'Base de datos'!A:A,'Base de datos'!H:H,0)</f>
        <v>0.17898</v>
      </c>
      <c r="F16" s="271">
        <v>1.0</v>
      </c>
      <c r="G16" s="271">
        <v>1.0</v>
      </c>
      <c r="H16" s="258">
        <f t="shared" si="3"/>
        <v>0</v>
      </c>
      <c r="I16" s="256">
        <f t="shared" si="4"/>
        <v>0.17898</v>
      </c>
      <c r="J16" s="241"/>
      <c r="K16" s="272" t="s">
        <v>326</v>
      </c>
      <c r="L16" s="273">
        <f>L15/1.1</f>
        <v>7.090909091</v>
      </c>
      <c r="M16" s="274"/>
    </row>
    <row r="17" ht="15.75" customHeight="1">
      <c r="A17" s="252"/>
      <c r="B17" s="269">
        <f t="array" ref="B17">+XLOOKUP(C17,'Base de datos'!C:C,'Base de datos'!A:A,"",FALSE)</f>
        <v>58</v>
      </c>
      <c r="C17" s="270" t="s">
        <v>85</v>
      </c>
      <c r="D17" s="255" t="s">
        <v>14</v>
      </c>
      <c r="E17" s="256">
        <f t="array" ref="E17">+XLOOKUP(B17,'Base de datos'!A:A,'Base de datos'!H:H,0)</f>
        <v>2.15</v>
      </c>
      <c r="F17" s="271">
        <v>0.09</v>
      </c>
      <c r="G17" s="257"/>
      <c r="H17" s="258">
        <f t="shared" si="3"/>
        <v>1</v>
      </c>
      <c r="I17" s="256">
        <f t="shared" si="4"/>
        <v>0.1935</v>
      </c>
      <c r="J17" s="241"/>
      <c r="K17" s="276" t="s">
        <v>327</v>
      </c>
      <c r="L17" s="277">
        <v>0.1</v>
      </c>
      <c r="M17" s="278"/>
    </row>
    <row r="18" ht="15.75" customHeight="1">
      <c r="A18" s="240"/>
      <c r="B18" s="240"/>
      <c r="C18" s="241"/>
      <c r="D18" s="242"/>
      <c r="E18" s="243"/>
      <c r="F18" s="244"/>
      <c r="G18" s="244"/>
      <c r="H18" s="241"/>
      <c r="I18" s="241"/>
      <c r="J18" s="241"/>
      <c r="K18" s="279" t="s">
        <v>328</v>
      </c>
      <c r="L18" s="280">
        <f>L14/L16*100</f>
        <v>25.84304335</v>
      </c>
      <c r="M18" s="281" t="s">
        <v>329</v>
      </c>
    </row>
    <row r="19" ht="15.75" customHeight="1">
      <c r="A19" s="295"/>
      <c r="B19" s="295"/>
      <c r="C19" s="296" t="s">
        <v>337</v>
      </c>
      <c r="D19" s="297"/>
      <c r="E19" s="297"/>
      <c r="F19" s="297"/>
      <c r="G19" s="297"/>
      <c r="H19" s="297"/>
      <c r="I19" s="298"/>
      <c r="J19" s="241"/>
      <c r="K19" s="285" t="s">
        <v>330</v>
      </c>
      <c r="L19" s="286">
        <f>L16-L14</f>
        <v>5.25840238</v>
      </c>
      <c r="M19" s="287" t="s">
        <v>331</v>
      </c>
    </row>
    <row r="20" ht="15.75" customHeight="1">
      <c r="A20" s="299"/>
      <c r="B20" s="299"/>
      <c r="C20" s="300"/>
      <c r="D20" s="297"/>
      <c r="E20" s="297"/>
      <c r="F20" s="297"/>
      <c r="G20" s="297"/>
      <c r="H20" s="297"/>
      <c r="I20" s="298"/>
      <c r="J20" s="241"/>
      <c r="K20" s="289" t="s">
        <v>332</v>
      </c>
      <c r="L20" s="290">
        <f>L16-L14-(L15*0.2)</f>
        <v>3.69840238</v>
      </c>
      <c r="M20" s="291" t="s">
        <v>331</v>
      </c>
    </row>
    <row r="21" ht="15.75" customHeight="1">
      <c r="A21" s="301"/>
      <c r="B21" s="301"/>
      <c r="C21" s="306" t="s">
        <v>732</v>
      </c>
      <c r="I21" s="278"/>
      <c r="J21" s="241"/>
      <c r="K21" s="289" t="s">
        <v>332</v>
      </c>
      <c r="L21" s="292">
        <f>L20/L16</f>
        <v>0.5215695665</v>
      </c>
      <c r="M21" s="291" t="s">
        <v>329</v>
      </c>
    </row>
    <row r="22" ht="15.75" customHeight="1">
      <c r="A22" s="301"/>
      <c r="B22" s="301"/>
      <c r="C22" s="302"/>
      <c r="I22" s="278"/>
      <c r="J22" s="241"/>
      <c r="K22" s="241"/>
      <c r="L22" s="241"/>
    </row>
    <row r="23" ht="15.75" customHeight="1">
      <c r="A23" s="301"/>
      <c r="B23" s="301"/>
      <c r="C23" s="468" t="s">
        <v>733</v>
      </c>
      <c r="I23" s="278"/>
      <c r="J23" s="241"/>
      <c r="K23" s="241"/>
      <c r="L23" s="241"/>
    </row>
    <row r="24" ht="15.75" customHeight="1">
      <c r="A24" s="301"/>
      <c r="B24" s="301"/>
      <c r="C24" s="302">
        <f>0.178/8</f>
        <v>0.02225</v>
      </c>
      <c r="I24" s="278"/>
      <c r="J24" s="241"/>
      <c r="K24" s="241"/>
      <c r="L24" s="241"/>
    </row>
    <row r="25" ht="15.75" customHeight="1">
      <c r="A25" s="301"/>
      <c r="B25" s="301"/>
      <c r="C25" s="302"/>
      <c r="I25" s="278"/>
      <c r="J25" s="241"/>
      <c r="K25" s="241"/>
      <c r="L25" s="241"/>
    </row>
    <row r="26" ht="15.75" customHeight="1">
      <c r="A26" s="301"/>
      <c r="B26" s="301"/>
      <c r="C26" s="302"/>
      <c r="I26" s="278"/>
      <c r="J26" s="241"/>
      <c r="K26" s="241"/>
      <c r="L26" s="241"/>
    </row>
    <row r="27" ht="15.75" customHeight="1">
      <c r="A27" s="301"/>
      <c r="B27" s="301"/>
      <c r="C27" s="304"/>
      <c r="D27" s="305"/>
      <c r="E27" s="305"/>
      <c r="F27" s="305"/>
      <c r="G27" s="305"/>
      <c r="H27" s="305"/>
      <c r="I27" s="274"/>
      <c r="J27" s="241"/>
      <c r="K27" s="241"/>
      <c r="L27" s="241"/>
    </row>
    <row r="28" ht="15.75" customHeight="1">
      <c r="A28" s="240"/>
      <c r="B28" s="240"/>
      <c r="C28" s="241"/>
      <c r="D28" s="242"/>
      <c r="E28" s="243"/>
      <c r="F28" s="244"/>
      <c r="G28" s="244"/>
      <c r="H28" s="241"/>
      <c r="I28" s="241"/>
      <c r="J28" s="241"/>
      <c r="K28" s="241"/>
      <c r="L28" s="241"/>
    </row>
    <row r="29" ht="15.75" customHeight="1">
      <c r="A29" s="360"/>
      <c r="B29" s="230"/>
      <c r="C29" s="230"/>
      <c r="D29" s="230"/>
      <c r="E29" s="231"/>
      <c r="F29" s="232"/>
      <c r="G29" s="232"/>
      <c r="H29" s="230"/>
      <c r="I29" s="230"/>
      <c r="J29" s="230"/>
      <c r="K29" s="230"/>
      <c r="L29" s="230"/>
      <c r="M29" s="23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</row>
    <row r="30" ht="15.75" customHeight="1">
      <c r="A30" s="301"/>
      <c r="B30" s="234"/>
      <c r="C30" s="235" t="s">
        <v>313</v>
      </c>
      <c r="D30" s="236" t="s">
        <v>259</v>
      </c>
      <c r="E30" s="237"/>
      <c r="F30" s="237"/>
      <c r="G30" s="237"/>
      <c r="H30" s="237"/>
      <c r="I30" s="237"/>
      <c r="J30" s="238"/>
      <c r="K30" s="231"/>
      <c r="L30" s="230"/>
      <c r="M30" s="233"/>
    </row>
    <row r="31" ht="15.75" customHeight="1">
      <c r="A31" s="301"/>
      <c r="B31" s="239"/>
      <c r="C31" s="230"/>
      <c r="D31" s="230"/>
      <c r="E31" s="231"/>
      <c r="F31" s="232"/>
      <c r="G31" s="232"/>
      <c r="H31" s="230"/>
      <c r="I31" s="230"/>
      <c r="J31" s="230"/>
      <c r="K31" s="230"/>
      <c r="L31" s="230"/>
      <c r="M31" s="233"/>
    </row>
    <row r="32" ht="15.75" customHeight="1">
      <c r="A32" s="301"/>
      <c r="B32" s="240"/>
      <c r="C32" s="241"/>
      <c r="D32" s="242"/>
      <c r="E32" s="243"/>
      <c r="F32" s="244"/>
      <c r="G32" s="244"/>
      <c r="H32" s="241"/>
      <c r="I32" s="241"/>
      <c r="J32" s="241"/>
      <c r="K32" s="241"/>
      <c r="L32" s="241"/>
    </row>
    <row r="33" ht="15.75" customHeight="1">
      <c r="A33" s="301"/>
      <c r="B33" s="246" t="s">
        <v>0</v>
      </c>
      <c r="C33" s="246" t="s">
        <v>315</v>
      </c>
      <c r="D33" s="246" t="s">
        <v>316</v>
      </c>
      <c r="E33" s="247" t="s">
        <v>317</v>
      </c>
      <c r="F33" s="248" t="s">
        <v>318</v>
      </c>
      <c r="G33" s="248" t="s">
        <v>319</v>
      </c>
      <c r="H33" s="246" t="s">
        <v>320</v>
      </c>
      <c r="I33" s="246" t="s">
        <v>321</v>
      </c>
      <c r="J33" s="249"/>
      <c r="K33" s="250" t="s">
        <v>322</v>
      </c>
      <c r="L33" s="251"/>
      <c r="M33" s="251"/>
    </row>
    <row r="34" ht="15.75" customHeight="1">
      <c r="A34" s="301"/>
      <c r="B34" s="253" t="str">
        <f t="array" ref="B34">+XLOOKUP(C34,'Base de datos'!C:C,'Base de datos'!A:A,"",FALSE)</f>
        <v/>
      </c>
      <c r="C34" s="254"/>
      <c r="D34" s="255" t="s">
        <v>14</v>
      </c>
      <c r="E34" s="256">
        <f t="array" ref="E34">+XLOOKUP(B34,'Base de datos'!A:A,'Base de datos'!H:H,0)</f>
        <v>0</v>
      </c>
      <c r="F34" s="257"/>
      <c r="G34" s="257"/>
      <c r="H34" s="258" t="str">
        <f t="shared" ref="H34:H37" si="5">IFERROR(1-G34/F34,"")</f>
        <v/>
      </c>
      <c r="I34" s="256">
        <f t="shared" ref="I34:I37" si="6">IFERROR(E34*F34,"")</f>
        <v>0</v>
      </c>
      <c r="J34" s="241"/>
      <c r="K34" s="259" t="s">
        <v>324</v>
      </c>
      <c r="L34" s="260">
        <f>SUM(I34:I45)</f>
        <v>2.424206711</v>
      </c>
      <c r="M34" s="261"/>
    </row>
    <row r="35" ht="15.75" customHeight="1">
      <c r="A35" s="301"/>
      <c r="B35" s="262" t="str">
        <f>ALITAS!K29</f>
        <v>#REF!</v>
      </c>
      <c r="C35" s="262" t="str">
        <f>ALITAS!C29</f>
        <v>#REF!</v>
      </c>
      <c r="D35" s="263" t="s">
        <v>14</v>
      </c>
      <c r="E35" s="264" t="str">
        <f>ALITAS!K35</f>
        <v>#REF!</v>
      </c>
      <c r="F35" s="265"/>
      <c r="G35" s="265"/>
      <c r="H35" s="266" t="str">
        <f t="shared" si="5"/>
        <v/>
      </c>
      <c r="I35" s="264" t="str">
        <f t="shared" si="6"/>
        <v/>
      </c>
      <c r="J35" s="241"/>
      <c r="K35" s="267" t="s">
        <v>325</v>
      </c>
      <c r="L35" s="268">
        <v>6.0</v>
      </c>
      <c r="M35" s="261"/>
    </row>
    <row r="36" ht="15.75" customHeight="1">
      <c r="A36" s="301"/>
      <c r="B36" s="269">
        <f t="array" ref="B36">+XLOOKUP(C36,'Base de datos'!C:C,'Base de datos'!A:A,"",FALSE)</f>
        <v>143</v>
      </c>
      <c r="C36" s="270" t="s">
        <v>171</v>
      </c>
      <c r="D36" s="255" t="s">
        <v>14</v>
      </c>
      <c r="E36" s="256">
        <f t="array" ref="E36">+XLOOKUP(B36,'Base de datos'!A:A,'Base de datos'!H:H,0)</f>
        <v>6.55</v>
      </c>
      <c r="F36" s="271">
        <v>0.286</v>
      </c>
      <c r="G36" s="271">
        <v>0.27</v>
      </c>
      <c r="H36" s="258">
        <f t="shared" si="5"/>
        <v>0.05594405594</v>
      </c>
      <c r="I36" s="256">
        <f t="shared" si="6"/>
        <v>1.8733</v>
      </c>
      <c r="J36" s="241"/>
      <c r="K36" s="272" t="s">
        <v>326</v>
      </c>
      <c r="L36" s="273">
        <f>L35/1.1</f>
        <v>5.454545455</v>
      </c>
      <c r="M36" s="274"/>
    </row>
    <row r="37" ht="15.75" customHeight="1">
      <c r="A37" s="301"/>
      <c r="B37" s="269">
        <f t="array" ref="B37">+XLOOKUP(C37,'Base de datos'!C:C,'Base de datos'!A:A,"",FALSE)</f>
        <v>132</v>
      </c>
      <c r="C37" s="270" t="s">
        <v>159</v>
      </c>
      <c r="D37" s="255" t="s">
        <v>14</v>
      </c>
      <c r="E37" s="256">
        <f t="array" ref="E37">+XLOOKUP(B37,'Base de datos'!A:A,'Base de datos'!H:H,0)</f>
        <v>3.014534211</v>
      </c>
      <c r="F37" s="271">
        <v>0.05</v>
      </c>
      <c r="G37" s="271"/>
      <c r="H37" s="258">
        <f t="shared" si="5"/>
        <v>1</v>
      </c>
      <c r="I37" s="256">
        <f t="shared" si="6"/>
        <v>0.1507267105</v>
      </c>
      <c r="J37" s="241"/>
      <c r="K37" s="276" t="s">
        <v>327</v>
      </c>
      <c r="L37" s="277">
        <v>0.1</v>
      </c>
      <c r="M37" s="278"/>
    </row>
    <row r="38" ht="15.75" customHeight="1">
      <c r="A38" s="301"/>
      <c r="B38" s="253"/>
      <c r="C38" s="270"/>
      <c r="D38" s="275"/>
      <c r="E38" s="256"/>
      <c r="F38" s="271"/>
      <c r="G38" s="271"/>
      <c r="H38" s="258"/>
      <c r="I38" s="256"/>
      <c r="J38" s="241"/>
      <c r="K38" s="279" t="s">
        <v>328</v>
      </c>
      <c r="L38" s="280">
        <f>L34/L36*100</f>
        <v>44.44378969</v>
      </c>
      <c r="M38" s="281" t="s">
        <v>329</v>
      </c>
    </row>
    <row r="39" ht="15.75" customHeight="1">
      <c r="A39" s="301"/>
      <c r="B39" s="253"/>
      <c r="C39" s="270"/>
      <c r="D39" s="275"/>
      <c r="E39" s="256"/>
      <c r="F39" s="271"/>
      <c r="G39" s="271"/>
      <c r="H39" s="258"/>
      <c r="I39" s="256"/>
      <c r="J39" s="241"/>
      <c r="K39" s="282" t="s">
        <v>330</v>
      </c>
      <c r="L39" s="283">
        <f>100-L38</f>
        <v>55.55621031</v>
      </c>
      <c r="M39" s="284" t="s">
        <v>329</v>
      </c>
    </row>
    <row r="40" ht="15.75" customHeight="1">
      <c r="A40" s="240"/>
      <c r="B40" s="253"/>
      <c r="C40" s="270"/>
      <c r="D40" s="255"/>
      <c r="E40" s="256"/>
      <c r="F40" s="271"/>
      <c r="G40" s="271"/>
      <c r="H40" s="258"/>
      <c r="I40" s="256"/>
      <c r="J40" s="241"/>
      <c r="L40" s="288"/>
    </row>
    <row r="41" ht="15.75" customHeight="1">
      <c r="A41" s="295"/>
      <c r="B41" s="253"/>
      <c r="C41" s="270"/>
      <c r="D41" s="275"/>
      <c r="E41" s="256"/>
      <c r="F41" s="271"/>
      <c r="G41" s="271"/>
      <c r="H41" s="258"/>
      <c r="I41" s="256"/>
      <c r="J41" s="241"/>
      <c r="K41" s="250" t="s">
        <v>323</v>
      </c>
      <c r="L41" s="251"/>
      <c r="M41" s="251"/>
    </row>
    <row r="42" ht="15.75" customHeight="1">
      <c r="A42" s="299"/>
      <c r="B42" s="253"/>
      <c r="C42" s="270"/>
      <c r="D42" s="255"/>
      <c r="E42" s="256"/>
      <c r="F42" s="271"/>
      <c r="G42" s="257"/>
      <c r="H42" s="258"/>
      <c r="I42" s="256"/>
      <c r="J42" s="241"/>
      <c r="K42" s="259" t="s">
        <v>324</v>
      </c>
      <c r="L42" s="260">
        <f>L34</f>
        <v>2.424206711</v>
      </c>
      <c r="M42" s="261"/>
    </row>
    <row r="43" ht="15.75" customHeight="1">
      <c r="A43" s="301"/>
      <c r="B43" s="269">
        <f t="array" ref="B43">+XLOOKUP(C43,'Base de datos'!C:C,'Base de datos'!A:A,"",FALSE)</f>
        <v>93</v>
      </c>
      <c r="C43" s="270" t="s">
        <v>114</v>
      </c>
      <c r="D43" s="275" t="s">
        <v>20</v>
      </c>
      <c r="E43" s="256">
        <f t="array" ref="E43">+XLOOKUP(B43,'Base de datos'!A:A,'Base de datos'!H:H,0)</f>
        <v>0.0277</v>
      </c>
      <c r="F43" s="271">
        <v>1.0</v>
      </c>
      <c r="G43" s="271">
        <v>1.0</v>
      </c>
      <c r="H43" s="258">
        <f t="shared" ref="H43:H45" si="7">IFERROR(1-G43/F43,"")</f>
        <v>0</v>
      </c>
      <c r="I43" s="256">
        <f t="shared" ref="I43:I45" si="8">IFERROR(E43*F43,"")</f>
        <v>0.0277</v>
      </c>
      <c r="J43" s="241"/>
      <c r="K43" s="267" t="s">
        <v>325</v>
      </c>
      <c r="L43" s="268">
        <v>7.0</v>
      </c>
      <c r="M43" s="261"/>
    </row>
    <row r="44" ht="15.75" customHeight="1">
      <c r="A44" s="301"/>
      <c r="B44" s="269">
        <f t="array" ref="B44">+XLOOKUP(C44,'Base de datos'!C:C,'Base de datos'!A:A,"",FALSE)</f>
        <v>9</v>
      </c>
      <c r="C44" s="270" t="s">
        <v>25</v>
      </c>
      <c r="D44" s="275" t="s">
        <v>20</v>
      </c>
      <c r="E44" s="256">
        <f t="array" ref="E44">+XLOOKUP(B44,'Base de datos'!A:A,'Base de datos'!H:H,0)</f>
        <v>0.17898</v>
      </c>
      <c r="F44" s="271">
        <v>1.0</v>
      </c>
      <c r="G44" s="271">
        <v>1.0</v>
      </c>
      <c r="H44" s="258">
        <f t="shared" si="7"/>
        <v>0</v>
      </c>
      <c r="I44" s="256">
        <f t="shared" si="8"/>
        <v>0.17898</v>
      </c>
      <c r="J44" s="241"/>
      <c r="K44" s="272" t="s">
        <v>326</v>
      </c>
      <c r="L44" s="273">
        <f>L43/1.1</f>
        <v>6.363636364</v>
      </c>
      <c r="M44" s="274"/>
    </row>
    <row r="45" ht="15.75" customHeight="1">
      <c r="A45" s="301"/>
      <c r="B45" s="269">
        <f t="array" ref="B45">+XLOOKUP(C45,'Base de datos'!C:C,'Base de datos'!A:A,"",FALSE)</f>
        <v>58</v>
      </c>
      <c r="C45" s="270" t="s">
        <v>85</v>
      </c>
      <c r="D45" s="255" t="s">
        <v>14</v>
      </c>
      <c r="E45" s="256">
        <f t="array" ref="E45">+XLOOKUP(B45,'Base de datos'!A:A,'Base de datos'!H:H,0)</f>
        <v>2.15</v>
      </c>
      <c r="F45" s="271">
        <v>0.09</v>
      </c>
      <c r="G45" s="257"/>
      <c r="H45" s="258">
        <f t="shared" si="7"/>
        <v>1</v>
      </c>
      <c r="I45" s="256">
        <f t="shared" si="8"/>
        <v>0.1935</v>
      </c>
      <c r="J45" s="241"/>
      <c r="K45" s="276" t="s">
        <v>327</v>
      </c>
      <c r="L45" s="277">
        <v>0.1</v>
      </c>
      <c r="M45" s="278"/>
    </row>
    <row r="46" ht="15.75" customHeight="1">
      <c r="A46" s="301"/>
      <c r="B46" s="240"/>
      <c r="C46" s="241"/>
      <c r="D46" s="242"/>
      <c r="E46" s="243"/>
      <c r="F46" s="244"/>
      <c r="G46" s="244"/>
      <c r="H46" s="241"/>
      <c r="I46" s="241"/>
      <c r="J46" s="241"/>
      <c r="K46" s="279" t="s">
        <v>328</v>
      </c>
      <c r="L46" s="280">
        <f>L42/L44*100</f>
        <v>38.09467688</v>
      </c>
      <c r="M46" s="281" t="s">
        <v>329</v>
      </c>
    </row>
    <row r="47" ht="15.75" customHeight="1">
      <c r="A47" s="301"/>
      <c r="B47" s="295"/>
      <c r="C47" s="296" t="s">
        <v>337</v>
      </c>
      <c r="D47" s="297"/>
      <c r="E47" s="297"/>
      <c r="F47" s="297"/>
      <c r="G47" s="297"/>
      <c r="H47" s="297"/>
      <c r="I47" s="298"/>
      <c r="J47" s="241"/>
      <c r="K47" s="285" t="s">
        <v>330</v>
      </c>
      <c r="L47" s="286">
        <f>L44-L42</f>
        <v>3.939429653</v>
      </c>
      <c r="M47" s="287" t="s">
        <v>331</v>
      </c>
    </row>
    <row r="48" ht="15.75" customHeight="1">
      <c r="A48" s="307"/>
      <c r="B48" s="299"/>
      <c r="C48" s="300"/>
      <c r="D48" s="297"/>
      <c r="E48" s="297"/>
      <c r="F48" s="297"/>
      <c r="G48" s="297"/>
      <c r="H48" s="297"/>
      <c r="I48" s="298"/>
      <c r="J48" s="241"/>
      <c r="K48" s="289" t="s">
        <v>332</v>
      </c>
      <c r="L48" s="290">
        <f>L44-L42-(L43*0.2)</f>
        <v>2.539429653</v>
      </c>
      <c r="M48" s="291" t="s">
        <v>331</v>
      </c>
    </row>
    <row r="49" ht="15.75" customHeight="1">
      <c r="A49" s="307"/>
      <c r="B49" s="301"/>
      <c r="C49" s="306" t="s">
        <v>732</v>
      </c>
      <c r="I49" s="278"/>
      <c r="J49" s="241"/>
      <c r="K49" s="289" t="s">
        <v>332</v>
      </c>
      <c r="L49" s="292">
        <f>L48/L44</f>
        <v>0.3990532312</v>
      </c>
      <c r="M49" s="291" t="s">
        <v>329</v>
      </c>
    </row>
    <row r="50" ht="15.75" customHeight="1">
      <c r="A50" s="307"/>
      <c r="B50" s="301"/>
      <c r="C50" s="302"/>
      <c r="I50" s="278"/>
      <c r="J50" s="241"/>
      <c r="K50" s="241"/>
      <c r="L50" s="241"/>
    </row>
    <row r="51" ht="15.75" customHeight="1">
      <c r="A51" s="234"/>
      <c r="B51" s="301"/>
      <c r="C51" s="302"/>
      <c r="I51" s="278"/>
      <c r="J51" s="241"/>
      <c r="K51" s="241"/>
      <c r="L51" s="241"/>
    </row>
    <row r="52" ht="15.75" customHeight="1">
      <c r="A52" s="239"/>
      <c r="B52" s="301"/>
      <c r="C52" s="302"/>
      <c r="I52" s="278"/>
      <c r="J52" s="241"/>
      <c r="K52" s="241"/>
      <c r="L52" s="241"/>
    </row>
    <row r="53" ht="15.75" customHeight="1">
      <c r="A53" s="240"/>
      <c r="B53" s="301"/>
      <c r="C53" s="302"/>
      <c r="I53" s="278"/>
      <c r="J53" s="241"/>
      <c r="K53" s="241"/>
      <c r="L53" s="241"/>
    </row>
    <row r="54" ht="15.75" customHeight="1">
      <c r="A54" s="245"/>
      <c r="B54" s="301"/>
      <c r="C54" s="302"/>
      <c r="I54" s="278"/>
      <c r="J54" s="241"/>
      <c r="K54" s="241"/>
      <c r="L54" s="241"/>
    </row>
    <row r="55" ht="15.75" customHeight="1">
      <c r="A55" s="252"/>
      <c r="B55" s="301"/>
      <c r="C55" s="304"/>
      <c r="D55" s="305"/>
      <c r="E55" s="305"/>
      <c r="F55" s="305"/>
      <c r="G55" s="305"/>
      <c r="H55" s="305"/>
      <c r="I55" s="274"/>
      <c r="J55" s="241"/>
      <c r="K55" s="241"/>
      <c r="L55" s="241"/>
    </row>
    <row r="56" ht="15.75" customHeight="1">
      <c r="A56" s="252"/>
      <c r="B56" s="301"/>
      <c r="C56" s="303"/>
      <c r="D56" s="303"/>
      <c r="E56" s="303"/>
      <c r="F56" s="303"/>
      <c r="G56" s="303"/>
      <c r="H56" s="303"/>
      <c r="I56" s="303"/>
      <c r="J56" s="241"/>
      <c r="K56" s="241"/>
      <c r="L56" s="241"/>
    </row>
    <row r="57" ht="15.75" customHeight="1">
      <c r="A57" s="252"/>
      <c r="B57" s="230"/>
      <c r="C57" s="230"/>
      <c r="D57" s="230"/>
      <c r="E57" s="231"/>
      <c r="F57" s="232"/>
      <c r="G57" s="232"/>
      <c r="H57" s="230"/>
      <c r="I57" s="230"/>
      <c r="J57" s="230"/>
      <c r="K57" s="230"/>
      <c r="L57" s="230"/>
      <c r="M57" s="233"/>
    </row>
    <row r="58" ht="15.75" customHeight="1">
      <c r="A58" s="252"/>
      <c r="B58" s="234"/>
      <c r="C58" s="235" t="s">
        <v>313</v>
      </c>
      <c r="D58" s="236" t="s">
        <v>734</v>
      </c>
      <c r="E58" s="237"/>
      <c r="F58" s="237"/>
      <c r="G58" s="237"/>
      <c r="H58" s="237"/>
      <c r="I58" s="237"/>
      <c r="J58" s="238"/>
      <c r="K58" s="231"/>
      <c r="L58" s="230"/>
      <c r="M58" s="233"/>
    </row>
    <row r="59" ht="15.75" customHeight="1">
      <c r="A59" s="252"/>
      <c r="B59" s="239"/>
      <c r="C59" s="230"/>
      <c r="D59" s="230"/>
      <c r="E59" s="231"/>
      <c r="F59" s="232"/>
      <c r="G59" s="232"/>
      <c r="H59" s="230"/>
      <c r="I59" s="230"/>
      <c r="J59" s="230"/>
      <c r="K59" s="230"/>
      <c r="L59" s="230"/>
      <c r="M59" s="233"/>
    </row>
    <row r="60" ht="15.75" customHeight="1">
      <c r="A60" s="252"/>
      <c r="B60" s="240"/>
      <c r="C60" s="241"/>
      <c r="D60" s="242"/>
      <c r="E60" s="243"/>
      <c r="F60" s="244"/>
      <c r="G60" s="244"/>
      <c r="H60" s="241"/>
      <c r="I60" s="241"/>
      <c r="J60" s="241"/>
      <c r="K60" s="241"/>
      <c r="L60" s="241"/>
    </row>
    <row r="61" ht="15.75" customHeight="1">
      <c r="A61" s="252"/>
      <c r="B61" s="246" t="s">
        <v>0</v>
      </c>
      <c r="C61" s="246" t="s">
        <v>315</v>
      </c>
      <c r="D61" s="246" t="s">
        <v>316</v>
      </c>
      <c r="E61" s="247" t="s">
        <v>317</v>
      </c>
      <c r="F61" s="248" t="s">
        <v>318</v>
      </c>
      <c r="G61" s="248" t="s">
        <v>319</v>
      </c>
      <c r="H61" s="246" t="s">
        <v>320</v>
      </c>
      <c r="I61" s="246" t="s">
        <v>321</v>
      </c>
      <c r="J61" s="249"/>
      <c r="K61" s="250" t="s">
        <v>322</v>
      </c>
      <c r="L61" s="251"/>
      <c r="M61" s="251"/>
    </row>
    <row r="62" ht="15.75" customHeight="1">
      <c r="A62" s="252"/>
      <c r="B62" s="253" t="str">
        <f t="array" ref="B62">+XLOOKUP(C62,'Base de datos'!C:C,'Base de datos'!A:A,"",FALSE)</f>
        <v/>
      </c>
      <c r="C62" s="254"/>
      <c r="D62" s="255" t="s">
        <v>14</v>
      </c>
      <c r="E62" s="256">
        <f t="array" ref="E62">+XLOOKUP(B62,'Base de datos'!A:A,'Base de datos'!H:H,0)</f>
        <v>0</v>
      </c>
      <c r="F62" s="257"/>
      <c r="G62" s="257"/>
      <c r="H62" s="258" t="str">
        <f t="shared" ref="H62:H65" si="9">IFERROR(1-G62/F62,"")</f>
        <v/>
      </c>
      <c r="I62" s="256">
        <f t="shared" ref="I62:I65" si="10">IFERROR(E62*F62,"")</f>
        <v>0</v>
      </c>
      <c r="J62" s="241"/>
      <c r="K62" s="259" t="s">
        <v>324</v>
      </c>
      <c r="L62" s="260">
        <f>SUM(I62:I73)</f>
        <v>1.523531711</v>
      </c>
      <c r="M62" s="261"/>
    </row>
    <row r="63" ht="15.75" customHeight="1">
      <c r="A63" s="252"/>
      <c r="B63" s="262" t="str">
        <f>TEKILLOS!K29</f>
        <v>#REF!</v>
      </c>
      <c r="C63" s="262" t="str">
        <f>TEKILLOS!C29</f>
        <v>#REF!</v>
      </c>
      <c r="D63" s="263" t="s">
        <v>14</v>
      </c>
      <c r="E63" s="264" t="str">
        <f>TEKILLOS!K35</f>
        <v>#REF!</v>
      </c>
      <c r="F63" s="265"/>
      <c r="G63" s="265"/>
      <c r="H63" s="266" t="str">
        <f t="shared" si="9"/>
        <v/>
      </c>
      <c r="I63" s="264" t="str">
        <f t="shared" si="10"/>
        <v/>
      </c>
      <c r="J63" s="241"/>
      <c r="K63" s="267" t="s">
        <v>325</v>
      </c>
      <c r="L63" s="268">
        <v>5.0</v>
      </c>
      <c r="M63" s="261"/>
    </row>
    <row r="64" ht="15.75" customHeight="1">
      <c r="A64" s="252"/>
      <c r="B64" s="269">
        <f t="array" ref="B64">+XLOOKUP(C64,'Base de datos'!C:C,'Base de datos'!A:A,"",FALSE)</f>
        <v>145</v>
      </c>
      <c r="C64" s="270" t="s">
        <v>174</v>
      </c>
      <c r="D64" s="275" t="s">
        <v>20</v>
      </c>
      <c r="E64" s="256">
        <f t="array" ref="E64">+XLOOKUP(B64,'Base de datos'!A:A,'Base de datos'!H:H,0)</f>
        <v>0.3887083333</v>
      </c>
      <c r="F64" s="271">
        <v>3.0</v>
      </c>
      <c r="G64" s="271"/>
      <c r="H64" s="258">
        <f t="shared" si="9"/>
        <v>1</v>
      </c>
      <c r="I64" s="256">
        <f t="shared" si="10"/>
        <v>1.166125</v>
      </c>
      <c r="J64" s="241"/>
      <c r="K64" s="272" t="s">
        <v>326</v>
      </c>
      <c r="L64" s="273">
        <f>L63/1.1</f>
        <v>4.545454545</v>
      </c>
      <c r="M64" s="274"/>
    </row>
    <row r="65" ht="15.75" customHeight="1">
      <c r="A65" s="252"/>
      <c r="B65" s="269">
        <f t="array" ref="B65">+XLOOKUP(C65,'Base de datos'!C:C,'Base de datos'!A:A,"",FALSE)</f>
        <v>132</v>
      </c>
      <c r="C65" s="270" t="s">
        <v>159</v>
      </c>
      <c r="D65" s="255" t="s">
        <v>14</v>
      </c>
      <c r="E65" s="256">
        <f t="array" ref="E65">+XLOOKUP(B65,'Base de datos'!A:A,'Base de datos'!H:H,0)</f>
        <v>3.014534211</v>
      </c>
      <c r="F65" s="271">
        <v>0.05</v>
      </c>
      <c r="G65" s="271"/>
      <c r="H65" s="258">
        <f t="shared" si="9"/>
        <v>1</v>
      </c>
      <c r="I65" s="256">
        <f t="shared" si="10"/>
        <v>0.1507267105</v>
      </c>
      <c r="J65" s="241"/>
      <c r="K65" s="276" t="s">
        <v>327</v>
      </c>
      <c r="L65" s="277">
        <v>0.1</v>
      </c>
      <c r="M65" s="278"/>
    </row>
    <row r="66" ht="15.75" customHeight="1">
      <c r="A66" s="252"/>
      <c r="B66" s="253"/>
      <c r="C66" s="270"/>
      <c r="D66" s="275"/>
      <c r="E66" s="256"/>
      <c r="F66" s="271"/>
      <c r="G66" s="271"/>
      <c r="H66" s="258"/>
      <c r="I66" s="256"/>
      <c r="J66" s="241"/>
      <c r="K66" s="279" t="s">
        <v>328</v>
      </c>
      <c r="L66" s="280">
        <f>L62/L64*100</f>
        <v>33.51769763</v>
      </c>
      <c r="M66" s="281" t="s">
        <v>329</v>
      </c>
    </row>
    <row r="67" ht="15.75" customHeight="1">
      <c r="A67" s="240"/>
      <c r="B67" s="253"/>
      <c r="C67" s="270"/>
      <c r="D67" s="275"/>
      <c r="E67" s="256"/>
      <c r="F67" s="271"/>
      <c r="G67" s="271"/>
      <c r="H67" s="258"/>
      <c r="I67" s="256"/>
      <c r="J67" s="241"/>
      <c r="K67" s="282" t="s">
        <v>330</v>
      </c>
      <c r="L67" s="283">
        <f>100-L66</f>
        <v>66.48230237</v>
      </c>
      <c r="M67" s="284" t="s">
        <v>329</v>
      </c>
    </row>
    <row r="68" ht="15.75" customHeight="1">
      <c r="A68" s="295"/>
      <c r="B68" s="253"/>
      <c r="C68" s="270"/>
      <c r="D68" s="255"/>
      <c r="E68" s="256"/>
      <c r="F68" s="271"/>
      <c r="G68" s="271"/>
      <c r="H68" s="258"/>
      <c r="I68" s="256"/>
      <c r="J68" s="241"/>
      <c r="L68" s="288"/>
    </row>
    <row r="69" ht="15.75" customHeight="1">
      <c r="A69" s="299"/>
      <c r="B69" s="253"/>
      <c r="C69" s="270"/>
      <c r="D69" s="275"/>
      <c r="E69" s="256"/>
      <c r="F69" s="271"/>
      <c r="G69" s="271"/>
      <c r="H69" s="258"/>
      <c r="I69" s="256"/>
      <c r="J69" s="241"/>
      <c r="K69" s="250" t="s">
        <v>323</v>
      </c>
      <c r="L69" s="251"/>
      <c r="M69" s="251"/>
    </row>
    <row r="70" ht="15.75" customHeight="1">
      <c r="A70" s="301"/>
      <c r="B70" s="253"/>
      <c r="C70" s="270"/>
      <c r="D70" s="255"/>
      <c r="E70" s="256"/>
      <c r="F70" s="271"/>
      <c r="G70" s="257"/>
      <c r="H70" s="258"/>
      <c r="I70" s="256"/>
      <c r="J70" s="241"/>
      <c r="K70" s="259" t="s">
        <v>324</v>
      </c>
      <c r="L70" s="260">
        <f>L62</f>
        <v>1.523531711</v>
      </c>
      <c r="M70" s="261"/>
    </row>
    <row r="71" ht="15.75" customHeight="1">
      <c r="A71" s="301"/>
      <c r="B71" s="269">
        <f t="array" ref="B71">+XLOOKUP(C71,'Base de datos'!C:C,'Base de datos'!A:A,"",FALSE)</f>
        <v>93</v>
      </c>
      <c r="C71" s="270" t="s">
        <v>114</v>
      </c>
      <c r="D71" s="275" t="s">
        <v>20</v>
      </c>
      <c r="E71" s="256">
        <f t="array" ref="E71">+XLOOKUP(B71,'Base de datos'!A:A,'Base de datos'!H:H,0)</f>
        <v>0.0277</v>
      </c>
      <c r="F71" s="271">
        <v>1.0</v>
      </c>
      <c r="G71" s="271">
        <v>1.0</v>
      </c>
      <c r="H71" s="258">
        <f t="shared" ref="H71:H72" si="11">IFERROR(1-G71/F71,"")</f>
        <v>0</v>
      </c>
      <c r="I71" s="256">
        <f t="shared" ref="I71:I72" si="12">IFERROR(E71*F71,"")</f>
        <v>0.0277</v>
      </c>
      <c r="J71" s="241"/>
      <c r="K71" s="267" t="s">
        <v>325</v>
      </c>
      <c r="L71" s="268">
        <v>7.0</v>
      </c>
      <c r="M71" s="261"/>
    </row>
    <row r="72" ht="15.75" customHeight="1">
      <c r="A72" s="301"/>
      <c r="B72" s="269">
        <f t="array" ref="B72">+XLOOKUP(C72,'Base de datos'!C:C,'Base de datos'!A:A,"",FALSE)</f>
        <v>9</v>
      </c>
      <c r="C72" s="270" t="s">
        <v>25</v>
      </c>
      <c r="D72" s="275" t="s">
        <v>20</v>
      </c>
      <c r="E72" s="256">
        <f t="array" ref="E72">+XLOOKUP(B72,'Base de datos'!A:A,'Base de datos'!H:H,0)</f>
        <v>0.17898</v>
      </c>
      <c r="F72" s="271">
        <v>1.0</v>
      </c>
      <c r="G72" s="271">
        <v>1.0</v>
      </c>
      <c r="H72" s="258">
        <f t="shared" si="11"/>
        <v>0</v>
      </c>
      <c r="I72" s="256">
        <f t="shared" si="12"/>
        <v>0.17898</v>
      </c>
      <c r="J72" s="241"/>
      <c r="K72" s="272" t="s">
        <v>326</v>
      </c>
      <c r="L72" s="273">
        <f>L71/1.1</f>
        <v>6.363636364</v>
      </c>
      <c r="M72" s="274"/>
    </row>
    <row r="73" ht="15.75" customHeight="1">
      <c r="A73" s="301"/>
      <c r="B73" s="253"/>
      <c r="C73" s="270"/>
      <c r="D73" s="255"/>
      <c r="E73" s="256"/>
      <c r="F73" s="271"/>
      <c r="G73" s="257"/>
      <c r="H73" s="258"/>
      <c r="I73" s="256"/>
      <c r="J73" s="241"/>
      <c r="K73" s="276" t="s">
        <v>327</v>
      </c>
      <c r="L73" s="277">
        <v>0.1</v>
      </c>
      <c r="M73" s="278"/>
    </row>
    <row r="74" ht="15.75" customHeight="1">
      <c r="A74" s="301"/>
      <c r="B74" s="240"/>
      <c r="C74" s="241"/>
      <c r="D74" s="242"/>
      <c r="E74" s="243"/>
      <c r="F74" s="244"/>
      <c r="G74" s="244"/>
      <c r="H74" s="241"/>
      <c r="I74" s="241"/>
      <c r="J74" s="241"/>
      <c r="K74" s="279" t="s">
        <v>328</v>
      </c>
      <c r="L74" s="280">
        <f>L70/L72*100</f>
        <v>23.94121259</v>
      </c>
      <c r="M74" s="281" t="s">
        <v>329</v>
      </c>
    </row>
    <row r="75" ht="15.75" customHeight="1">
      <c r="A75" s="301"/>
      <c r="B75" s="295"/>
      <c r="C75" s="296" t="s">
        <v>337</v>
      </c>
      <c r="D75" s="297"/>
      <c r="E75" s="297"/>
      <c r="F75" s="297"/>
      <c r="G75" s="297"/>
      <c r="H75" s="297"/>
      <c r="I75" s="298"/>
      <c r="J75" s="241"/>
      <c r="K75" s="285" t="s">
        <v>330</v>
      </c>
      <c r="L75" s="286">
        <f>L72-L70</f>
        <v>4.840104653</v>
      </c>
      <c r="M75" s="287" t="s">
        <v>331</v>
      </c>
    </row>
    <row r="76" ht="15.75" customHeight="1">
      <c r="A76" s="301"/>
      <c r="B76" s="299"/>
      <c r="C76" s="300"/>
      <c r="D76" s="297"/>
      <c r="E76" s="297"/>
      <c r="F76" s="297"/>
      <c r="G76" s="297"/>
      <c r="H76" s="297"/>
      <c r="I76" s="298"/>
      <c r="J76" s="241"/>
      <c r="K76" s="289" t="s">
        <v>332</v>
      </c>
      <c r="L76" s="290">
        <f>L72-L70-(L71*0.2)</f>
        <v>3.440104653</v>
      </c>
      <c r="M76" s="291" t="s">
        <v>331</v>
      </c>
    </row>
    <row r="77" ht="15.75" customHeight="1">
      <c r="A77" s="307"/>
      <c r="B77" s="301"/>
      <c r="C77" s="306" t="s">
        <v>732</v>
      </c>
      <c r="I77" s="278"/>
      <c r="J77" s="241"/>
      <c r="K77" s="289" t="s">
        <v>332</v>
      </c>
      <c r="L77" s="292">
        <f>L76/L72</f>
        <v>0.5405878741</v>
      </c>
      <c r="M77" s="291" t="s">
        <v>329</v>
      </c>
    </row>
    <row r="78" ht="15.75" customHeight="1">
      <c r="A78" s="307"/>
      <c r="B78" s="301"/>
      <c r="C78" s="302"/>
      <c r="I78" s="278"/>
      <c r="J78" s="241"/>
      <c r="K78" s="241"/>
      <c r="L78" s="241"/>
    </row>
    <row r="79" ht="15.75" customHeight="1">
      <c r="A79" s="307"/>
      <c r="B79" s="301"/>
      <c r="C79" s="302"/>
      <c r="I79" s="278"/>
      <c r="J79" s="241"/>
      <c r="K79" s="241"/>
      <c r="L79" s="241"/>
    </row>
    <row r="80" ht="15.75" customHeight="1">
      <c r="A80" s="307"/>
      <c r="B80" s="301"/>
      <c r="C80" s="302"/>
      <c r="I80" s="278"/>
      <c r="J80" s="241"/>
      <c r="K80" s="241"/>
      <c r="L80" s="241"/>
    </row>
    <row r="81" ht="15.75" customHeight="1">
      <c r="A81" s="307"/>
      <c r="B81" s="301"/>
      <c r="C81" s="302"/>
      <c r="I81" s="278"/>
      <c r="J81" s="241"/>
      <c r="K81" s="241"/>
      <c r="L81" s="241"/>
    </row>
    <row r="82" ht="15.75" customHeight="1">
      <c r="A82" s="307"/>
      <c r="B82" s="301"/>
      <c r="C82" s="302"/>
      <c r="I82" s="278"/>
      <c r="J82" s="241"/>
      <c r="K82" s="241"/>
      <c r="L82" s="241"/>
    </row>
    <row r="83" ht="15.75" customHeight="1">
      <c r="A83" s="307"/>
      <c r="B83" s="301"/>
      <c r="C83" s="304"/>
      <c r="D83" s="305"/>
      <c r="E83" s="305"/>
      <c r="F83" s="305"/>
      <c r="G83" s="305"/>
      <c r="H83" s="305"/>
      <c r="I83" s="274"/>
      <c r="J83" s="241"/>
      <c r="K83" s="241"/>
      <c r="L83" s="241"/>
    </row>
    <row r="84" ht="15.75" customHeight="1">
      <c r="A84" s="307"/>
      <c r="B84" s="307"/>
      <c r="D84" s="308"/>
      <c r="E84" s="309"/>
    </row>
    <row r="85" ht="15.75" customHeight="1">
      <c r="A85" s="307"/>
      <c r="B85" s="230"/>
      <c r="C85" s="230"/>
      <c r="D85" s="230"/>
      <c r="E85" s="231"/>
      <c r="F85" s="232"/>
      <c r="G85" s="232"/>
      <c r="H85" s="230"/>
      <c r="I85" s="230"/>
      <c r="J85" s="230"/>
      <c r="K85" s="230"/>
      <c r="L85" s="230"/>
      <c r="M85" s="233"/>
    </row>
    <row r="86" ht="15.75" customHeight="1">
      <c r="A86" s="307"/>
      <c r="B86" s="234"/>
      <c r="C86" s="235" t="s">
        <v>313</v>
      </c>
      <c r="D86" s="236" t="s">
        <v>260</v>
      </c>
      <c r="E86" s="237"/>
      <c r="F86" s="237"/>
      <c r="G86" s="237"/>
      <c r="H86" s="237"/>
      <c r="I86" s="237"/>
      <c r="J86" s="238"/>
      <c r="K86" s="231"/>
      <c r="L86" s="230"/>
      <c r="M86" s="233"/>
    </row>
    <row r="87" ht="15.75" customHeight="1">
      <c r="A87" s="307"/>
      <c r="B87" s="239"/>
      <c r="C87" s="230"/>
      <c r="D87" s="230"/>
      <c r="E87" s="231"/>
      <c r="F87" s="232"/>
      <c r="G87" s="232"/>
      <c r="H87" s="230"/>
      <c r="I87" s="230"/>
      <c r="J87" s="230"/>
      <c r="K87" s="230"/>
      <c r="L87" s="230"/>
      <c r="M87" s="233"/>
    </row>
    <row r="88" ht="15.75" customHeight="1">
      <c r="A88" s="307"/>
      <c r="B88" s="240"/>
      <c r="C88" s="241"/>
      <c r="D88" s="242"/>
      <c r="E88" s="243"/>
      <c r="F88" s="244"/>
      <c r="G88" s="244"/>
      <c r="H88" s="241"/>
      <c r="I88" s="241"/>
      <c r="J88" s="241"/>
      <c r="K88" s="241"/>
      <c r="L88" s="241"/>
    </row>
    <row r="89" ht="15.75" customHeight="1">
      <c r="A89" s="307"/>
      <c r="B89" s="246" t="s">
        <v>0</v>
      </c>
      <c r="C89" s="246" t="s">
        <v>315</v>
      </c>
      <c r="D89" s="246" t="s">
        <v>316</v>
      </c>
      <c r="E89" s="247" t="s">
        <v>317</v>
      </c>
      <c r="F89" s="248" t="s">
        <v>318</v>
      </c>
      <c r="G89" s="248" t="s">
        <v>319</v>
      </c>
      <c r="H89" s="246" t="s">
        <v>320</v>
      </c>
      <c r="I89" s="246" t="s">
        <v>321</v>
      </c>
      <c r="J89" s="249"/>
      <c r="K89" s="250" t="s">
        <v>322</v>
      </c>
      <c r="L89" s="251"/>
      <c r="M89" s="251"/>
    </row>
    <row r="90" ht="15.75" customHeight="1">
      <c r="A90" s="307"/>
      <c r="B90" s="253" t="str">
        <f t="array" ref="B90">+XLOOKUP(C90,'Base de datos'!C:C,'Base de datos'!A:A,"",FALSE)</f>
        <v/>
      </c>
      <c r="C90" s="254"/>
      <c r="D90" s="255" t="s">
        <v>14</v>
      </c>
      <c r="E90" s="256">
        <f t="array" ref="E90">+XLOOKUP(B90,'Base de datos'!A:A,'Base de datos'!H:H,0)</f>
        <v>0</v>
      </c>
      <c r="F90" s="257"/>
      <c r="G90" s="257"/>
      <c r="H90" s="258" t="str">
        <f t="shared" ref="H90:H93" si="13">IFERROR(1-G90/F90,"")</f>
        <v/>
      </c>
      <c r="I90" s="256">
        <f t="shared" ref="I90:I93" si="14">IFERROR(E90*F90,"")</f>
        <v>0</v>
      </c>
      <c r="J90" s="241"/>
      <c r="K90" s="259" t="s">
        <v>324</v>
      </c>
      <c r="L90" s="260">
        <f>SUM(I90:I101)</f>
        <v>1.558906711</v>
      </c>
      <c r="M90" s="261"/>
    </row>
    <row r="91" ht="15.75" customHeight="1">
      <c r="A91" s="307"/>
      <c r="B91" s="262" t="str">
        <f>LAGRIMITAS!K29</f>
        <v>#REF!</v>
      </c>
      <c r="C91" s="262" t="str">
        <f>LAGRIMITAS!C29</f>
        <v>#REF!</v>
      </c>
      <c r="D91" s="263" t="s">
        <v>14</v>
      </c>
      <c r="E91" s="264" t="str">
        <f>LAGRIMITAS!K35</f>
        <v>#REF!</v>
      </c>
      <c r="F91" s="265"/>
      <c r="G91" s="265"/>
      <c r="H91" s="266" t="str">
        <f t="shared" si="13"/>
        <v/>
      </c>
      <c r="I91" s="264" t="str">
        <f t="shared" si="14"/>
        <v/>
      </c>
      <c r="J91" s="241"/>
      <c r="K91" s="267" t="s">
        <v>325</v>
      </c>
      <c r="L91" s="268">
        <v>6.0</v>
      </c>
      <c r="M91" s="261"/>
    </row>
    <row r="92" ht="15.75" customHeight="1">
      <c r="A92" s="307"/>
      <c r="B92" s="269">
        <f t="array" ref="B92">+XLOOKUP(C92,'Base de datos'!C:C,'Base de datos'!A:A,"",FALSE)</f>
        <v>38</v>
      </c>
      <c r="C92" s="270" t="s">
        <v>68</v>
      </c>
      <c r="D92" s="255" t="s">
        <v>14</v>
      </c>
      <c r="E92" s="256">
        <f t="array" ref="E92">+XLOOKUP(B92,'Base de datos'!A:A,'Base de datos'!H:H,0)</f>
        <v>6</v>
      </c>
      <c r="F92" s="271">
        <v>0.168</v>
      </c>
      <c r="G92" s="271">
        <v>0.16</v>
      </c>
      <c r="H92" s="258">
        <f t="shared" si="13"/>
        <v>0.04761904762</v>
      </c>
      <c r="I92" s="256">
        <f t="shared" si="14"/>
        <v>1.008</v>
      </c>
      <c r="J92" s="241"/>
      <c r="K92" s="272" t="s">
        <v>326</v>
      </c>
      <c r="L92" s="273">
        <f>L91/1.1</f>
        <v>5.454545455</v>
      </c>
      <c r="M92" s="274"/>
    </row>
    <row r="93" ht="15.75" customHeight="1">
      <c r="A93" s="307"/>
      <c r="B93" s="269">
        <f t="array" ref="B93">+XLOOKUP(C93,'Base de datos'!C:C,'Base de datos'!A:A,"",FALSE)</f>
        <v>132</v>
      </c>
      <c r="C93" s="270" t="s">
        <v>159</v>
      </c>
      <c r="D93" s="255" t="s">
        <v>14</v>
      </c>
      <c r="E93" s="256">
        <f t="array" ref="E93">+XLOOKUP(B93,'Base de datos'!A:A,'Base de datos'!H:H,0)</f>
        <v>3.014534211</v>
      </c>
      <c r="F93" s="271">
        <v>0.05</v>
      </c>
      <c r="G93" s="271"/>
      <c r="H93" s="258">
        <f t="shared" si="13"/>
        <v>1</v>
      </c>
      <c r="I93" s="256">
        <f t="shared" si="14"/>
        <v>0.1507267105</v>
      </c>
      <c r="J93" s="241"/>
      <c r="K93" s="276" t="s">
        <v>327</v>
      </c>
      <c r="L93" s="277">
        <v>0.1</v>
      </c>
      <c r="M93" s="278"/>
    </row>
    <row r="94" ht="15.75" customHeight="1">
      <c r="A94" s="307"/>
      <c r="B94" s="253"/>
      <c r="C94" s="270"/>
      <c r="D94" s="275"/>
      <c r="E94" s="256"/>
      <c r="F94" s="271"/>
      <c r="G94" s="271"/>
      <c r="H94" s="258"/>
      <c r="I94" s="256"/>
      <c r="J94" s="241"/>
      <c r="K94" s="279" t="s">
        <v>328</v>
      </c>
      <c r="L94" s="280">
        <f>L90/L92*100</f>
        <v>28.57995636</v>
      </c>
      <c r="M94" s="281" t="s">
        <v>329</v>
      </c>
    </row>
    <row r="95" ht="15.75" customHeight="1">
      <c r="A95" s="307"/>
      <c r="B95" s="253"/>
      <c r="C95" s="270"/>
      <c r="D95" s="275"/>
      <c r="E95" s="256"/>
      <c r="F95" s="271"/>
      <c r="G95" s="271"/>
      <c r="H95" s="258"/>
      <c r="I95" s="256"/>
      <c r="J95" s="241"/>
      <c r="K95" s="282" t="s">
        <v>330</v>
      </c>
      <c r="L95" s="283">
        <f>100-L94</f>
        <v>71.42004364</v>
      </c>
      <c r="M95" s="284" t="s">
        <v>329</v>
      </c>
    </row>
    <row r="96" ht="15.75" customHeight="1">
      <c r="A96" s="307"/>
      <c r="B96" s="253"/>
      <c r="C96" s="270"/>
      <c r="D96" s="255"/>
      <c r="E96" s="256"/>
      <c r="F96" s="271"/>
      <c r="G96" s="271"/>
      <c r="H96" s="258"/>
      <c r="I96" s="256"/>
      <c r="J96" s="241"/>
      <c r="L96" s="288"/>
    </row>
    <row r="97" ht="15.75" customHeight="1">
      <c r="A97" s="307"/>
      <c r="B97" s="253"/>
      <c r="C97" s="270"/>
      <c r="D97" s="275"/>
      <c r="E97" s="256"/>
      <c r="F97" s="271"/>
      <c r="G97" s="271"/>
      <c r="H97" s="258"/>
      <c r="I97" s="256"/>
      <c r="J97" s="241"/>
      <c r="K97" s="250" t="s">
        <v>323</v>
      </c>
      <c r="L97" s="251"/>
      <c r="M97" s="251"/>
    </row>
    <row r="98" ht="15.75" customHeight="1">
      <c r="A98" s="307"/>
      <c r="B98" s="253"/>
      <c r="C98" s="270"/>
      <c r="D98" s="255"/>
      <c r="E98" s="256"/>
      <c r="F98" s="271"/>
      <c r="G98" s="257"/>
      <c r="H98" s="258"/>
      <c r="I98" s="256"/>
      <c r="J98" s="241"/>
      <c r="K98" s="259" t="s">
        <v>324</v>
      </c>
      <c r="L98" s="260">
        <f>L90</f>
        <v>1.558906711</v>
      </c>
      <c r="M98" s="261"/>
    </row>
    <row r="99" ht="15.75" customHeight="1">
      <c r="A99" s="307"/>
      <c r="B99" s="269">
        <f t="array" ref="B99">+XLOOKUP(C99,'Base de datos'!C:C,'Base de datos'!A:A,"",FALSE)</f>
        <v>93</v>
      </c>
      <c r="C99" s="270" t="s">
        <v>114</v>
      </c>
      <c r="D99" s="275" t="s">
        <v>20</v>
      </c>
      <c r="E99" s="256">
        <f t="array" ref="E99">+XLOOKUP(B99,'Base de datos'!A:A,'Base de datos'!H:H,0)</f>
        <v>0.0277</v>
      </c>
      <c r="F99" s="271">
        <v>1.0</v>
      </c>
      <c r="G99" s="271">
        <v>1.0</v>
      </c>
      <c r="H99" s="258">
        <f t="shared" ref="H99:H101" si="15">IFERROR(1-G99/F99,"")</f>
        <v>0</v>
      </c>
      <c r="I99" s="256">
        <f t="shared" ref="I99:I101" si="16">IFERROR(E99*F99,"")</f>
        <v>0.0277</v>
      </c>
      <c r="J99" s="241"/>
      <c r="K99" s="267" t="s">
        <v>325</v>
      </c>
      <c r="L99" s="268">
        <v>7.0</v>
      </c>
      <c r="M99" s="261"/>
    </row>
    <row r="100" ht="15.75" customHeight="1">
      <c r="A100" s="307"/>
      <c r="B100" s="269">
        <f t="array" ref="B100">+XLOOKUP(C100,'Base de datos'!C:C,'Base de datos'!A:A,"",FALSE)</f>
        <v>9</v>
      </c>
      <c r="C100" s="270" t="s">
        <v>25</v>
      </c>
      <c r="D100" s="275" t="s">
        <v>20</v>
      </c>
      <c r="E100" s="256">
        <f t="array" ref="E100">+XLOOKUP(B100,'Base de datos'!A:A,'Base de datos'!H:H,0)</f>
        <v>0.17898</v>
      </c>
      <c r="F100" s="271">
        <v>1.0</v>
      </c>
      <c r="G100" s="271">
        <v>1.0</v>
      </c>
      <c r="H100" s="258">
        <f t="shared" si="15"/>
        <v>0</v>
      </c>
      <c r="I100" s="256">
        <f t="shared" si="16"/>
        <v>0.17898</v>
      </c>
      <c r="J100" s="241"/>
      <c r="K100" s="272" t="s">
        <v>326</v>
      </c>
      <c r="L100" s="273">
        <f>L99/1.1</f>
        <v>6.363636364</v>
      </c>
      <c r="M100" s="274"/>
    </row>
    <row r="101" ht="15.75" customHeight="1">
      <c r="A101" s="307"/>
      <c r="B101" s="269">
        <f t="array" ref="B101">+XLOOKUP(C101,'Base de datos'!C:C,'Base de datos'!A:A,"",FALSE)</f>
        <v>58</v>
      </c>
      <c r="C101" s="270" t="s">
        <v>85</v>
      </c>
      <c r="D101" s="255" t="s">
        <v>14</v>
      </c>
      <c r="E101" s="256">
        <f t="array" ref="E101">+XLOOKUP(B101,'Base de datos'!A:A,'Base de datos'!H:H,0)</f>
        <v>2.15</v>
      </c>
      <c r="F101" s="271">
        <v>0.09</v>
      </c>
      <c r="G101" s="257"/>
      <c r="H101" s="258">
        <f t="shared" si="15"/>
        <v>1</v>
      </c>
      <c r="I101" s="256">
        <f t="shared" si="16"/>
        <v>0.1935</v>
      </c>
      <c r="J101" s="241"/>
      <c r="K101" s="276" t="s">
        <v>327</v>
      </c>
      <c r="L101" s="277">
        <v>0.1</v>
      </c>
      <c r="M101" s="278"/>
    </row>
    <row r="102" ht="15.75" customHeight="1">
      <c r="A102" s="307"/>
      <c r="B102" s="240"/>
      <c r="C102" s="241"/>
      <c r="D102" s="242"/>
      <c r="E102" s="243"/>
      <c r="F102" s="244"/>
      <c r="G102" s="244"/>
      <c r="H102" s="241"/>
      <c r="I102" s="241"/>
      <c r="J102" s="241"/>
      <c r="K102" s="279" t="s">
        <v>328</v>
      </c>
      <c r="L102" s="280">
        <f>L98/L100*100</f>
        <v>24.49710545</v>
      </c>
      <c r="M102" s="281" t="s">
        <v>329</v>
      </c>
    </row>
    <row r="103" ht="15.75" customHeight="1">
      <c r="A103" s="307"/>
      <c r="B103" s="295"/>
      <c r="C103" s="296" t="s">
        <v>337</v>
      </c>
      <c r="D103" s="297"/>
      <c r="E103" s="297"/>
      <c r="F103" s="297"/>
      <c r="G103" s="297"/>
      <c r="H103" s="297"/>
      <c r="I103" s="298"/>
      <c r="J103" s="241"/>
      <c r="K103" s="285" t="s">
        <v>330</v>
      </c>
      <c r="L103" s="286">
        <f>L100-L98</f>
        <v>4.804729653</v>
      </c>
      <c r="M103" s="287" t="s">
        <v>331</v>
      </c>
    </row>
    <row r="104" ht="15.75" customHeight="1">
      <c r="A104" s="307"/>
      <c r="B104" s="299"/>
      <c r="C104" s="300"/>
      <c r="D104" s="297"/>
      <c r="E104" s="297"/>
      <c r="F104" s="297"/>
      <c r="G104" s="297"/>
      <c r="H104" s="297"/>
      <c r="I104" s="298"/>
      <c r="J104" s="241"/>
      <c r="K104" s="289" t="s">
        <v>332</v>
      </c>
      <c r="L104" s="290">
        <f>L100-L98-(L99*0.2)</f>
        <v>3.404729653</v>
      </c>
      <c r="M104" s="291" t="s">
        <v>331</v>
      </c>
    </row>
    <row r="105" ht="15.75" customHeight="1">
      <c r="A105" s="307"/>
      <c r="B105" s="301"/>
      <c r="C105" s="306" t="s">
        <v>732</v>
      </c>
      <c r="I105" s="278"/>
      <c r="J105" s="241"/>
      <c r="K105" s="289" t="s">
        <v>332</v>
      </c>
      <c r="L105" s="292">
        <f>L104/L100</f>
        <v>0.5350289455</v>
      </c>
      <c r="M105" s="291" t="s">
        <v>329</v>
      </c>
    </row>
    <row r="106" ht="15.75" customHeight="1">
      <c r="A106" s="307"/>
      <c r="B106" s="301"/>
      <c r="C106" s="302"/>
      <c r="I106" s="278"/>
      <c r="J106" s="241"/>
      <c r="K106" s="241"/>
      <c r="L106" s="241"/>
    </row>
    <row r="107" ht="15.75" customHeight="1">
      <c r="A107" s="307"/>
      <c r="B107" s="301"/>
      <c r="C107" s="302"/>
      <c r="I107" s="278"/>
      <c r="J107" s="241"/>
      <c r="K107" s="241"/>
      <c r="L107" s="241"/>
    </row>
    <row r="108" ht="15.75" customHeight="1">
      <c r="A108" s="307"/>
      <c r="B108" s="301"/>
      <c r="C108" s="302"/>
      <c r="I108" s="278"/>
      <c r="J108" s="241"/>
      <c r="K108" s="241"/>
      <c r="L108" s="241"/>
    </row>
    <row r="109" ht="15.75" customHeight="1">
      <c r="A109" s="307"/>
      <c r="B109" s="301"/>
      <c r="C109" s="302"/>
      <c r="I109" s="278"/>
      <c r="J109" s="241"/>
      <c r="K109" s="241"/>
      <c r="L109" s="241"/>
    </row>
    <row r="110" ht="15.75" customHeight="1">
      <c r="A110" s="307"/>
      <c r="B110" s="301"/>
      <c r="C110" s="302"/>
      <c r="I110" s="278"/>
      <c r="J110" s="241"/>
      <c r="K110" s="241"/>
      <c r="L110" s="241"/>
    </row>
    <row r="111" ht="15.75" customHeight="1">
      <c r="A111" s="307"/>
      <c r="B111" s="301"/>
      <c r="C111" s="304"/>
      <c r="D111" s="305"/>
      <c r="E111" s="305"/>
      <c r="F111" s="305"/>
      <c r="G111" s="305"/>
      <c r="H111" s="305"/>
      <c r="I111" s="274"/>
      <c r="J111" s="241"/>
      <c r="K111" s="241"/>
      <c r="L111" s="241"/>
    </row>
    <row r="112" ht="15.75" customHeight="1">
      <c r="A112" s="307"/>
      <c r="B112" s="307"/>
      <c r="D112" s="308"/>
      <c r="E112" s="309"/>
    </row>
    <row r="113" ht="15.75" customHeight="1">
      <c r="A113" s="307"/>
      <c r="B113" s="230"/>
      <c r="C113" s="230"/>
      <c r="D113" s="230"/>
      <c r="E113" s="231"/>
      <c r="F113" s="232"/>
      <c r="G113" s="232"/>
      <c r="H113" s="230"/>
      <c r="I113" s="230"/>
      <c r="J113" s="230"/>
      <c r="K113" s="230"/>
      <c r="L113" s="230"/>
      <c r="M113" s="233"/>
    </row>
    <row r="114" ht="15.75" customHeight="1">
      <c r="A114" s="307"/>
      <c r="B114" s="234"/>
      <c r="C114" s="235" t="s">
        <v>313</v>
      </c>
      <c r="D114" s="236" t="s">
        <v>262</v>
      </c>
      <c r="E114" s="237"/>
      <c r="F114" s="237"/>
      <c r="G114" s="237"/>
      <c r="H114" s="237"/>
      <c r="I114" s="237"/>
      <c r="J114" s="238"/>
      <c r="K114" s="231"/>
      <c r="L114" s="230"/>
      <c r="M114" s="233"/>
    </row>
    <row r="115" ht="15.75" customHeight="1">
      <c r="A115" s="307"/>
      <c r="B115" s="239"/>
      <c r="C115" s="230"/>
      <c r="D115" s="230"/>
      <c r="E115" s="231"/>
      <c r="F115" s="232"/>
      <c r="G115" s="232"/>
      <c r="H115" s="230"/>
      <c r="I115" s="230"/>
      <c r="J115" s="230"/>
      <c r="K115" s="230"/>
      <c r="L115" s="230"/>
      <c r="M115" s="233"/>
    </row>
    <row r="116" ht="15.75" customHeight="1">
      <c r="A116" s="307"/>
      <c r="B116" s="240"/>
      <c r="C116" s="241"/>
      <c r="D116" s="242"/>
      <c r="E116" s="243"/>
      <c r="F116" s="244"/>
      <c r="G116" s="244"/>
      <c r="H116" s="241"/>
      <c r="I116" s="241"/>
      <c r="J116" s="241"/>
      <c r="K116" s="241"/>
      <c r="L116" s="241"/>
    </row>
    <row r="117" ht="15.75" customHeight="1">
      <c r="A117" s="307"/>
      <c r="B117" s="246" t="s">
        <v>0</v>
      </c>
      <c r="C117" s="246" t="s">
        <v>315</v>
      </c>
      <c r="D117" s="246" t="s">
        <v>316</v>
      </c>
      <c r="E117" s="247" t="s">
        <v>317</v>
      </c>
      <c r="F117" s="248" t="s">
        <v>318</v>
      </c>
      <c r="G117" s="248" t="s">
        <v>319</v>
      </c>
      <c r="H117" s="246" t="s">
        <v>320</v>
      </c>
      <c r="I117" s="246" t="s">
        <v>321</v>
      </c>
      <c r="J117" s="249"/>
      <c r="K117" s="250" t="s">
        <v>322</v>
      </c>
      <c r="L117" s="251"/>
      <c r="M117" s="251"/>
    </row>
    <row r="118" ht="15.75" customHeight="1">
      <c r="A118" s="307"/>
      <c r="B118" s="253" t="str">
        <f t="array" ref="B118">+XLOOKUP(C118,'Base de datos'!C:C,'Base de datos'!A:A,"",FALSE)</f>
        <v/>
      </c>
      <c r="C118" s="254"/>
      <c r="D118" s="255" t="s">
        <v>14</v>
      </c>
      <c r="E118" s="256">
        <f t="array" ref="E118">+XLOOKUP(B118,'Base de datos'!A:A,'Base de datos'!H:H,0)</f>
        <v>0</v>
      </c>
      <c r="F118" s="257"/>
      <c r="G118" s="257"/>
      <c r="H118" s="258" t="str">
        <f t="shared" ref="H118:H119" si="17">IFERROR(1-G118/F118,"")</f>
        <v/>
      </c>
      <c r="I118" s="256">
        <f t="shared" ref="I118:I119" si="18">IFERROR(E118*F118,"")</f>
        <v>0</v>
      </c>
      <c r="J118" s="241"/>
      <c r="K118" s="259" t="s">
        <v>324</v>
      </c>
      <c r="L118" s="260">
        <f>SUM(I118:I129)</f>
        <v>0.9166334211</v>
      </c>
      <c r="M118" s="261"/>
    </row>
    <row r="119" ht="15.75" customHeight="1">
      <c r="A119" s="307"/>
      <c r="B119" s="262" t="str">
        <f>'BOX PATATAS'!K29</f>
        <v>#REF!</v>
      </c>
      <c r="C119" s="262" t="str">
        <f>'BOX PATATAS'!C29</f>
        <v>#REF!</v>
      </c>
      <c r="D119" s="263" t="s">
        <v>14</v>
      </c>
      <c r="E119" s="264" t="str">
        <f>'BOX PATATAS'!K35</f>
        <v>#REF!</v>
      </c>
      <c r="F119" s="265"/>
      <c r="G119" s="265"/>
      <c r="H119" s="266" t="str">
        <f t="shared" si="17"/>
        <v/>
      </c>
      <c r="I119" s="264" t="str">
        <f t="shared" si="18"/>
        <v/>
      </c>
      <c r="J119" s="241"/>
      <c r="K119" s="267" t="s">
        <v>325</v>
      </c>
      <c r="L119" s="268">
        <v>5.0</v>
      </c>
      <c r="M119" s="261"/>
    </row>
    <row r="120" ht="15.75" customHeight="1">
      <c r="A120" s="307"/>
      <c r="B120" s="253"/>
      <c r="C120" s="270"/>
      <c r="D120" s="255"/>
      <c r="E120" s="256"/>
      <c r="F120" s="271"/>
      <c r="G120" s="271"/>
      <c r="H120" s="258"/>
      <c r="I120" s="256"/>
      <c r="J120" s="241"/>
      <c r="K120" s="272" t="s">
        <v>326</v>
      </c>
      <c r="L120" s="273">
        <f>L119/1.1</f>
        <v>4.545454545</v>
      </c>
      <c r="M120" s="274"/>
    </row>
    <row r="121" ht="15.75" customHeight="1">
      <c r="A121" s="307"/>
      <c r="B121" s="269">
        <f t="array" ref="B121">+XLOOKUP(C121,'Base de datos'!C:C,'Base de datos'!A:A,"",FALSE)</f>
        <v>132</v>
      </c>
      <c r="C121" s="270" t="s">
        <v>159</v>
      </c>
      <c r="D121" s="255" t="s">
        <v>14</v>
      </c>
      <c r="E121" s="256">
        <f t="array" ref="E121">+XLOOKUP(B121,'Base de datos'!A:A,'Base de datos'!H:H,0)</f>
        <v>3.014534211</v>
      </c>
      <c r="F121" s="271">
        <v>0.05</v>
      </c>
      <c r="G121" s="271"/>
      <c r="H121" s="258">
        <f t="shared" ref="H121:H122" si="19">IFERROR(1-G121/F121,"")</f>
        <v>1</v>
      </c>
      <c r="I121" s="256">
        <f t="shared" ref="I121:I122" si="20">IFERROR(E121*F121,"")</f>
        <v>0.1507267105</v>
      </c>
      <c r="J121" s="241"/>
      <c r="K121" s="276" t="s">
        <v>327</v>
      </c>
      <c r="L121" s="277">
        <v>0.1</v>
      </c>
      <c r="M121" s="278"/>
    </row>
    <row r="122" ht="15.75" customHeight="1">
      <c r="A122" s="307"/>
      <c r="B122" s="269">
        <f t="array" ref="B122">+XLOOKUP(C122,'Base de datos'!C:C,'Base de datos'!A:A,"",FALSE)</f>
        <v>132</v>
      </c>
      <c r="C122" s="270" t="s">
        <v>159</v>
      </c>
      <c r="D122" s="255" t="s">
        <v>14</v>
      </c>
      <c r="E122" s="256">
        <f t="array" ref="E122">+XLOOKUP(B122,'Base de datos'!A:A,'Base de datos'!H:H,0)</f>
        <v>3.014534211</v>
      </c>
      <c r="F122" s="271">
        <v>0.05</v>
      </c>
      <c r="G122" s="271"/>
      <c r="H122" s="258">
        <f t="shared" si="19"/>
        <v>1</v>
      </c>
      <c r="I122" s="256">
        <f t="shared" si="20"/>
        <v>0.1507267105</v>
      </c>
      <c r="J122" s="241"/>
      <c r="K122" s="279" t="s">
        <v>328</v>
      </c>
      <c r="L122" s="280">
        <f>L118/L120*100</f>
        <v>20.16593526</v>
      </c>
      <c r="M122" s="281" t="s">
        <v>329</v>
      </c>
    </row>
    <row r="123" ht="15.75" customHeight="1">
      <c r="A123" s="307"/>
      <c r="B123" s="253"/>
      <c r="C123" s="270"/>
      <c r="D123" s="275"/>
      <c r="E123" s="256"/>
      <c r="F123" s="271"/>
      <c r="G123" s="271"/>
      <c r="H123" s="258"/>
      <c r="I123" s="256"/>
      <c r="J123" s="241"/>
      <c r="K123" s="282" t="s">
        <v>330</v>
      </c>
      <c r="L123" s="283">
        <f>100-L122</f>
        <v>79.83406474</v>
      </c>
      <c r="M123" s="284" t="s">
        <v>329</v>
      </c>
    </row>
    <row r="124" ht="15.75" customHeight="1">
      <c r="A124" s="307"/>
      <c r="B124" s="253"/>
      <c r="C124" s="270"/>
      <c r="D124" s="255"/>
      <c r="E124" s="256"/>
      <c r="F124" s="271"/>
      <c r="G124" s="271"/>
      <c r="H124" s="258"/>
      <c r="I124" s="256"/>
      <c r="J124" s="241"/>
      <c r="L124" s="288"/>
    </row>
    <row r="125" ht="15.75" customHeight="1">
      <c r="A125" s="307"/>
      <c r="B125" s="253"/>
      <c r="C125" s="270"/>
      <c r="D125" s="275"/>
      <c r="E125" s="256"/>
      <c r="F125" s="271"/>
      <c r="G125" s="271"/>
      <c r="H125" s="258"/>
      <c r="I125" s="256"/>
      <c r="J125" s="241"/>
      <c r="K125" s="250" t="s">
        <v>323</v>
      </c>
      <c r="L125" s="251"/>
      <c r="M125" s="251"/>
    </row>
    <row r="126" ht="15.75" customHeight="1">
      <c r="A126" s="307"/>
      <c r="B126" s="253"/>
      <c r="C126" s="270"/>
      <c r="D126" s="255"/>
      <c r="E126" s="256"/>
      <c r="F126" s="271"/>
      <c r="G126" s="257"/>
      <c r="H126" s="258"/>
      <c r="I126" s="256"/>
      <c r="J126" s="241"/>
      <c r="K126" s="259" t="s">
        <v>324</v>
      </c>
      <c r="L126" s="260">
        <f>L118</f>
        <v>0.9166334211</v>
      </c>
      <c r="M126" s="261"/>
    </row>
    <row r="127" ht="15.75" customHeight="1">
      <c r="A127" s="307"/>
      <c r="B127" s="269">
        <f t="array" ref="B127">+XLOOKUP(C127,'Base de datos'!C:C,'Base de datos'!A:A,"",FALSE)</f>
        <v>93</v>
      </c>
      <c r="C127" s="270" t="s">
        <v>114</v>
      </c>
      <c r="D127" s="275" t="s">
        <v>20</v>
      </c>
      <c r="E127" s="256">
        <f t="array" ref="E127">+XLOOKUP(B127,'Base de datos'!A:A,'Base de datos'!H:H,0)</f>
        <v>0.0277</v>
      </c>
      <c r="F127" s="271">
        <v>1.0</v>
      </c>
      <c r="G127" s="271">
        <v>1.0</v>
      </c>
      <c r="H127" s="258">
        <f t="shared" ref="H127:H129" si="21">IFERROR(1-G127/F127,"")</f>
        <v>0</v>
      </c>
      <c r="I127" s="256">
        <f t="shared" ref="I127:I129" si="22">IFERROR(E127*F127,"")</f>
        <v>0.0277</v>
      </c>
      <c r="J127" s="241"/>
      <c r="K127" s="267" t="s">
        <v>325</v>
      </c>
      <c r="L127" s="268">
        <v>6.5</v>
      </c>
      <c r="M127" s="261"/>
    </row>
    <row r="128" ht="15.75" customHeight="1">
      <c r="A128" s="307"/>
      <c r="B128" s="269">
        <f t="array" ref="B128">+XLOOKUP(C128,'Base de datos'!C:C,'Base de datos'!A:A,"",FALSE)</f>
        <v>9</v>
      </c>
      <c r="C128" s="270" t="s">
        <v>25</v>
      </c>
      <c r="D128" s="275" t="s">
        <v>20</v>
      </c>
      <c r="E128" s="256">
        <f t="array" ref="E128">+XLOOKUP(B128,'Base de datos'!A:A,'Base de datos'!H:H,0)</f>
        <v>0.17898</v>
      </c>
      <c r="F128" s="271">
        <v>1.0</v>
      </c>
      <c r="G128" s="271">
        <v>1.0</v>
      </c>
      <c r="H128" s="258">
        <f t="shared" si="21"/>
        <v>0</v>
      </c>
      <c r="I128" s="256">
        <f t="shared" si="22"/>
        <v>0.17898</v>
      </c>
      <c r="J128" s="241"/>
      <c r="K128" s="272" t="s">
        <v>326</v>
      </c>
      <c r="L128" s="273">
        <f>L127/1.1</f>
        <v>5.909090909</v>
      </c>
      <c r="M128" s="274"/>
    </row>
    <row r="129" ht="15.75" customHeight="1">
      <c r="A129" s="307"/>
      <c r="B129" s="269">
        <f t="array" ref="B129">+XLOOKUP(C129,'Base de datos'!C:C,'Base de datos'!A:A,"",FALSE)</f>
        <v>58</v>
      </c>
      <c r="C129" s="270" t="s">
        <v>85</v>
      </c>
      <c r="D129" s="255" t="s">
        <v>14</v>
      </c>
      <c r="E129" s="256">
        <f t="array" ref="E129">+XLOOKUP(B129,'Base de datos'!A:A,'Base de datos'!H:H,0)</f>
        <v>2.15</v>
      </c>
      <c r="F129" s="271">
        <v>0.19</v>
      </c>
      <c r="G129" s="257"/>
      <c r="H129" s="258">
        <f t="shared" si="21"/>
        <v>1</v>
      </c>
      <c r="I129" s="256">
        <f t="shared" si="22"/>
        <v>0.4085</v>
      </c>
      <c r="J129" s="241"/>
      <c r="K129" s="276" t="s">
        <v>327</v>
      </c>
      <c r="L129" s="277">
        <v>0.1</v>
      </c>
      <c r="M129" s="278"/>
    </row>
    <row r="130" ht="15.75" customHeight="1">
      <c r="A130" s="307"/>
      <c r="B130" s="240"/>
      <c r="C130" s="241"/>
      <c r="D130" s="242"/>
      <c r="E130" s="243"/>
      <c r="F130" s="244"/>
      <c r="G130" s="244"/>
      <c r="H130" s="241"/>
      <c r="I130" s="241"/>
      <c r="J130" s="241"/>
      <c r="K130" s="279" t="s">
        <v>328</v>
      </c>
      <c r="L130" s="280">
        <f>L126/L128*100</f>
        <v>15.51225789</v>
      </c>
      <c r="M130" s="281" t="s">
        <v>329</v>
      </c>
    </row>
    <row r="131" ht="15.75" customHeight="1">
      <c r="A131" s="307"/>
      <c r="B131" s="295"/>
      <c r="C131" s="296" t="s">
        <v>337</v>
      </c>
      <c r="D131" s="297"/>
      <c r="E131" s="297"/>
      <c r="F131" s="297"/>
      <c r="G131" s="297"/>
      <c r="H131" s="297"/>
      <c r="I131" s="298"/>
      <c r="J131" s="241"/>
      <c r="K131" s="285" t="s">
        <v>330</v>
      </c>
      <c r="L131" s="286">
        <f>L128-L126</f>
        <v>4.992457488</v>
      </c>
      <c r="M131" s="287" t="s">
        <v>331</v>
      </c>
    </row>
    <row r="132" ht="15.75" customHeight="1">
      <c r="A132" s="307"/>
      <c r="B132" s="299"/>
      <c r="C132" s="300"/>
      <c r="D132" s="297"/>
      <c r="E132" s="297"/>
      <c r="F132" s="297"/>
      <c r="G132" s="297"/>
      <c r="H132" s="297"/>
      <c r="I132" s="298"/>
      <c r="J132" s="241"/>
      <c r="K132" s="289" t="s">
        <v>332</v>
      </c>
      <c r="L132" s="290">
        <f>L128-L126-(L127*0.2)</f>
        <v>3.692457488</v>
      </c>
      <c r="M132" s="291" t="s">
        <v>331</v>
      </c>
    </row>
    <row r="133" ht="15.75" customHeight="1">
      <c r="A133" s="307"/>
      <c r="B133" s="301"/>
      <c r="C133" s="306"/>
      <c r="I133" s="278"/>
      <c r="J133" s="241"/>
      <c r="K133" s="289" t="s">
        <v>332</v>
      </c>
      <c r="L133" s="292">
        <f>L132/L128</f>
        <v>0.6248774211</v>
      </c>
      <c r="M133" s="291" t="s">
        <v>329</v>
      </c>
    </row>
    <row r="134" ht="15.75" customHeight="1">
      <c r="A134" s="307"/>
      <c r="B134" s="301"/>
      <c r="C134" s="302"/>
      <c r="I134" s="278"/>
      <c r="J134" s="241"/>
      <c r="K134" s="241"/>
      <c r="L134" s="241"/>
    </row>
    <row r="135" ht="15.75" customHeight="1">
      <c r="A135" s="307"/>
      <c r="B135" s="301"/>
      <c r="C135" s="302"/>
      <c r="I135" s="278"/>
      <c r="J135" s="241"/>
      <c r="K135" s="241"/>
      <c r="L135" s="241"/>
    </row>
    <row r="136" ht="15.75" customHeight="1">
      <c r="A136" s="307"/>
      <c r="B136" s="301"/>
      <c r="C136" s="302"/>
      <c r="I136" s="278"/>
      <c r="J136" s="241"/>
      <c r="K136" s="241"/>
      <c r="L136" s="241"/>
    </row>
    <row r="137" ht="15.75" customHeight="1">
      <c r="A137" s="307"/>
      <c r="B137" s="301"/>
      <c r="C137" s="302"/>
      <c r="I137" s="278"/>
      <c r="J137" s="241"/>
      <c r="K137" s="241"/>
      <c r="L137" s="241"/>
    </row>
    <row r="138" ht="15.75" customHeight="1">
      <c r="A138" s="307"/>
      <c r="B138" s="301"/>
      <c r="C138" s="302"/>
      <c r="I138" s="278"/>
      <c r="J138" s="241"/>
      <c r="K138" s="241"/>
      <c r="L138" s="241"/>
    </row>
    <row r="139" ht="15.75" customHeight="1">
      <c r="A139" s="307"/>
      <c r="B139" s="301"/>
      <c r="C139" s="304"/>
      <c r="D139" s="305"/>
      <c r="E139" s="305"/>
      <c r="F139" s="305"/>
      <c r="G139" s="305"/>
      <c r="H139" s="305"/>
      <c r="I139" s="274"/>
      <c r="J139" s="241"/>
      <c r="K139" s="241"/>
      <c r="L139" s="241"/>
    </row>
    <row r="140" ht="15.75" customHeight="1">
      <c r="A140" s="307"/>
      <c r="B140" s="307"/>
      <c r="D140" s="308"/>
      <c r="E140" s="309"/>
    </row>
    <row r="141" ht="15.75" customHeight="1">
      <c r="A141" s="307"/>
      <c r="B141" s="230"/>
      <c r="C141" s="230"/>
      <c r="D141" s="230"/>
      <c r="E141" s="231"/>
      <c r="F141" s="232"/>
      <c r="G141" s="232"/>
      <c r="H141" s="230"/>
      <c r="I141" s="230"/>
      <c r="J141" s="230"/>
      <c r="K141" s="230"/>
      <c r="L141" s="230"/>
      <c r="M141" s="233"/>
    </row>
    <row r="142" ht="15.75" customHeight="1">
      <c r="A142" s="307"/>
      <c r="B142" s="234"/>
      <c r="C142" s="235" t="s">
        <v>313</v>
      </c>
      <c r="D142" s="236" t="s">
        <v>735</v>
      </c>
      <c r="E142" s="237"/>
      <c r="F142" s="237"/>
      <c r="G142" s="237"/>
      <c r="H142" s="237"/>
      <c r="I142" s="237"/>
      <c r="J142" s="238"/>
      <c r="K142" s="231"/>
      <c r="L142" s="230"/>
      <c r="M142" s="233"/>
    </row>
    <row r="143" ht="15.75" customHeight="1">
      <c r="A143" s="307"/>
      <c r="B143" s="239"/>
      <c r="C143" s="230"/>
      <c r="D143" s="230"/>
      <c r="E143" s="231"/>
      <c r="F143" s="232"/>
      <c r="G143" s="232"/>
      <c r="H143" s="230"/>
      <c r="I143" s="230"/>
      <c r="J143" s="230"/>
      <c r="K143" s="230"/>
      <c r="L143" s="230"/>
      <c r="M143" s="233"/>
    </row>
    <row r="144" ht="15.75" customHeight="1">
      <c r="A144" s="307"/>
      <c r="B144" s="240"/>
      <c r="C144" s="241"/>
      <c r="D144" s="242"/>
      <c r="E144" s="243"/>
      <c r="F144" s="244"/>
      <c r="G144" s="244"/>
      <c r="H144" s="241"/>
      <c r="I144" s="241"/>
      <c r="J144" s="241"/>
      <c r="K144" s="241"/>
      <c r="L144" s="241"/>
    </row>
    <row r="145" ht="15.75" customHeight="1">
      <c r="A145" s="307"/>
      <c r="B145" s="246" t="s">
        <v>0</v>
      </c>
      <c r="C145" s="246" t="s">
        <v>315</v>
      </c>
      <c r="D145" s="246" t="s">
        <v>316</v>
      </c>
      <c r="E145" s="247" t="s">
        <v>317</v>
      </c>
      <c r="F145" s="248" t="s">
        <v>318</v>
      </c>
      <c r="G145" s="248" t="s">
        <v>319</v>
      </c>
      <c r="H145" s="246" t="s">
        <v>320</v>
      </c>
      <c r="I145" s="246" t="s">
        <v>321</v>
      </c>
      <c r="J145" s="249"/>
      <c r="K145" s="250" t="s">
        <v>322</v>
      </c>
      <c r="L145" s="251"/>
      <c r="M145" s="251"/>
    </row>
    <row r="146" ht="15.75" customHeight="1">
      <c r="A146" s="307"/>
      <c r="B146" s="253" t="str">
        <f t="array" ref="B146">+XLOOKUP(C146,'Base de datos'!C:C,'Base de datos'!A:A,"",FALSE)</f>
        <v/>
      </c>
      <c r="C146" s="254"/>
      <c r="D146" s="255" t="s">
        <v>14</v>
      </c>
      <c r="E146" s="256">
        <f t="array" ref="E146">+XLOOKUP(B146,'Base de datos'!A:A,'Base de datos'!H:H,0)</f>
        <v>0</v>
      </c>
      <c r="F146" s="257"/>
      <c r="G146" s="257"/>
      <c r="H146" s="258" t="str">
        <f t="shared" ref="H146:H147" si="23">IFERROR(1-G146/F146,"")</f>
        <v/>
      </c>
      <c r="I146" s="256">
        <f t="shared" ref="I146:I147" si="24">IFERROR(E146*F146,"")</f>
        <v>0</v>
      </c>
      <c r="J146" s="241"/>
      <c r="K146" s="259" t="s">
        <v>324</v>
      </c>
      <c r="L146" s="260">
        <f>SUM(I146:I157)</f>
        <v>0.2640416667</v>
      </c>
      <c r="M146" s="261"/>
    </row>
    <row r="147" ht="15.75" customHeight="1">
      <c r="A147" s="307"/>
      <c r="B147" s="262" t="str">
        <f>'CARTUCHO PATATAS'!K29</f>
        <v>#REF!</v>
      </c>
      <c r="C147" s="262" t="str">
        <f>'CARTUCHO PATATAS'!C29</f>
        <v>#REF!</v>
      </c>
      <c r="D147" s="263" t="s">
        <v>14</v>
      </c>
      <c r="E147" s="264" t="str">
        <f>'CARTUCHO PATATAS'!K35</f>
        <v>#REF!</v>
      </c>
      <c r="F147" s="265"/>
      <c r="G147" s="265"/>
      <c r="H147" s="266" t="str">
        <f t="shared" si="23"/>
        <v/>
      </c>
      <c r="I147" s="264" t="str">
        <f t="shared" si="24"/>
        <v/>
      </c>
      <c r="J147" s="241"/>
      <c r="K147" s="267" t="s">
        <v>325</v>
      </c>
      <c r="L147" s="268">
        <v>2.0</v>
      </c>
      <c r="M147" s="261"/>
    </row>
    <row r="148" ht="15.75" customHeight="1">
      <c r="A148" s="307"/>
      <c r="B148" s="253"/>
      <c r="C148" s="270"/>
      <c r="D148" s="255"/>
      <c r="E148" s="256"/>
      <c r="F148" s="271"/>
      <c r="G148" s="271"/>
      <c r="H148" s="258"/>
      <c r="I148" s="256"/>
      <c r="J148" s="241"/>
      <c r="K148" s="272" t="s">
        <v>326</v>
      </c>
      <c r="L148" s="273">
        <f>L147/1.1</f>
        <v>1.818181818</v>
      </c>
      <c r="M148" s="274"/>
    </row>
    <row r="149" ht="15.75" customHeight="1">
      <c r="A149" s="307"/>
      <c r="B149" s="253"/>
      <c r="C149" s="270"/>
      <c r="D149" s="255"/>
      <c r="E149" s="256"/>
      <c r="F149" s="271"/>
      <c r="G149" s="271"/>
      <c r="H149" s="258"/>
      <c r="I149" s="256"/>
      <c r="J149" s="241"/>
      <c r="K149" s="276" t="s">
        <v>327</v>
      </c>
      <c r="L149" s="277">
        <v>0.1</v>
      </c>
      <c r="M149" s="278"/>
    </row>
    <row r="150" ht="15.75" customHeight="1">
      <c r="A150" s="307"/>
      <c r="B150" s="253"/>
      <c r="C150" s="270"/>
      <c r="D150" s="255"/>
      <c r="E150" s="256"/>
      <c r="F150" s="271"/>
      <c r="G150" s="271"/>
      <c r="H150" s="258"/>
      <c r="I150" s="256"/>
      <c r="J150" s="241"/>
      <c r="K150" s="279" t="s">
        <v>328</v>
      </c>
      <c r="L150" s="280">
        <f>L146/L148*100</f>
        <v>14.52229167</v>
      </c>
      <c r="M150" s="281" t="s">
        <v>329</v>
      </c>
    </row>
    <row r="151" ht="15.75" customHeight="1">
      <c r="A151" s="307"/>
      <c r="B151" s="253"/>
      <c r="C151" s="270"/>
      <c r="D151" s="275"/>
      <c r="E151" s="256"/>
      <c r="F151" s="271"/>
      <c r="G151" s="271"/>
      <c r="H151" s="258"/>
      <c r="I151" s="256"/>
      <c r="J151" s="241"/>
      <c r="K151" s="282" t="s">
        <v>330</v>
      </c>
      <c r="L151" s="283">
        <f>100-L150</f>
        <v>85.47770833</v>
      </c>
      <c r="M151" s="284" t="s">
        <v>329</v>
      </c>
    </row>
    <row r="152" ht="15.75" customHeight="1">
      <c r="A152" s="307"/>
      <c r="B152" s="253"/>
      <c r="C152" s="270"/>
      <c r="D152" s="255"/>
      <c r="E152" s="256"/>
      <c r="F152" s="271"/>
      <c r="G152" s="271"/>
      <c r="H152" s="258"/>
      <c r="I152" s="256"/>
      <c r="J152" s="241"/>
      <c r="L152" s="288"/>
    </row>
    <row r="153" ht="15.75" customHeight="1">
      <c r="A153" s="307"/>
      <c r="B153" s="253"/>
      <c r="C153" s="270"/>
      <c r="D153" s="275"/>
      <c r="E153" s="256"/>
      <c r="F153" s="271"/>
      <c r="G153" s="271"/>
      <c r="H153" s="258"/>
      <c r="I153" s="256"/>
      <c r="J153" s="241"/>
      <c r="K153" s="250" t="s">
        <v>323</v>
      </c>
      <c r="L153" s="251"/>
      <c r="M153" s="251"/>
    </row>
    <row r="154" ht="15.75" customHeight="1">
      <c r="A154" s="307"/>
      <c r="B154" s="253"/>
      <c r="C154" s="270"/>
      <c r="D154" s="255"/>
      <c r="E154" s="256"/>
      <c r="F154" s="271"/>
      <c r="G154" s="257"/>
      <c r="H154" s="258"/>
      <c r="I154" s="256"/>
      <c r="J154" s="241"/>
      <c r="K154" s="259" t="s">
        <v>324</v>
      </c>
      <c r="L154" s="260">
        <f>L146</f>
        <v>0.2640416667</v>
      </c>
      <c r="M154" s="261"/>
    </row>
    <row r="155" ht="15.75" customHeight="1">
      <c r="A155" s="307"/>
      <c r="B155" s="253" t="str">
        <f t="array" ref="B155">+XLOOKUP(C155,'Base de datos'!C:C,'Base de datos'!A:A,"",FALSE)</f>
        <v/>
      </c>
      <c r="C155" s="270"/>
      <c r="D155" s="275"/>
      <c r="E155" s="256"/>
      <c r="F155" s="271"/>
      <c r="G155" s="271"/>
      <c r="H155" s="258"/>
      <c r="I155" s="256"/>
      <c r="J155" s="241"/>
      <c r="K155" s="267" t="s">
        <v>325</v>
      </c>
      <c r="L155" s="268">
        <v>2.9</v>
      </c>
      <c r="M155" s="261"/>
    </row>
    <row r="156" ht="15.75" customHeight="1">
      <c r="A156" s="307"/>
      <c r="B156" s="269">
        <f t="array" ref="B156">+XLOOKUP(C156,'Base de datos'!C:C,'Base de datos'!A:A,"",FALSE)</f>
        <v>69</v>
      </c>
      <c r="C156" s="270" t="s">
        <v>91</v>
      </c>
      <c r="D156" s="275" t="s">
        <v>20</v>
      </c>
      <c r="E156" s="256">
        <f t="array" ref="E156">+XLOOKUP(B156,'Base de datos'!A:A,'Base de datos'!H:H,0)</f>
        <v>0.07054166667</v>
      </c>
      <c r="F156" s="271">
        <v>1.0</v>
      </c>
      <c r="G156" s="271">
        <v>1.0</v>
      </c>
      <c r="H156" s="258">
        <f t="shared" ref="H156:H157" si="25">IFERROR(1-G156/F156,"")</f>
        <v>0</v>
      </c>
      <c r="I156" s="256">
        <f t="shared" ref="I156:I157" si="26">IFERROR(E156*F156,"")</f>
        <v>0.07054166667</v>
      </c>
      <c r="J156" s="241"/>
      <c r="K156" s="272" t="s">
        <v>326</v>
      </c>
      <c r="L156" s="273">
        <f>L155/1.1</f>
        <v>2.636363636</v>
      </c>
      <c r="M156" s="274"/>
    </row>
    <row r="157" ht="15.75" customHeight="1">
      <c r="A157" s="307"/>
      <c r="B157" s="269">
        <f t="array" ref="B157">+XLOOKUP(C157,'Base de datos'!C:C,'Base de datos'!A:A,"",FALSE)</f>
        <v>58</v>
      </c>
      <c r="C157" s="270" t="s">
        <v>85</v>
      </c>
      <c r="D157" s="255" t="s">
        <v>14</v>
      </c>
      <c r="E157" s="256">
        <f t="array" ref="E157">+XLOOKUP(B157,'Base de datos'!A:A,'Base de datos'!H:H,0)</f>
        <v>2.15</v>
      </c>
      <c r="F157" s="271">
        <v>0.09</v>
      </c>
      <c r="G157" s="257"/>
      <c r="H157" s="258">
        <f t="shared" si="25"/>
        <v>1</v>
      </c>
      <c r="I157" s="256">
        <f t="shared" si="26"/>
        <v>0.1935</v>
      </c>
      <c r="J157" s="241"/>
      <c r="K157" s="276" t="s">
        <v>327</v>
      </c>
      <c r="L157" s="277">
        <v>0.1</v>
      </c>
      <c r="M157" s="278"/>
    </row>
    <row r="158" ht="15.75" customHeight="1">
      <c r="A158" s="307"/>
      <c r="B158" s="240"/>
      <c r="C158" s="241"/>
      <c r="D158" s="242"/>
      <c r="E158" s="243"/>
      <c r="F158" s="244"/>
      <c r="G158" s="244"/>
      <c r="H158" s="241"/>
      <c r="I158" s="241"/>
      <c r="J158" s="241"/>
      <c r="K158" s="279" t="s">
        <v>328</v>
      </c>
      <c r="L158" s="280">
        <f>L154/L156*100</f>
        <v>10.01537356</v>
      </c>
      <c r="M158" s="281" t="s">
        <v>329</v>
      </c>
    </row>
    <row r="159" ht="15.75" customHeight="1">
      <c r="A159" s="307"/>
      <c r="B159" s="295"/>
      <c r="C159" s="296" t="s">
        <v>337</v>
      </c>
      <c r="D159" s="297"/>
      <c r="E159" s="297"/>
      <c r="F159" s="297"/>
      <c r="G159" s="297"/>
      <c r="H159" s="297"/>
      <c r="I159" s="298"/>
      <c r="J159" s="241"/>
      <c r="K159" s="285" t="s">
        <v>330</v>
      </c>
      <c r="L159" s="286">
        <f>L156-L154</f>
        <v>2.37232197</v>
      </c>
      <c r="M159" s="287" t="s">
        <v>331</v>
      </c>
    </row>
    <row r="160" ht="15.75" customHeight="1">
      <c r="A160" s="307"/>
      <c r="B160" s="299"/>
      <c r="C160" s="300"/>
      <c r="D160" s="297"/>
      <c r="E160" s="297"/>
      <c r="F160" s="297"/>
      <c r="G160" s="297"/>
      <c r="H160" s="297"/>
      <c r="I160" s="298"/>
      <c r="J160" s="241"/>
      <c r="K160" s="289" t="s">
        <v>332</v>
      </c>
      <c r="L160" s="290">
        <f>L156-L154-(L155*0.2)</f>
        <v>1.79232197</v>
      </c>
      <c r="M160" s="291" t="s">
        <v>331</v>
      </c>
    </row>
    <row r="161" ht="15.75" customHeight="1">
      <c r="A161" s="307"/>
      <c r="B161" s="301"/>
      <c r="C161" s="306"/>
      <c r="I161" s="278"/>
      <c r="J161" s="241"/>
      <c r="K161" s="289" t="s">
        <v>332</v>
      </c>
      <c r="L161" s="292">
        <f>L160/L156</f>
        <v>0.6798462644</v>
      </c>
      <c r="M161" s="291" t="s">
        <v>329</v>
      </c>
    </row>
    <row r="162" ht="15.75" customHeight="1">
      <c r="A162" s="307"/>
      <c r="B162" s="301"/>
      <c r="C162" s="302"/>
      <c r="I162" s="278"/>
      <c r="J162" s="241"/>
      <c r="K162" s="241"/>
      <c r="L162" s="241"/>
    </row>
    <row r="163" ht="15.75" customHeight="1">
      <c r="A163" s="307"/>
      <c r="B163" s="301"/>
      <c r="C163" s="302"/>
      <c r="I163" s="278"/>
      <c r="J163" s="241"/>
      <c r="K163" s="241"/>
      <c r="L163" s="241"/>
    </row>
    <row r="164" ht="15.75" customHeight="1">
      <c r="A164" s="307"/>
      <c r="B164" s="301"/>
      <c r="C164" s="302"/>
      <c r="I164" s="278"/>
      <c r="J164" s="241"/>
      <c r="K164" s="241"/>
      <c r="L164" s="241"/>
    </row>
    <row r="165" ht="15.75" customHeight="1">
      <c r="A165" s="307"/>
      <c r="B165" s="301"/>
      <c r="C165" s="302"/>
      <c r="I165" s="278"/>
      <c r="J165" s="241"/>
      <c r="K165" s="241"/>
      <c r="L165" s="241"/>
    </row>
    <row r="166" ht="15.75" customHeight="1">
      <c r="A166" s="307"/>
      <c r="B166" s="301"/>
      <c r="C166" s="302"/>
      <c r="I166" s="278"/>
      <c r="J166" s="241"/>
      <c r="K166" s="241"/>
      <c r="L166" s="241"/>
    </row>
    <row r="167" ht="15.75" customHeight="1">
      <c r="A167" s="307"/>
      <c r="B167" s="301"/>
      <c r="C167" s="304"/>
      <c r="D167" s="305"/>
      <c r="E167" s="305"/>
      <c r="F167" s="305"/>
      <c r="G167" s="305"/>
      <c r="H167" s="305"/>
      <c r="I167" s="274"/>
      <c r="J167" s="241"/>
      <c r="K167" s="241"/>
      <c r="L167" s="241"/>
    </row>
    <row r="168" ht="15.75" customHeight="1">
      <c r="A168" s="307"/>
      <c r="B168" s="307"/>
      <c r="D168" s="308"/>
      <c r="E168" s="309"/>
    </row>
    <row r="169" ht="15.75" customHeight="1">
      <c r="A169" s="307"/>
      <c r="B169" s="230"/>
      <c r="C169" s="230"/>
      <c r="D169" s="230"/>
      <c r="E169" s="231"/>
      <c r="F169" s="232"/>
      <c r="G169" s="232"/>
      <c r="H169" s="230"/>
      <c r="I169" s="230"/>
      <c r="J169" s="230"/>
      <c r="K169" s="230"/>
      <c r="L169" s="230"/>
      <c r="M169" s="233"/>
    </row>
    <row r="170" ht="15.75" customHeight="1">
      <c r="A170" s="307"/>
      <c r="B170" s="234"/>
      <c r="C170" s="235" t="s">
        <v>313</v>
      </c>
      <c r="D170" s="236" t="s">
        <v>736</v>
      </c>
      <c r="E170" s="237"/>
      <c r="F170" s="237"/>
      <c r="G170" s="237"/>
      <c r="H170" s="237"/>
      <c r="I170" s="237"/>
      <c r="J170" s="238"/>
      <c r="K170" s="231"/>
      <c r="L170" s="230"/>
      <c r="M170" s="233"/>
    </row>
    <row r="171" ht="15.75" customHeight="1">
      <c r="A171" s="307"/>
      <c r="B171" s="239"/>
      <c r="C171" s="230"/>
      <c r="D171" s="230"/>
      <c r="E171" s="231"/>
      <c r="F171" s="232"/>
      <c r="G171" s="232"/>
      <c r="H171" s="230"/>
      <c r="I171" s="230"/>
      <c r="J171" s="230"/>
      <c r="K171" s="230"/>
      <c r="L171" s="230"/>
      <c r="M171" s="233"/>
    </row>
    <row r="172" ht="15.75" customHeight="1">
      <c r="A172" s="307"/>
      <c r="B172" s="240"/>
      <c r="C172" s="241"/>
      <c r="D172" s="242"/>
      <c r="E172" s="243"/>
      <c r="F172" s="244"/>
      <c r="G172" s="244"/>
      <c r="H172" s="241"/>
      <c r="I172" s="241"/>
      <c r="J172" s="241"/>
      <c r="K172" s="241"/>
      <c r="L172" s="241"/>
    </row>
    <row r="173" ht="15.75" customHeight="1">
      <c r="A173" s="307"/>
      <c r="B173" s="246" t="s">
        <v>0</v>
      </c>
      <c r="C173" s="246" t="s">
        <v>315</v>
      </c>
      <c r="D173" s="246" t="s">
        <v>316</v>
      </c>
      <c r="E173" s="247" t="s">
        <v>317</v>
      </c>
      <c r="F173" s="248" t="s">
        <v>318</v>
      </c>
      <c r="G173" s="248" t="s">
        <v>319</v>
      </c>
      <c r="H173" s="246" t="s">
        <v>320</v>
      </c>
      <c r="I173" s="246" t="s">
        <v>321</v>
      </c>
      <c r="J173" s="249"/>
      <c r="K173" s="250" t="s">
        <v>322</v>
      </c>
      <c r="L173" s="251"/>
      <c r="M173" s="251"/>
    </row>
    <row r="174" ht="15.75" customHeight="1">
      <c r="A174" s="307"/>
      <c r="B174" s="253" t="str">
        <f t="array" ref="B174">+XLOOKUP(C174,'Base de datos'!C:C,'Base de datos'!A:A,"",FALSE)</f>
        <v/>
      </c>
      <c r="C174" s="254"/>
      <c r="D174" s="255" t="s">
        <v>14</v>
      </c>
      <c r="E174" s="256">
        <f t="array" ref="E174">+XLOOKUP(B174,'Base de datos'!A:A,'Base de datos'!H:H,0)</f>
        <v>0</v>
      </c>
      <c r="F174" s="257"/>
      <c r="G174" s="257"/>
      <c r="H174" s="258" t="str">
        <f t="shared" ref="H174:H177" si="27">IFERROR(1-G174/F174,"")</f>
        <v/>
      </c>
      <c r="I174" s="256">
        <f t="shared" ref="I174:I177" si="28">IFERROR(E174*F174,"")</f>
        <v>0</v>
      </c>
      <c r="J174" s="241"/>
      <c r="K174" s="259" t="s">
        <v>324</v>
      </c>
      <c r="L174" s="260">
        <f>SUM(I174:I185)</f>
        <v>1.376122117</v>
      </c>
      <c r="M174" s="261"/>
    </row>
    <row r="175" ht="15.75" customHeight="1">
      <c r="A175" s="307"/>
      <c r="B175" s="262" t="str">
        <f>'PATATAS PULLED'!K29</f>
        <v>#REF!</v>
      </c>
      <c r="C175" s="262" t="str">
        <f>'PATATAS PULLED'!C29</f>
        <v>#REF!</v>
      </c>
      <c r="D175" s="263" t="s">
        <v>14</v>
      </c>
      <c r="E175" s="264" t="str">
        <f>'PATATAS PULLED'!K35</f>
        <v>#REF!</v>
      </c>
      <c r="F175" s="265"/>
      <c r="G175" s="265"/>
      <c r="H175" s="266" t="str">
        <f t="shared" si="27"/>
        <v/>
      </c>
      <c r="I175" s="264" t="str">
        <f t="shared" si="28"/>
        <v/>
      </c>
      <c r="J175" s="241"/>
      <c r="K175" s="267" t="s">
        <v>325</v>
      </c>
      <c r="L175" s="268">
        <v>7.0</v>
      </c>
      <c r="M175" s="261"/>
    </row>
    <row r="176" ht="15.75" customHeight="1">
      <c r="A176" s="307"/>
      <c r="B176" s="269">
        <f t="array" ref="B176">+XLOOKUP(C176,'Base de datos'!C:C,'Base de datos'!A:A,"",FALSE)</f>
        <v>78</v>
      </c>
      <c r="C176" s="270" t="s">
        <v>99</v>
      </c>
      <c r="D176" s="255" t="s">
        <v>14</v>
      </c>
      <c r="E176" s="256">
        <f t="array" ref="E176">+XLOOKUP(B176,'Base de datos'!A:A,'Base de datos'!H:H,0)</f>
        <v>8.321583333</v>
      </c>
      <c r="F176" s="271">
        <v>0.1</v>
      </c>
      <c r="G176" s="257"/>
      <c r="H176" s="258">
        <f t="shared" si="27"/>
        <v>1</v>
      </c>
      <c r="I176" s="256">
        <f t="shared" si="28"/>
        <v>0.8321583333</v>
      </c>
      <c r="J176" s="241"/>
      <c r="K176" s="272" t="s">
        <v>326</v>
      </c>
      <c r="L176" s="273">
        <f>L175/1.1</f>
        <v>6.363636364</v>
      </c>
      <c r="M176" s="274"/>
    </row>
    <row r="177" ht="15.75" customHeight="1">
      <c r="A177" s="307"/>
      <c r="B177" s="269">
        <f t="array" ref="B177">+XLOOKUP(C177,'Base de datos'!C:C,'Base de datos'!A:A,"",FALSE)</f>
        <v>142</v>
      </c>
      <c r="C177" s="270" t="s">
        <v>170</v>
      </c>
      <c r="D177" s="255" t="s">
        <v>14</v>
      </c>
      <c r="E177" s="256">
        <f t="array" ref="E177">+XLOOKUP(B177,'Base de datos'!A:A,'Base de datos'!H:H,0)</f>
        <v>2.875675676</v>
      </c>
      <c r="F177" s="271">
        <v>0.05</v>
      </c>
      <c r="G177" s="257"/>
      <c r="H177" s="258">
        <f t="shared" si="27"/>
        <v>1</v>
      </c>
      <c r="I177" s="256">
        <f t="shared" si="28"/>
        <v>0.1437837838</v>
      </c>
      <c r="J177" s="241"/>
      <c r="K177" s="276" t="s">
        <v>327</v>
      </c>
      <c r="L177" s="277">
        <v>0.1</v>
      </c>
      <c r="M177" s="278"/>
    </row>
    <row r="178" ht="15.75" customHeight="1">
      <c r="A178" s="307"/>
      <c r="B178" s="253"/>
      <c r="C178" s="270"/>
      <c r="D178" s="255"/>
      <c r="E178" s="256"/>
      <c r="F178" s="271"/>
      <c r="G178" s="271"/>
      <c r="H178" s="258"/>
      <c r="I178" s="256"/>
      <c r="J178" s="241"/>
      <c r="K178" s="279" t="s">
        <v>328</v>
      </c>
      <c r="L178" s="280">
        <f>L174/L176*100</f>
        <v>21.62477613</v>
      </c>
      <c r="M178" s="281" t="s">
        <v>329</v>
      </c>
    </row>
    <row r="179" ht="15.75" customHeight="1">
      <c r="A179" s="307"/>
      <c r="B179" s="253"/>
      <c r="C179" s="270"/>
      <c r="D179" s="275"/>
      <c r="E179" s="256"/>
      <c r="F179" s="271"/>
      <c r="G179" s="271"/>
      <c r="H179" s="258"/>
      <c r="I179" s="256"/>
      <c r="J179" s="241"/>
      <c r="K179" s="282" t="s">
        <v>330</v>
      </c>
      <c r="L179" s="283">
        <f>100-L178</f>
        <v>78.37522387</v>
      </c>
      <c r="M179" s="284" t="s">
        <v>329</v>
      </c>
    </row>
    <row r="180" ht="15.75" customHeight="1">
      <c r="A180" s="307"/>
      <c r="B180" s="253"/>
      <c r="C180" s="270"/>
      <c r="D180" s="255"/>
      <c r="E180" s="256"/>
      <c r="F180" s="271"/>
      <c r="G180" s="271"/>
      <c r="H180" s="258"/>
      <c r="I180" s="256"/>
      <c r="J180" s="241"/>
      <c r="L180" s="288"/>
    </row>
    <row r="181" ht="15.75" customHeight="1">
      <c r="A181" s="307"/>
      <c r="B181" s="253"/>
      <c r="C181" s="270"/>
      <c r="D181" s="275"/>
      <c r="E181" s="256"/>
      <c r="F181" s="271"/>
      <c r="G181" s="271"/>
      <c r="H181" s="258"/>
      <c r="I181" s="256"/>
      <c r="J181" s="241"/>
      <c r="K181" s="250" t="s">
        <v>323</v>
      </c>
      <c r="L181" s="251"/>
      <c r="M181" s="251"/>
    </row>
    <row r="182" ht="15.75" customHeight="1">
      <c r="A182" s="307"/>
      <c r="B182" s="253"/>
      <c r="C182" s="270"/>
      <c r="D182" s="255"/>
      <c r="E182" s="256"/>
      <c r="F182" s="271"/>
      <c r="G182" s="257"/>
      <c r="H182" s="258"/>
      <c r="I182" s="256"/>
      <c r="J182" s="241"/>
      <c r="K182" s="259" t="s">
        <v>324</v>
      </c>
      <c r="L182" s="260">
        <f>L174</f>
        <v>1.376122117</v>
      </c>
      <c r="M182" s="261"/>
    </row>
    <row r="183" ht="15.75" customHeight="1">
      <c r="A183" s="307"/>
      <c r="B183" s="269">
        <f t="array" ref="B183">+XLOOKUP(C183,'Base de datos'!C:C,'Base de datos'!A:A,"",FALSE)</f>
        <v>93</v>
      </c>
      <c r="C183" s="270" t="s">
        <v>114</v>
      </c>
      <c r="D183" s="275" t="s">
        <v>20</v>
      </c>
      <c r="E183" s="256">
        <f t="array" ref="E183">+XLOOKUP(B183,'Base de datos'!A:A,'Base de datos'!H:H,0)</f>
        <v>0.0277</v>
      </c>
      <c r="F183" s="271">
        <v>1.0</v>
      </c>
      <c r="G183" s="271">
        <v>1.0</v>
      </c>
      <c r="H183" s="258">
        <f t="shared" ref="H183:H185" si="29">IFERROR(1-G183/F183,"")</f>
        <v>0</v>
      </c>
      <c r="I183" s="256">
        <f t="shared" ref="I183:I185" si="30">IFERROR(E183*F183,"")</f>
        <v>0.0277</v>
      </c>
      <c r="J183" s="241"/>
      <c r="K183" s="267" t="s">
        <v>325</v>
      </c>
      <c r="L183" s="268">
        <v>7.5</v>
      </c>
      <c r="M183" s="261"/>
    </row>
    <row r="184" ht="15.75" customHeight="1">
      <c r="A184" s="307"/>
      <c r="B184" s="269">
        <f t="array" ref="B184">+XLOOKUP(C184,'Base de datos'!C:C,'Base de datos'!A:A,"",FALSE)</f>
        <v>9</v>
      </c>
      <c r="C184" s="270" t="s">
        <v>25</v>
      </c>
      <c r="D184" s="275" t="s">
        <v>20</v>
      </c>
      <c r="E184" s="256">
        <f t="array" ref="E184">+XLOOKUP(B184,'Base de datos'!A:A,'Base de datos'!H:H,0)</f>
        <v>0.17898</v>
      </c>
      <c r="F184" s="271">
        <v>1.0</v>
      </c>
      <c r="G184" s="271">
        <v>1.0</v>
      </c>
      <c r="H184" s="258">
        <f t="shared" si="29"/>
        <v>0</v>
      </c>
      <c r="I184" s="256">
        <f t="shared" si="30"/>
        <v>0.17898</v>
      </c>
      <c r="J184" s="241"/>
      <c r="K184" s="272" t="s">
        <v>326</v>
      </c>
      <c r="L184" s="273">
        <f>L183/1.1</f>
        <v>6.818181818</v>
      </c>
      <c r="M184" s="274"/>
    </row>
    <row r="185" ht="15.75" customHeight="1">
      <c r="A185" s="307"/>
      <c r="B185" s="269">
        <f t="array" ref="B185">+XLOOKUP(C185,'Base de datos'!C:C,'Base de datos'!A:A,"",FALSE)</f>
        <v>58</v>
      </c>
      <c r="C185" s="270" t="s">
        <v>85</v>
      </c>
      <c r="D185" s="255" t="s">
        <v>14</v>
      </c>
      <c r="E185" s="256">
        <f t="array" ref="E185">+XLOOKUP(B185,'Base de datos'!A:A,'Base de datos'!H:H,0)</f>
        <v>2.15</v>
      </c>
      <c r="F185" s="271">
        <v>0.09</v>
      </c>
      <c r="G185" s="257"/>
      <c r="H185" s="258">
        <f t="shared" si="29"/>
        <v>1</v>
      </c>
      <c r="I185" s="256">
        <f t="shared" si="30"/>
        <v>0.1935</v>
      </c>
      <c r="J185" s="241"/>
      <c r="K185" s="276" t="s">
        <v>327</v>
      </c>
      <c r="L185" s="277">
        <v>0.1</v>
      </c>
      <c r="M185" s="278"/>
    </row>
    <row r="186" ht="15.75" customHeight="1">
      <c r="A186" s="307"/>
      <c r="B186" s="240"/>
      <c r="C186" s="241"/>
      <c r="D186" s="242"/>
      <c r="E186" s="243"/>
      <c r="F186" s="244"/>
      <c r="G186" s="244"/>
      <c r="H186" s="241"/>
      <c r="I186" s="241"/>
      <c r="J186" s="241"/>
      <c r="K186" s="279" t="s">
        <v>328</v>
      </c>
      <c r="L186" s="280">
        <f>L182/L184*100</f>
        <v>20.18312438</v>
      </c>
      <c r="M186" s="281" t="s">
        <v>329</v>
      </c>
    </row>
    <row r="187" ht="15.75" customHeight="1">
      <c r="A187" s="307"/>
      <c r="B187" s="295"/>
      <c r="C187" s="296" t="s">
        <v>337</v>
      </c>
      <c r="D187" s="297"/>
      <c r="E187" s="297"/>
      <c r="F187" s="297"/>
      <c r="G187" s="297"/>
      <c r="H187" s="297"/>
      <c r="I187" s="298"/>
      <c r="J187" s="241"/>
      <c r="K187" s="285" t="s">
        <v>330</v>
      </c>
      <c r="L187" s="286">
        <f>L184-L182</f>
        <v>5.442059701</v>
      </c>
      <c r="M187" s="287" t="s">
        <v>331</v>
      </c>
    </row>
    <row r="188" ht="15.75" customHeight="1">
      <c r="A188" s="307"/>
      <c r="B188" s="299"/>
      <c r="C188" s="300"/>
      <c r="D188" s="297"/>
      <c r="E188" s="297"/>
      <c r="F188" s="297"/>
      <c r="G188" s="297"/>
      <c r="H188" s="297"/>
      <c r="I188" s="298"/>
      <c r="J188" s="241"/>
      <c r="K188" s="289" t="s">
        <v>332</v>
      </c>
      <c r="L188" s="290">
        <f>L184-L182-(L183*0.2)</f>
        <v>3.942059701</v>
      </c>
      <c r="M188" s="291" t="s">
        <v>331</v>
      </c>
    </row>
    <row r="189" ht="15.75" customHeight="1">
      <c r="A189" s="307"/>
      <c r="B189" s="301"/>
      <c r="C189" s="306"/>
      <c r="I189" s="278"/>
      <c r="J189" s="241"/>
      <c r="K189" s="289" t="s">
        <v>332</v>
      </c>
      <c r="L189" s="292">
        <f>L188/L184</f>
        <v>0.5781687562</v>
      </c>
      <c r="M189" s="291" t="s">
        <v>329</v>
      </c>
    </row>
    <row r="190" ht="15.75" customHeight="1">
      <c r="A190" s="307"/>
      <c r="B190" s="301"/>
      <c r="C190" s="302"/>
      <c r="I190" s="278"/>
      <c r="J190" s="241"/>
      <c r="K190" s="241"/>
      <c r="L190" s="241"/>
    </row>
    <row r="191" ht="15.75" customHeight="1">
      <c r="A191" s="307"/>
      <c r="B191" s="301"/>
      <c r="C191" s="302"/>
      <c r="I191" s="278"/>
      <c r="J191" s="241"/>
      <c r="K191" s="241"/>
      <c r="L191" s="241"/>
    </row>
    <row r="192" ht="15.75" customHeight="1">
      <c r="A192" s="307"/>
      <c r="B192" s="301"/>
      <c r="C192" s="302"/>
      <c r="I192" s="278"/>
      <c r="J192" s="241"/>
      <c r="K192" s="241"/>
      <c r="L192" s="241"/>
    </row>
    <row r="193" ht="15.75" customHeight="1">
      <c r="A193" s="307"/>
      <c r="B193" s="301"/>
      <c r="C193" s="302"/>
      <c r="I193" s="278"/>
      <c r="J193" s="241"/>
      <c r="K193" s="241"/>
      <c r="L193" s="241"/>
    </row>
    <row r="194" ht="15.75" customHeight="1">
      <c r="A194" s="307"/>
      <c r="B194" s="301"/>
      <c r="C194" s="302"/>
      <c r="I194" s="278"/>
      <c r="J194" s="241"/>
      <c r="K194" s="241"/>
      <c r="L194" s="241"/>
    </row>
    <row r="195" ht="15.75" customHeight="1">
      <c r="A195" s="307"/>
      <c r="B195" s="301"/>
      <c r="C195" s="304"/>
      <c r="D195" s="305"/>
      <c r="E195" s="305"/>
      <c r="F195" s="305"/>
      <c r="G195" s="305"/>
      <c r="H195" s="305"/>
      <c r="I195" s="274"/>
      <c r="J195" s="241"/>
      <c r="K195" s="241"/>
      <c r="L195" s="241"/>
    </row>
    <row r="196" ht="15.75" customHeight="1">
      <c r="A196" s="307"/>
      <c r="B196" s="307"/>
      <c r="D196" s="308"/>
      <c r="E196" s="309"/>
    </row>
    <row r="197" ht="15.75" customHeight="1">
      <c r="A197" s="307"/>
      <c r="B197" s="307"/>
      <c r="D197" s="308"/>
      <c r="E197" s="309"/>
    </row>
    <row r="198" ht="15.75" customHeight="1">
      <c r="A198" s="307"/>
      <c r="B198" s="307"/>
      <c r="D198" s="308"/>
      <c r="E198" s="309"/>
    </row>
    <row r="199" ht="15.75" customHeight="1">
      <c r="A199" s="307"/>
      <c r="B199" s="307"/>
      <c r="D199" s="308"/>
      <c r="E199" s="309"/>
    </row>
    <row r="200" ht="15.75" customHeight="1">
      <c r="A200" s="307"/>
      <c r="B200" s="307"/>
      <c r="D200" s="308"/>
      <c r="E200" s="309"/>
    </row>
    <row r="201" ht="15.75" customHeight="1">
      <c r="A201" s="307"/>
      <c r="B201" s="307"/>
      <c r="D201" s="308"/>
      <c r="E201" s="309"/>
    </row>
    <row r="202" ht="15.75" customHeight="1">
      <c r="A202" s="307"/>
      <c r="B202" s="307"/>
      <c r="D202" s="308"/>
      <c r="E202" s="309"/>
    </row>
    <row r="203" ht="15.75" customHeight="1">
      <c r="A203" s="307"/>
      <c r="B203" s="307"/>
      <c r="D203" s="308"/>
      <c r="E203" s="309"/>
    </row>
    <row r="204" ht="15.75" customHeight="1">
      <c r="A204" s="307"/>
      <c r="B204" s="307"/>
      <c r="D204" s="308"/>
      <c r="E204" s="309"/>
    </row>
    <row r="205" ht="15.75" customHeight="1">
      <c r="A205" s="307"/>
      <c r="B205" s="307"/>
      <c r="D205" s="308"/>
      <c r="E205" s="309"/>
    </row>
    <row r="206" ht="15.75" customHeight="1">
      <c r="A206" s="307"/>
      <c r="B206" s="307"/>
      <c r="D206" s="308"/>
      <c r="E206" s="309"/>
    </row>
    <row r="207" ht="15.75" customHeight="1">
      <c r="A207" s="307"/>
      <c r="B207" s="307"/>
      <c r="D207" s="308"/>
      <c r="E207" s="309"/>
    </row>
    <row r="208" ht="15.75" customHeight="1">
      <c r="A208" s="307"/>
      <c r="B208" s="307"/>
      <c r="D208" s="308"/>
      <c r="E208" s="309"/>
    </row>
    <row r="209" ht="15.75" customHeight="1">
      <c r="A209" s="307"/>
      <c r="B209" s="307"/>
      <c r="D209" s="308"/>
      <c r="E209" s="309"/>
    </row>
    <row r="210" ht="15.75" customHeight="1">
      <c r="A210" s="307"/>
      <c r="B210" s="307"/>
      <c r="D210" s="308"/>
      <c r="E210" s="309"/>
    </row>
    <row r="211" ht="15.75" customHeight="1">
      <c r="A211" s="307"/>
      <c r="B211" s="307"/>
      <c r="D211" s="308"/>
      <c r="E211" s="309"/>
    </row>
    <row r="212" ht="15.75" customHeight="1">
      <c r="A212" s="307"/>
      <c r="B212" s="307"/>
      <c r="D212" s="308"/>
      <c r="E212" s="309"/>
    </row>
    <row r="213" ht="15.75" customHeight="1">
      <c r="A213" s="307"/>
      <c r="B213" s="307"/>
      <c r="D213" s="308"/>
      <c r="E213" s="309"/>
    </row>
    <row r="214" ht="15.75" customHeight="1">
      <c r="A214" s="307"/>
      <c r="B214" s="307"/>
      <c r="D214" s="308"/>
      <c r="E214" s="309"/>
    </row>
    <row r="215" ht="15.75" customHeight="1">
      <c r="A215" s="307"/>
      <c r="B215" s="307"/>
      <c r="D215" s="308"/>
      <c r="E215" s="309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307"/>
      <c r="D218" s="308"/>
      <c r="E218" s="309"/>
    </row>
    <row r="219" ht="15.75" customHeight="1">
      <c r="A219" s="307"/>
      <c r="B219" s="307"/>
      <c r="D219" s="308"/>
      <c r="E219" s="309"/>
    </row>
    <row r="220" ht="15.75" customHeight="1">
      <c r="A220" s="307"/>
      <c r="B220" s="307"/>
      <c r="D220" s="308"/>
      <c r="E220" s="309"/>
    </row>
    <row r="221" ht="15.75" customHeight="1">
      <c r="A221" s="307"/>
      <c r="B221" s="307"/>
      <c r="D221" s="308"/>
      <c r="E221" s="309"/>
    </row>
    <row r="222" ht="15.75" customHeight="1">
      <c r="A222" s="307"/>
      <c r="B222" s="307"/>
      <c r="D222" s="308"/>
      <c r="E222" s="309"/>
    </row>
    <row r="223" ht="15.75" customHeight="1">
      <c r="A223" s="307"/>
      <c r="B223" s="307"/>
      <c r="D223" s="308"/>
      <c r="E223" s="309"/>
    </row>
    <row r="224" ht="15.75" customHeight="1">
      <c r="A224" s="307"/>
      <c r="B224" s="307"/>
      <c r="D224" s="308"/>
      <c r="E224" s="309"/>
    </row>
    <row r="225" ht="15.75" customHeight="1">
      <c r="A225" s="307"/>
      <c r="B225" s="307"/>
      <c r="D225" s="308"/>
      <c r="E225" s="309"/>
    </row>
    <row r="226" ht="15.75" customHeight="1">
      <c r="A226" s="307"/>
      <c r="B226" s="307"/>
      <c r="D226" s="308"/>
      <c r="E226" s="309"/>
    </row>
    <row r="227" ht="15.75" customHeight="1">
      <c r="A227" s="307"/>
      <c r="B227" s="307"/>
      <c r="D227" s="308"/>
      <c r="E227" s="309"/>
    </row>
    <row r="228" ht="15.75" customHeight="1">
      <c r="A228" s="307"/>
      <c r="B228" s="307"/>
      <c r="D228" s="308"/>
      <c r="E228" s="309"/>
    </row>
    <row r="229" ht="15.75" customHeight="1">
      <c r="A229" s="307"/>
      <c r="B229" s="307"/>
      <c r="D229" s="308"/>
      <c r="E229" s="309"/>
    </row>
    <row r="230" ht="15.75" customHeight="1">
      <c r="A230" s="307"/>
      <c r="B230" s="307"/>
      <c r="D230" s="308"/>
      <c r="E230" s="309"/>
    </row>
    <row r="231" ht="15.75" customHeight="1">
      <c r="A231" s="307"/>
      <c r="B231" s="307"/>
      <c r="D231" s="308"/>
      <c r="E231" s="309"/>
    </row>
    <row r="232" ht="15.75" customHeight="1">
      <c r="A232" s="307"/>
      <c r="B232" s="307"/>
      <c r="D232" s="308"/>
      <c r="E232" s="309"/>
    </row>
    <row r="233" ht="15.75" customHeight="1">
      <c r="A233" s="307"/>
      <c r="B233" s="307"/>
      <c r="D233" s="308"/>
      <c r="E233" s="309"/>
    </row>
    <row r="234" ht="15.75" customHeight="1">
      <c r="A234" s="307"/>
      <c r="B234" s="307"/>
    </row>
    <row r="235" ht="15.75" customHeight="1">
      <c r="A235" s="307"/>
      <c r="B235" s="307"/>
    </row>
    <row r="236" ht="15.75" customHeight="1">
      <c r="A236" s="307"/>
      <c r="B236" s="307"/>
    </row>
    <row r="237" ht="15.75" customHeight="1">
      <c r="A237" s="307"/>
      <c r="B237" s="307"/>
    </row>
    <row r="238" ht="15.75" customHeight="1">
      <c r="A238" s="307"/>
      <c r="B238" s="307"/>
    </row>
    <row r="239" ht="15.75" customHeight="1">
      <c r="A239" s="307"/>
      <c r="B239" s="307"/>
    </row>
    <row r="240" ht="15.75" customHeight="1">
      <c r="A240" s="307"/>
      <c r="B240" s="307"/>
    </row>
    <row r="241" ht="15.75" customHeight="1">
      <c r="A241" s="307"/>
      <c r="B241" s="30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L71:M71"/>
    <mergeCell ref="L72:M72"/>
    <mergeCell ref="L73:M73"/>
    <mergeCell ref="C75:I75"/>
    <mergeCell ref="C76:I76"/>
    <mergeCell ref="C77:I77"/>
    <mergeCell ref="C78:I78"/>
    <mergeCell ref="C79:I79"/>
    <mergeCell ref="C80:I80"/>
    <mergeCell ref="C81:I81"/>
    <mergeCell ref="C82:I82"/>
    <mergeCell ref="C83:I83"/>
    <mergeCell ref="D86:I86"/>
    <mergeCell ref="L90:M90"/>
    <mergeCell ref="D2:I2"/>
    <mergeCell ref="L6:M6"/>
    <mergeCell ref="L7:M7"/>
    <mergeCell ref="L8:M8"/>
    <mergeCell ref="L9:M9"/>
    <mergeCell ref="L14:M14"/>
    <mergeCell ref="L15:M15"/>
    <mergeCell ref="L16:M16"/>
    <mergeCell ref="L17:M17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D30:I30"/>
    <mergeCell ref="L34:M34"/>
    <mergeCell ref="L35:M35"/>
    <mergeCell ref="L36:M36"/>
    <mergeCell ref="L37:M37"/>
    <mergeCell ref="L42:M42"/>
    <mergeCell ref="L43:M43"/>
    <mergeCell ref="L44:M44"/>
    <mergeCell ref="L45:M45"/>
    <mergeCell ref="C47:I47"/>
    <mergeCell ref="C48:I48"/>
    <mergeCell ref="C49:I49"/>
    <mergeCell ref="C50:I50"/>
    <mergeCell ref="C51:I51"/>
    <mergeCell ref="C52:I52"/>
    <mergeCell ref="C53:I53"/>
    <mergeCell ref="C54:I54"/>
    <mergeCell ref="C55:I55"/>
    <mergeCell ref="D58:I58"/>
    <mergeCell ref="L62:M62"/>
    <mergeCell ref="L63:M63"/>
    <mergeCell ref="L64:M64"/>
    <mergeCell ref="L65:M65"/>
    <mergeCell ref="L70:M70"/>
    <mergeCell ref="L91:M91"/>
    <mergeCell ref="L92:M92"/>
    <mergeCell ref="L93:M93"/>
    <mergeCell ref="L98:M98"/>
    <mergeCell ref="L99:M99"/>
    <mergeCell ref="L100:M100"/>
    <mergeCell ref="L101:M101"/>
    <mergeCell ref="L184:M184"/>
    <mergeCell ref="L185:M185"/>
    <mergeCell ref="L157:M157"/>
    <mergeCell ref="L174:M174"/>
    <mergeCell ref="L175:M175"/>
    <mergeCell ref="L176:M176"/>
    <mergeCell ref="L177:M177"/>
    <mergeCell ref="L182:M182"/>
    <mergeCell ref="L183:M183"/>
    <mergeCell ref="C103:I103"/>
    <mergeCell ref="C104:I104"/>
    <mergeCell ref="C105:I105"/>
    <mergeCell ref="C106:I106"/>
    <mergeCell ref="C107:I107"/>
    <mergeCell ref="C108:I108"/>
    <mergeCell ref="C109:I109"/>
    <mergeCell ref="C110:I110"/>
    <mergeCell ref="C111:I111"/>
    <mergeCell ref="D114:I114"/>
    <mergeCell ref="L118:M118"/>
    <mergeCell ref="L119:M119"/>
    <mergeCell ref="L120:M120"/>
    <mergeCell ref="L121:M121"/>
    <mergeCell ref="L126:M126"/>
    <mergeCell ref="L127:M127"/>
    <mergeCell ref="L128:M128"/>
    <mergeCell ref="L129:M129"/>
    <mergeCell ref="C131:I131"/>
    <mergeCell ref="C132:I132"/>
    <mergeCell ref="C133:I133"/>
    <mergeCell ref="C134:I134"/>
    <mergeCell ref="C135:I135"/>
    <mergeCell ref="C136:I136"/>
    <mergeCell ref="C137:I137"/>
    <mergeCell ref="C138:I138"/>
    <mergeCell ref="C139:I139"/>
    <mergeCell ref="D142:I142"/>
    <mergeCell ref="C159:I159"/>
    <mergeCell ref="C160:I160"/>
    <mergeCell ref="C161:I161"/>
    <mergeCell ref="C162:I162"/>
    <mergeCell ref="C163:I163"/>
    <mergeCell ref="C164:I164"/>
    <mergeCell ref="C165:I165"/>
    <mergeCell ref="L146:M146"/>
    <mergeCell ref="L147:M147"/>
    <mergeCell ref="L148:M148"/>
    <mergeCell ref="L149:M149"/>
    <mergeCell ref="L154:M154"/>
    <mergeCell ref="L155:M155"/>
    <mergeCell ref="L156:M156"/>
    <mergeCell ref="C191:I191"/>
    <mergeCell ref="C192:I192"/>
    <mergeCell ref="C193:I193"/>
    <mergeCell ref="C194:I194"/>
    <mergeCell ref="C195:I195"/>
    <mergeCell ref="C166:I166"/>
    <mergeCell ref="C167:I167"/>
    <mergeCell ref="D170:I170"/>
    <mergeCell ref="C187:I187"/>
    <mergeCell ref="C188:I188"/>
    <mergeCell ref="C189:I189"/>
    <mergeCell ref="C190:I190"/>
  </mergeCells>
  <dataValidations>
    <dataValidation type="list" allowBlank="1" showErrorMessage="1" sqref="C34 C36:C45 C62 C64:C73 C90 C92:C101 C174 C176:C185">
      <formula1>'Base de datos'!$C$2:$C$964</formula1>
    </dataValidation>
    <dataValidation type="list" allowBlank="1" showErrorMessage="1" sqref="D6:D17 D34:D45 D62:D73 D90:D101 D118:D129 D146:D157 D174:D185">
      <formula1>'Hoja 2'!$A$2:$A$4</formula1>
    </dataValidation>
    <dataValidation type="list" allowBlank="1" showErrorMessage="1" sqref="C6 C8:C17 C118 C120:C129 C146 C148:C157">
      <formula1>'Base de datos'!$C$2:$C$133</formula1>
    </dataValidation>
  </dataValidations>
  <hyperlinks>
    <hyperlink display="INDICE" location="'INDICE 25'!A1" ref="K5"/>
    <hyperlink display="INDICE UBER " location="'INDICE UBER'!A1" ref="K13"/>
    <hyperlink display="INDICE" location="'INDICE 25'!A1" ref="K33"/>
    <hyperlink display="INDICE UBER " location="'INDICE UBER'!A1" ref="K41"/>
    <hyperlink display="INDICE" location="'INDICE 25'!A1" ref="K61"/>
    <hyperlink display="INDICE UBER " location="'INDICE UBER'!A1" ref="K69"/>
    <hyperlink display="INDICE" location="'INDICE 25'!A1" ref="K89"/>
    <hyperlink display="INDICE UBER " location="'INDICE UBER'!A1" ref="K97"/>
    <hyperlink display="INDICE" location="'INDICE 25'!A1" ref="K117"/>
    <hyperlink display="INDICE UBER " location="'INDICE UBER'!A1" ref="K125"/>
    <hyperlink display="INDICE" location="'INDICE 25'!A1" ref="K145"/>
    <hyperlink display="INDICE UBER " location="'INDICE UBER'!A1" ref="K153"/>
    <hyperlink display="INDICE" location="'INDICE 25'!A1" ref="K173"/>
    <hyperlink display="INDICE UBER " location="'INDICE UBER'!A1" ref="K18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  <col customWidth="1" min="14" max="14" width="3.75"/>
    <col customWidth="1" min="15" max="15" width="20.5"/>
    <col customWidth="1" min="17" max="17" width="0.5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737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  <c r="O5" s="250" t="s">
        <v>323</v>
      </c>
      <c r="P5" s="251"/>
      <c r="Q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/>
      <c r="E6" s="256"/>
      <c r="F6" s="257"/>
      <c r="G6" s="257"/>
      <c r="H6" s="258" t="str">
        <f t="shared" ref="H6:H13" si="1">IFERROR(1-G6/F6,"")</f>
        <v/>
      </c>
      <c r="I6" s="256"/>
      <c r="J6" s="241"/>
      <c r="K6" s="259" t="s">
        <v>324</v>
      </c>
      <c r="L6" s="260">
        <f>SUM(I6:I17)</f>
        <v>1.627118182</v>
      </c>
      <c r="M6" s="261"/>
      <c r="O6" s="259" t="s">
        <v>324</v>
      </c>
      <c r="P6" s="260">
        <f>L6</f>
        <v>1.627118182</v>
      </c>
      <c r="Q6" s="261"/>
    </row>
    <row r="7" ht="15.75" customHeight="1">
      <c r="A7" s="252"/>
      <c r="B7" s="262" t="str">
        <f>K29</f>
        <v/>
      </c>
      <c r="C7" s="262"/>
      <c r="D7" s="263"/>
      <c r="E7" s="264"/>
      <c r="F7" s="265"/>
      <c r="G7" s="265"/>
      <c r="H7" s="266" t="str">
        <f t="shared" si="1"/>
        <v/>
      </c>
      <c r="I7" s="264"/>
      <c r="J7" s="241"/>
      <c r="K7" s="267" t="s">
        <v>325</v>
      </c>
      <c r="L7" s="268">
        <v>6.0</v>
      </c>
      <c r="M7" s="261"/>
      <c r="O7" s="267" t="s">
        <v>325</v>
      </c>
      <c r="P7" s="268">
        <v>8.2</v>
      </c>
      <c r="Q7" s="261"/>
    </row>
    <row r="8" ht="15.75" customHeight="1">
      <c r="A8" s="252"/>
      <c r="B8" s="269">
        <f t="array" ref="B8">+XLOOKUP(C8,'Base de datos'!C:C,'Base de datos'!A:A,"",FALSE)</f>
        <v>63</v>
      </c>
      <c r="C8" s="270" t="s">
        <v>89</v>
      </c>
      <c r="D8" s="255" t="s">
        <v>14</v>
      </c>
      <c r="E8" s="256">
        <f t="array" ref="E8">+XLOOKUP(B8,'Base de datos'!A:A,'Base de datos'!H:H,0)</f>
        <v>6.15</v>
      </c>
      <c r="F8" s="271">
        <v>0.11</v>
      </c>
      <c r="G8" s="271">
        <v>0.1</v>
      </c>
      <c r="H8" s="258">
        <f t="shared" si="1"/>
        <v>0.09090909091</v>
      </c>
      <c r="I8" s="256">
        <f t="shared" ref="I8:I17" si="2">IFERROR(E8*F8,"")</f>
        <v>0.6765</v>
      </c>
      <c r="J8" s="241"/>
      <c r="K8" s="272" t="s">
        <v>326</v>
      </c>
      <c r="L8" s="273">
        <f>L7/1.1</f>
        <v>5.454545455</v>
      </c>
      <c r="M8" s="274"/>
      <c r="O8" s="272" t="s">
        <v>326</v>
      </c>
      <c r="P8" s="273">
        <f>P7/1.1</f>
        <v>7.454545455</v>
      </c>
      <c r="Q8" s="274"/>
    </row>
    <row r="9" ht="15.75" customHeight="1">
      <c r="A9" s="252"/>
      <c r="B9" s="269">
        <f t="array" ref="B9">+XLOOKUP(C9,'Base de datos'!C:C,'Base de datos'!A:A,"",FALSE)</f>
        <v>110</v>
      </c>
      <c r="C9" s="270" t="s">
        <v>134</v>
      </c>
      <c r="D9" s="275" t="s">
        <v>20</v>
      </c>
      <c r="E9" s="256">
        <f t="array" ref="E9">+XLOOKUP(B9,'Base de datos'!A:A,'Base de datos'!H:H,0)</f>
        <v>0.2818181818</v>
      </c>
      <c r="F9" s="271">
        <v>1.0</v>
      </c>
      <c r="G9" s="271">
        <v>1.0</v>
      </c>
      <c r="H9" s="258">
        <f t="shared" si="1"/>
        <v>0</v>
      </c>
      <c r="I9" s="256">
        <f t="shared" si="2"/>
        <v>0.2818181818</v>
      </c>
      <c r="J9" s="241"/>
      <c r="K9" s="276" t="s">
        <v>327</v>
      </c>
      <c r="L9" s="277">
        <v>0.1</v>
      </c>
      <c r="M9" s="278"/>
      <c r="O9" s="276" t="s">
        <v>327</v>
      </c>
      <c r="P9" s="277">
        <v>0.1</v>
      </c>
      <c r="Q9" s="278"/>
    </row>
    <row r="10" ht="15.75" customHeight="1">
      <c r="A10" s="252"/>
      <c r="B10" s="269">
        <f t="array" ref="B10">+XLOOKUP(C10,'Base de datos'!C:C,'Base de datos'!A:A,"",FALSE)</f>
        <v>96</v>
      </c>
      <c r="C10" s="270" t="s">
        <v>118</v>
      </c>
      <c r="D10" s="275" t="s">
        <v>14</v>
      </c>
      <c r="E10" s="256">
        <f t="array" ref="E10">+XLOOKUP(B10,'Base de datos'!A:A,'Base de datos'!H:H,0)</f>
        <v>1.8</v>
      </c>
      <c r="F10" s="271">
        <v>0.01</v>
      </c>
      <c r="G10" s="271">
        <v>0.01</v>
      </c>
      <c r="H10" s="258">
        <f t="shared" si="1"/>
        <v>0</v>
      </c>
      <c r="I10" s="256">
        <f t="shared" si="2"/>
        <v>0.018</v>
      </c>
      <c r="J10" s="241"/>
      <c r="K10" s="279" t="s">
        <v>328</v>
      </c>
      <c r="L10" s="280">
        <f>L6/L8*100</f>
        <v>29.8305</v>
      </c>
      <c r="M10" s="281" t="s">
        <v>329</v>
      </c>
      <c r="O10" s="279" t="s">
        <v>328</v>
      </c>
      <c r="P10" s="280">
        <f>P6/P8*100</f>
        <v>21.82719512</v>
      </c>
      <c r="Q10" s="281" t="s">
        <v>329</v>
      </c>
    </row>
    <row r="11" ht="15.75" customHeight="1">
      <c r="A11" s="252"/>
      <c r="B11" s="269">
        <f t="array" ref="B11">+XLOOKUP(C11,'Base de datos'!C:C,'Base de datos'!A:A,"",FALSE)</f>
        <v>72</v>
      </c>
      <c r="C11" s="270" t="s">
        <v>93</v>
      </c>
      <c r="D11" s="275" t="s">
        <v>14</v>
      </c>
      <c r="E11" s="256">
        <f t="array" ref="E11">+XLOOKUP(B11,'Base de datos'!A:A,'Base de datos'!H:H,0)</f>
        <v>2</v>
      </c>
      <c r="F11" s="271">
        <v>0.01</v>
      </c>
      <c r="G11" s="271">
        <v>0.01</v>
      </c>
      <c r="H11" s="258">
        <f t="shared" si="1"/>
        <v>0</v>
      </c>
      <c r="I11" s="256">
        <f t="shared" si="2"/>
        <v>0.02</v>
      </c>
      <c r="J11" s="241"/>
      <c r="K11" s="282" t="s">
        <v>330</v>
      </c>
      <c r="L11" s="283">
        <f>100-L10</f>
        <v>70.1695</v>
      </c>
      <c r="M11" s="284" t="s">
        <v>329</v>
      </c>
      <c r="O11" s="285" t="s">
        <v>330</v>
      </c>
      <c r="P11" s="286">
        <f>P8-P6</f>
        <v>5.827427273</v>
      </c>
      <c r="Q11" s="287" t="s">
        <v>331</v>
      </c>
    </row>
    <row r="12" ht="15.75" customHeight="1">
      <c r="A12" s="252"/>
      <c r="B12" s="269">
        <f t="array" ref="B12">+XLOOKUP(C12,'Base de datos'!C:C,'Base de datos'!A:A,"",FALSE)</f>
        <v>37</v>
      </c>
      <c r="C12" s="270" t="s">
        <v>66</v>
      </c>
      <c r="D12" s="255" t="s">
        <v>14</v>
      </c>
      <c r="E12" s="256">
        <f t="array" ref="E12">+XLOOKUP(B12,'Base de datos'!A:A,'Base de datos'!H:H,0)</f>
        <v>7</v>
      </c>
      <c r="F12" s="271">
        <v>0.02</v>
      </c>
      <c r="G12" s="271">
        <v>0.02</v>
      </c>
      <c r="H12" s="258">
        <f t="shared" si="1"/>
        <v>0</v>
      </c>
      <c r="I12" s="256">
        <f t="shared" si="2"/>
        <v>0.14</v>
      </c>
      <c r="J12" s="241"/>
      <c r="L12" s="288"/>
      <c r="O12" s="289" t="s">
        <v>332</v>
      </c>
      <c r="P12" s="290">
        <f>P8-P6-(P7*0.2)</f>
        <v>4.187427273</v>
      </c>
      <c r="Q12" s="291" t="s">
        <v>331</v>
      </c>
    </row>
    <row r="13" ht="15.75" customHeight="1">
      <c r="A13" s="252"/>
      <c r="B13" s="269">
        <f t="array" ref="B13">+XLOOKUP(C13,'Base de datos'!C:C,'Base de datos'!A:A,"",FALSE)</f>
        <v>34</v>
      </c>
      <c r="C13" s="270" t="s">
        <v>63</v>
      </c>
      <c r="D13" s="275" t="s">
        <v>11</v>
      </c>
      <c r="E13" s="256">
        <f t="array" ref="E13">+XLOOKUP(B13,'Base de datos'!A:A,'Base de datos'!H:H,0)</f>
        <v>3.75</v>
      </c>
      <c r="F13" s="271">
        <v>0.02</v>
      </c>
      <c r="G13" s="271">
        <v>0.02</v>
      </c>
      <c r="H13" s="258">
        <f t="shared" si="1"/>
        <v>0</v>
      </c>
      <c r="I13" s="256">
        <f t="shared" si="2"/>
        <v>0.075</v>
      </c>
      <c r="J13" s="241"/>
      <c r="O13" s="289" t="s">
        <v>332</v>
      </c>
      <c r="P13" s="292">
        <f>P12/P8</f>
        <v>0.5617280488</v>
      </c>
      <c r="Q13" s="291" t="s">
        <v>329</v>
      </c>
    </row>
    <row r="14" ht="15.75" customHeight="1">
      <c r="A14" s="252"/>
      <c r="B14" s="253" t="str">
        <f t="array" ref="B14">+XLOOKUP(C14,'Base de datos'!C:C,'Base de datos'!A:A,"",FALSE)</f>
        <v/>
      </c>
      <c r="C14" s="270"/>
      <c r="D14" s="255" t="s">
        <v>14</v>
      </c>
      <c r="E14" s="256">
        <f t="array" ref="E14">+XLOOKUP(B14,'Base de datos'!A:A,'Base de datos'!H:H,0)</f>
        <v>0</v>
      </c>
      <c r="F14" s="257"/>
      <c r="G14" s="257"/>
      <c r="H14" s="258"/>
      <c r="I14" s="256">
        <f t="shared" si="2"/>
        <v>0</v>
      </c>
      <c r="J14" s="241"/>
    </row>
    <row r="15" ht="15.75" customHeight="1">
      <c r="A15" s="252"/>
      <c r="B15" s="269">
        <f t="array" ref="B15">+XLOOKUP(C15,'Base de datos'!C:C,'Base de datos'!A:A,"",FALSE)</f>
        <v>93</v>
      </c>
      <c r="C15" s="270" t="s">
        <v>114</v>
      </c>
      <c r="D15" s="275" t="s">
        <v>20</v>
      </c>
      <c r="E15" s="256">
        <f t="array" ref="E15">+XLOOKUP(B15,'Base de datos'!A:A,'Base de datos'!H:H,0)</f>
        <v>0.0277</v>
      </c>
      <c r="F15" s="271">
        <v>1.0</v>
      </c>
      <c r="G15" s="271">
        <v>1.0</v>
      </c>
      <c r="H15" s="258">
        <f t="shared" ref="H15:H17" si="3">IFERROR(1-G15/F15,"")</f>
        <v>0</v>
      </c>
      <c r="I15" s="256">
        <f t="shared" si="2"/>
        <v>0.0277</v>
      </c>
      <c r="J15" s="241"/>
    </row>
    <row r="16" ht="15.75" customHeight="1">
      <c r="A16" s="252"/>
      <c r="B16" s="269">
        <f t="array" ref="B16">+XLOOKUP(C16,'Base de datos'!C:C,'Base de datos'!A:A,"",FALSE)</f>
        <v>29</v>
      </c>
      <c r="C16" s="270" t="s">
        <v>54</v>
      </c>
      <c r="D16" s="275" t="s">
        <v>20</v>
      </c>
      <c r="E16" s="256">
        <f t="array" ref="E16">+XLOOKUP(B16,'Base de datos'!A:A,'Base de datos'!H:H,0)</f>
        <v>0.1946</v>
      </c>
      <c r="F16" s="271">
        <v>1.0</v>
      </c>
      <c r="G16" s="271">
        <v>1.0</v>
      </c>
      <c r="H16" s="258">
        <f t="shared" si="3"/>
        <v>0</v>
      </c>
      <c r="I16" s="256">
        <f t="shared" si="2"/>
        <v>0.1946</v>
      </c>
      <c r="J16" s="241"/>
    </row>
    <row r="17" ht="15.75" customHeight="1">
      <c r="A17" s="252"/>
      <c r="B17" s="269">
        <f t="array" ref="B17">+XLOOKUP(C17,'Base de datos'!C:C,'Base de datos'!A:A,"",FALSE)</f>
        <v>58</v>
      </c>
      <c r="C17" s="270" t="s">
        <v>85</v>
      </c>
      <c r="D17" s="255" t="s">
        <v>14</v>
      </c>
      <c r="E17" s="256">
        <f t="array" ref="E17">+XLOOKUP(B17,'Base de datos'!A:A,'Base de datos'!H:H,0)</f>
        <v>2.15</v>
      </c>
      <c r="F17" s="271">
        <v>0.09</v>
      </c>
      <c r="G17" s="257"/>
      <c r="H17" s="258">
        <f t="shared" si="3"/>
        <v>1</v>
      </c>
      <c r="I17" s="256">
        <f t="shared" si="2"/>
        <v>0.1935</v>
      </c>
      <c r="J17" s="241"/>
    </row>
    <row r="18" ht="15.75" customHeight="1">
      <c r="A18" s="240"/>
      <c r="B18" s="240"/>
      <c r="C18" s="241"/>
      <c r="D18" s="242"/>
      <c r="E18" s="243"/>
      <c r="F18" s="244"/>
      <c r="G18" s="244"/>
      <c r="H18" s="241"/>
      <c r="I18" s="241"/>
      <c r="J18" s="241"/>
    </row>
    <row r="19" ht="15.75" customHeight="1">
      <c r="A19" s="295"/>
      <c r="B19" s="295"/>
      <c r="C19" s="296" t="s">
        <v>337</v>
      </c>
      <c r="D19" s="297"/>
      <c r="E19" s="297"/>
      <c r="F19" s="297"/>
      <c r="G19" s="297"/>
      <c r="H19" s="297"/>
      <c r="I19" s="298"/>
      <c r="J19" s="241"/>
    </row>
    <row r="20" ht="15.75" customHeight="1">
      <c r="A20" s="299"/>
      <c r="B20" s="299"/>
      <c r="C20" s="300"/>
      <c r="D20" s="297"/>
      <c r="E20" s="297"/>
      <c r="F20" s="297"/>
      <c r="G20" s="297"/>
      <c r="H20" s="297"/>
      <c r="I20" s="298"/>
      <c r="J20" s="241"/>
    </row>
    <row r="21" ht="15.75" customHeight="1">
      <c r="A21" s="301"/>
      <c r="B21" s="301"/>
      <c r="C21" s="302"/>
      <c r="I21" s="278"/>
      <c r="J21" s="241"/>
    </row>
    <row r="22" ht="15.75" customHeight="1">
      <c r="A22" s="301"/>
      <c r="B22" s="301"/>
      <c r="C22" s="302"/>
      <c r="I22" s="278"/>
      <c r="J22" s="241"/>
      <c r="K22" s="241"/>
      <c r="L22" s="241"/>
    </row>
    <row r="23" ht="15.75" customHeight="1">
      <c r="A23" s="301"/>
      <c r="B23" s="301"/>
      <c r="C23" s="302"/>
      <c r="I23" s="278"/>
      <c r="J23" s="241"/>
      <c r="K23" s="241"/>
      <c r="L23" s="241"/>
    </row>
    <row r="24" ht="15.75" customHeight="1">
      <c r="A24" s="301"/>
      <c r="B24" s="301"/>
      <c r="C24" s="302"/>
      <c r="I24" s="278"/>
      <c r="J24" s="241"/>
      <c r="K24" s="241"/>
      <c r="L24" s="241"/>
    </row>
    <row r="25" ht="15.75" customHeight="1">
      <c r="A25" s="301"/>
      <c r="B25" s="301"/>
      <c r="C25" s="302"/>
      <c r="I25" s="278"/>
      <c r="J25" s="241"/>
      <c r="K25" s="241"/>
      <c r="L25" s="241"/>
    </row>
    <row r="26" ht="15.75" customHeight="1">
      <c r="A26" s="301"/>
      <c r="B26" s="301"/>
      <c r="C26" s="302"/>
      <c r="I26" s="278"/>
      <c r="J26" s="241"/>
      <c r="K26" s="241"/>
      <c r="L26" s="241"/>
    </row>
    <row r="27" ht="15.75" customHeight="1">
      <c r="A27" s="301"/>
      <c r="B27" s="301"/>
      <c r="C27" s="304"/>
      <c r="D27" s="305"/>
      <c r="E27" s="305"/>
      <c r="F27" s="305"/>
      <c r="G27" s="305"/>
      <c r="H27" s="305"/>
      <c r="I27" s="274"/>
      <c r="J27" s="241"/>
      <c r="K27" s="241"/>
      <c r="L27" s="241"/>
    </row>
    <row r="28" ht="15.75" customHeight="1">
      <c r="A28" s="240"/>
      <c r="B28" s="240"/>
      <c r="C28" s="241"/>
      <c r="D28" s="242"/>
      <c r="E28" s="243"/>
      <c r="F28" s="244"/>
      <c r="G28" s="244"/>
      <c r="H28" s="241"/>
      <c r="I28" s="241"/>
      <c r="J28" s="241"/>
      <c r="K28" s="241"/>
      <c r="L28" s="241"/>
    </row>
    <row r="29" ht="15.75" customHeight="1">
      <c r="A29" s="360"/>
      <c r="B29" s="230"/>
      <c r="C29" s="230"/>
      <c r="D29" s="230"/>
      <c r="E29" s="231"/>
      <c r="F29" s="232"/>
      <c r="G29" s="232"/>
      <c r="H29" s="230"/>
      <c r="I29" s="230"/>
      <c r="J29" s="230"/>
      <c r="K29" s="230"/>
      <c r="L29" s="230"/>
      <c r="M29" s="23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</row>
    <row r="30" ht="15.75" customHeight="1">
      <c r="A30" s="301"/>
      <c r="B30" s="234"/>
      <c r="C30" s="235" t="s">
        <v>313</v>
      </c>
      <c r="D30" s="236" t="s">
        <v>235</v>
      </c>
      <c r="E30" s="237"/>
      <c r="F30" s="237"/>
      <c r="G30" s="237"/>
      <c r="H30" s="237"/>
      <c r="I30" s="237"/>
      <c r="J30" s="238"/>
      <c r="K30" s="231"/>
      <c r="L30" s="230"/>
      <c r="M30" s="233"/>
    </row>
    <row r="31" ht="15.75" customHeight="1">
      <c r="A31" s="301"/>
      <c r="B31" s="239"/>
      <c r="C31" s="230"/>
      <c r="D31" s="230"/>
      <c r="E31" s="231"/>
      <c r="F31" s="232"/>
      <c r="G31" s="232"/>
      <c r="H31" s="230"/>
      <c r="I31" s="230"/>
      <c r="J31" s="230"/>
      <c r="K31" s="230"/>
      <c r="L31" s="230"/>
      <c r="M31" s="233"/>
    </row>
    <row r="32" ht="15.75" customHeight="1">
      <c r="A32" s="301"/>
      <c r="B32" s="240"/>
      <c r="C32" s="241"/>
      <c r="D32" s="242"/>
      <c r="E32" s="243"/>
      <c r="F32" s="244"/>
      <c r="G32" s="244"/>
      <c r="H32" s="241"/>
      <c r="I32" s="241"/>
      <c r="J32" s="241"/>
      <c r="K32" s="241"/>
      <c r="L32" s="241"/>
    </row>
    <row r="33" ht="15.75" customHeight="1">
      <c r="A33" s="301"/>
      <c r="B33" s="246" t="s">
        <v>0</v>
      </c>
      <c r="C33" s="246" t="s">
        <v>315</v>
      </c>
      <c r="D33" s="246" t="s">
        <v>316</v>
      </c>
      <c r="E33" s="247" t="s">
        <v>317</v>
      </c>
      <c r="F33" s="248" t="s">
        <v>318</v>
      </c>
      <c r="G33" s="248" t="s">
        <v>319</v>
      </c>
      <c r="H33" s="246" t="s">
        <v>320</v>
      </c>
      <c r="I33" s="246" t="s">
        <v>321</v>
      </c>
      <c r="J33" s="249"/>
      <c r="K33" s="250" t="s">
        <v>322</v>
      </c>
      <c r="L33" s="251"/>
      <c r="M33" s="251"/>
      <c r="O33" s="250" t="s">
        <v>323</v>
      </c>
      <c r="P33" s="251"/>
      <c r="Q33" s="251"/>
    </row>
    <row r="34" ht="15.75" customHeight="1">
      <c r="A34" s="301"/>
      <c r="B34" s="253"/>
      <c r="C34" s="254"/>
      <c r="D34" s="255"/>
      <c r="E34" s="256"/>
      <c r="F34" s="257"/>
      <c r="G34" s="257"/>
      <c r="H34" s="258"/>
      <c r="I34" s="256"/>
      <c r="J34" s="241"/>
      <c r="K34" s="259" t="s">
        <v>324</v>
      </c>
      <c r="L34" s="260">
        <f>SUM(I34:I45)</f>
        <v>1.566618182</v>
      </c>
      <c r="M34" s="261"/>
      <c r="O34" s="259" t="s">
        <v>324</v>
      </c>
      <c r="P34" s="260">
        <f>L34</f>
        <v>1.566618182</v>
      </c>
      <c r="Q34" s="261"/>
    </row>
    <row r="35" ht="15.75" customHeight="1">
      <c r="A35" s="301"/>
      <c r="B35" s="262"/>
      <c r="C35" s="262"/>
      <c r="D35" s="263"/>
      <c r="E35" s="264"/>
      <c r="F35" s="265"/>
      <c r="G35" s="265"/>
      <c r="H35" s="266"/>
      <c r="I35" s="264"/>
      <c r="J35" s="241"/>
      <c r="K35" s="267" t="s">
        <v>325</v>
      </c>
      <c r="L35" s="268">
        <v>6.5</v>
      </c>
      <c r="M35" s="261"/>
      <c r="O35" s="267" t="s">
        <v>325</v>
      </c>
      <c r="P35" s="268">
        <v>9.2</v>
      </c>
      <c r="Q35" s="261"/>
    </row>
    <row r="36" ht="15.75" customHeight="1">
      <c r="A36" s="301"/>
      <c r="B36" s="269">
        <f t="array" ref="B36">+XLOOKUP(C36,'Base de datos'!C:C,'Base de datos'!A:A,"",FALSE)</f>
        <v>62</v>
      </c>
      <c r="C36" s="270" t="s">
        <v>87</v>
      </c>
      <c r="D36" s="255" t="s">
        <v>14</v>
      </c>
      <c r="E36" s="256">
        <f t="array" ref="E36">+XLOOKUP(B36,'Base de datos'!A:A,'Base de datos'!H:H,0)</f>
        <v>5.6</v>
      </c>
      <c r="F36" s="271">
        <v>0.11</v>
      </c>
      <c r="G36" s="271">
        <v>0.1</v>
      </c>
      <c r="H36" s="258">
        <f t="shared" ref="H36:H41" si="4">IFERROR(1-G36/F36,"")</f>
        <v>0.09090909091</v>
      </c>
      <c r="I36" s="256">
        <f t="shared" ref="I36:I45" si="5">IFERROR(E36*F36,"")</f>
        <v>0.616</v>
      </c>
      <c r="J36" s="241"/>
      <c r="K36" s="272" t="s">
        <v>326</v>
      </c>
      <c r="L36" s="273">
        <f>L35/1.1</f>
        <v>5.909090909</v>
      </c>
      <c r="M36" s="274"/>
      <c r="O36" s="272" t="s">
        <v>326</v>
      </c>
      <c r="P36" s="273">
        <f>P35/1.1</f>
        <v>8.363636364</v>
      </c>
      <c r="Q36" s="274"/>
    </row>
    <row r="37" ht="15.75" customHeight="1">
      <c r="A37" s="301"/>
      <c r="B37" s="269">
        <f t="array" ref="B37">+XLOOKUP(C37,'Base de datos'!C:C,'Base de datos'!A:A,"",FALSE)</f>
        <v>110</v>
      </c>
      <c r="C37" s="270" t="s">
        <v>134</v>
      </c>
      <c r="D37" s="275" t="s">
        <v>20</v>
      </c>
      <c r="E37" s="256">
        <f t="array" ref="E37">+XLOOKUP(B37,'Base de datos'!A:A,'Base de datos'!H:H,0)</f>
        <v>0.2818181818</v>
      </c>
      <c r="F37" s="271">
        <v>1.0</v>
      </c>
      <c r="G37" s="271">
        <v>1.0</v>
      </c>
      <c r="H37" s="258">
        <f t="shared" si="4"/>
        <v>0</v>
      </c>
      <c r="I37" s="256">
        <f t="shared" si="5"/>
        <v>0.2818181818</v>
      </c>
      <c r="J37" s="241"/>
      <c r="K37" s="276" t="s">
        <v>327</v>
      </c>
      <c r="L37" s="277">
        <v>0.1</v>
      </c>
      <c r="M37" s="278"/>
      <c r="O37" s="276" t="s">
        <v>327</v>
      </c>
      <c r="P37" s="277">
        <v>0.1</v>
      </c>
      <c r="Q37" s="278"/>
    </row>
    <row r="38" ht="15.75" customHeight="1">
      <c r="A38" s="301"/>
      <c r="B38" s="269">
        <f t="array" ref="B38">+XLOOKUP(C38,'Base de datos'!C:C,'Base de datos'!A:A,"",FALSE)</f>
        <v>96</v>
      </c>
      <c r="C38" s="270" t="s">
        <v>118</v>
      </c>
      <c r="D38" s="275" t="s">
        <v>14</v>
      </c>
      <c r="E38" s="256">
        <f t="array" ref="E38">+XLOOKUP(B38,'Base de datos'!A:A,'Base de datos'!H:H,0)</f>
        <v>1.8</v>
      </c>
      <c r="F38" s="271">
        <v>0.01</v>
      </c>
      <c r="G38" s="271">
        <v>0.01</v>
      </c>
      <c r="H38" s="258">
        <f t="shared" si="4"/>
        <v>0</v>
      </c>
      <c r="I38" s="256">
        <f t="shared" si="5"/>
        <v>0.018</v>
      </c>
      <c r="J38" s="241"/>
      <c r="K38" s="279" t="s">
        <v>328</v>
      </c>
      <c r="L38" s="280">
        <f>L34/L36*100</f>
        <v>26.512</v>
      </c>
      <c r="M38" s="281" t="s">
        <v>329</v>
      </c>
      <c r="O38" s="279" t="s">
        <v>328</v>
      </c>
      <c r="P38" s="280">
        <f>P34/P36*100</f>
        <v>18.73130435</v>
      </c>
      <c r="Q38" s="281" t="s">
        <v>329</v>
      </c>
    </row>
    <row r="39" ht="15.75" customHeight="1">
      <c r="A39" s="301"/>
      <c r="B39" s="269">
        <f t="array" ref="B39">+XLOOKUP(C39,'Base de datos'!C:C,'Base de datos'!A:A,"",FALSE)</f>
        <v>72</v>
      </c>
      <c r="C39" s="270" t="s">
        <v>93</v>
      </c>
      <c r="D39" s="275" t="s">
        <v>14</v>
      </c>
      <c r="E39" s="256">
        <f t="array" ref="E39">+XLOOKUP(B39,'Base de datos'!A:A,'Base de datos'!H:H,0)</f>
        <v>2</v>
      </c>
      <c r="F39" s="271">
        <v>0.01</v>
      </c>
      <c r="G39" s="271">
        <v>0.01</v>
      </c>
      <c r="H39" s="258">
        <f t="shared" si="4"/>
        <v>0</v>
      </c>
      <c r="I39" s="256">
        <f t="shared" si="5"/>
        <v>0.02</v>
      </c>
      <c r="J39" s="241"/>
      <c r="K39" s="282" t="s">
        <v>330</v>
      </c>
      <c r="L39" s="283">
        <f>100-L38</f>
        <v>73.488</v>
      </c>
      <c r="M39" s="284" t="s">
        <v>329</v>
      </c>
      <c r="O39" s="285" t="s">
        <v>330</v>
      </c>
      <c r="P39" s="286">
        <f>P36-P34</f>
        <v>6.797018182</v>
      </c>
      <c r="Q39" s="287" t="s">
        <v>331</v>
      </c>
    </row>
    <row r="40" ht="15.75" customHeight="1">
      <c r="A40" s="240"/>
      <c r="B40" s="269">
        <f t="array" ref="B40">+XLOOKUP(C40,'Base de datos'!C:C,'Base de datos'!A:A,"",FALSE)</f>
        <v>37</v>
      </c>
      <c r="C40" s="270" t="s">
        <v>66</v>
      </c>
      <c r="D40" s="255" t="s">
        <v>14</v>
      </c>
      <c r="E40" s="256">
        <f t="array" ref="E40">+XLOOKUP(B40,'Base de datos'!A:A,'Base de datos'!H:H,0)</f>
        <v>7</v>
      </c>
      <c r="F40" s="271">
        <v>0.02</v>
      </c>
      <c r="G40" s="271">
        <v>0.02</v>
      </c>
      <c r="H40" s="258">
        <f t="shared" si="4"/>
        <v>0</v>
      </c>
      <c r="I40" s="256">
        <f t="shared" si="5"/>
        <v>0.14</v>
      </c>
      <c r="J40" s="241"/>
      <c r="L40" s="288"/>
      <c r="O40" s="289" t="s">
        <v>332</v>
      </c>
      <c r="P40" s="290">
        <f>P36-P34-(P35*0.2)</f>
        <v>4.957018182</v>
      </c>
      <c r="Q40" s="291" t="s">
        <v>331</v>
      </c>
    </row>
    <row r="41" ht="15.75" customHeight="1">
      <c r="A41" s="295"/>
      <c r="B41" s="269">
        <f t="array" ref="B41">+XLOOKUP(C41,'Base de datos'!C:C,'Base de datos'!A:A,"",FALSE)</f>
        <v>34</v>
      </c>
      <c r="C41" s="270" t="s">
        <v>63</v>
      </c>
      <c r="D41" s="275" t="s">
        <v>11</v>
      </c>
      <c r="E41" s="256">
        <f t="array" ref="E41">+XLOOKUP(B41,'Base de datos'!A:A,'Base de datos'!H:H,0)</f>
        <v>3.75</v>
      </c>
      <c r="F41" s="271">
        <v>0.02</v>
      </c>
      <c r="G41" s="271">
        <v>0.02</v>
      </c>
      <c r="H41" s="258">
        <f t="shared" si="4"/>
        <v>0</v>
      </c>
      <c r="I41" s="256">
        <f t="shared" si="5"/>
        <v>0.075</v>
      </c>
      <c r="J41" s="241"/>
      <c r="O41" s="289" t="s">
        <v>332</v>
      </c>
      <c r="P41" s="292">
        <f>P40/P36</f>
        <v>0.5926869565</v>
      </c>
      <c r="Q41" s="291" t="s">
        <v>329</v>
      </c>
    </row>
    <row r="42" ht="15.75" customHeight="1">
      <c r="A42" s="299"/>
      <c r="B42" s="253" t="str">
        <f t="array" ref="B42">+XLOOKUP(C42,'Base de datos'!C:C,'Base de datos'!A:A,"",FALSE)</f>
        <v/>
      </c>
      <c r="C42" s="270"/>
      <c r="D42" s="255" t="s">
        <v>14</v>
      </c>
      <c r="E42" s="256">
        <f t="array" ref="E42">+XLOOKUP(B42,'Base de datos'!A:A,'Base de datos'!H:H,0)</f>
        <v>0</v>
      </c>
      <c r="F42" s="257"/>
      <c r="G42" s="257"/>
      <c r="H42" s="258"/>
      <c r="I42" s="256">
        <f t="shared" si="5"/>
        <v>0</v>
      </c>
      <c r="J42" s="241"/>
    </row>
    <row r="43" ht="15.75" customHeight="1">
      <c r="A43" s="301"/>
      <c r="B43" s="269">
        <f t="array" ref="B43">+XLOOKUP(C43,'Base de datos'!C:C,'Base de datos'!A:A,"",FALSE)</f>
        <v>93</v>
      </c>
      <c r="C43" s="270" t="s">
        <v>114</v>
      </c>
      <c r="D43" s="275" t="s">
        <v>20</v>
      </c>
      <c r="E43" s="256">
        <f t="array" ref="E43">+XLOOKUP(B43,'Base de datos'!A:A,'Base de datos'!H:H,0)</f>
        <v>0.0277</v>
      </c>
      <c r="F43" s="271">
        <v>1.0</v>
      </c>
      <c r="G43" s="271">
        <v>1.0</v>
      </c>
      <c r="H43" s="258">
        <f t="shared" ref="H43:H45" si="6">IFERROR(1-G43/F43,"")</f>
        <v>0</v>
      </c>
      <c r="I43" s="256">
        <f t="shared" si="5"/>
        <v>0.0277</v>
      </c>
      <c r="J43" s="241"/>
    </row>
    <row r="44" ht="15.75" customHeight="1">
      <c r="A44" s="301"/>
      <c r="B44" s="269">
        <f t="array" ref="B44">+XLOOKUP(C44,'Base de datos'!C:C,'Base de datos'!A:A,"",FALSE)</f>
        <v>29</v>
      </c>
      <c r="C44" s="270" t="s">
        <v>54</v>
      </c>
      <c r="D44" s="275" t="s">
        <v>20</v>
      </c>
      <c r="E44" s="256">
        <f t="array" ref="E44">+XLOOKUP(B44,'Base de datos'!A:A,'Base de datos'!H:H,0)</f>
        <v>0.1946</v>
      </c>
      <c r="F44" s="271">
        <v>1.0</v>
      </c>
      <c r="G44" s="271">
        <v>1.0</v>
      </c>
      <c r="H44" s="258">
        <f t="shared" si="6"/>
        <v>0</v>
      </c>
      <c r="I44" s="256">
        <f t="shared" si="5"/>
        <v>0.1946</v>
      </c>
      <c r="J44" s="241"/>
    </row>
    <row r="45" ht="15.75" customHeight="1">
      <c r="A45" s="301"/>
      <c r="B45" s="269">
        <f t="array" ref="B45">+XLOOKUP(C45,'Base de datos'!C:C,'Base de datos'!A:A,"",FALSE)</f>
        <v>58</v>
      </c>
      <c r="C45" s="270" t="s">
        <v>85</v>
      </c>
      <c r="D45" s="255" t="s">
        <v>14</v>
      </c>
      <c r="E45" s="256">
        <f t="array" ref="E45">+XLOOKUP(B45,'Base de datos'!A:A,'Base de datos'!H:H,0)</f>
        <v>2.15</v>
      </c>
      <c r="F45" s="271">
        <v>0.09</v>
      </c>
      <c r="G45" s="257"/>
      <c r="H45" s="258">
        <f t="shared" si="6"/>
        <v>1</v>
      </c>
      <c r="I45" s="256">
        <f t="shared" si="5"/>
        <v>0.1935</v>
      </c>
      <c r="J45" s="241"/>
    </row>
    <row r="46" ht="15.75" customHeight="1">
      <c r="A46" s="301"/>
      <c r="B46" s="240"/>
      <c r="C46" s="241"/>
      <c r="D46" s="242"/>
      <c r="E46" s="243"/>
      <c r="F46" s="244"/>
      <c r="G46" s="244"/>
      <c r="H46" s="241"/>
      <c r="I46" s="241"/>
      <c r="J46" s="241"/>
    </row>
    <row r="47" ht="15.75" customHeight="1">
      <c r="A47" s="301"/>
      <c r="B47" s="295"/>
      <c r="C47" s="296" t="s">
        <v>337</v>
      </c>
      <c r="D47" s="297"/>
      <c r="E47" s="297"/>
      <c r="F47" s="297"/>
      <c r="G47" s="297"/>
      <c r="H47" s="297"/>
      <c r="I47" s="298"/>
      <c r="J47" s="241"/>
    </row>
    <row r="48" ht="15.75" customHeight="1">
      <c r="A48" s="307"/>
      <c r="B48" s="299"/>
      <c r="C48" s="300"/>
      <c r="D48" s="297"/>
      <c r="E48" s="297"/>
      <c r="F48" s="297"/>
      <c r="G48" s="297"/>
      <c r="H48" s="297"/>
      <c r="I48" s="298"/>
      <c r="J48" s="241"/>
    </row>
    <row r="49" ht="15.75" customHeight="1">
      <c r="A49" s="307"/>
      <c r="B49" s="301"/>
      <c r="C49" s="302"/>
      <c r="I49" s="278"/>
      <c r="J49" s="241"/>
    </row>
    <row r="50" ht="15.75" customHeight="1">
      <c r="A50" s="307"/>
      <c r="B50" s="307"/>
      <c r="C50" s="302"/>
      <c r="I50" s="278"/>
    </row>
    <row r="51" ht="15.75" customHeight="1">
      <c r="A51" s="307"/>
      <c r="B51" s="307"/>
      <c r="C51" s="302"/>
      <c r="I51" s="278"/>
    </row>
    <row r="52" ht="15.75" customHeight="1">
      <c r="A52" s="307"/>
      <c r="B52" s="307"/>
      <c r="C52" s="302"/>
      <c r="I52" s="278"/>
    </row>
    <row r="53" ht="15.75" customHeight="1">
      <c r="A53" s="307"/>
      <c r="B53" s="307"/>
      <c r="C53" s="302"/>
      <c r="I53" s="278"/>
    </row>
    <row r="54" ht="15.75" customHeight="1">
      <c r="A54" s="307"/>
      <c r="B54" s="307"/>
      <c r="C54" s="302"/>
      <c r="I54" s="278"/>
    </row>
    <row r="55" ht="15.75" customHeight="1">
      <c r="A55" s="307"/>
      <c r="B55" s="307"/>
      <c r="C55" s="304"/>
      <c r="D55" s="305"/>
      <c r="E55" s="305"/>
      <c r="F55" s="305"/>
      <c r="G55" s="305"/>
      <c r="H55" s="305"/>
      <c r="I55" s="274"/>
    </row>
    <row r="56" ht="15.75" customHeight="1">
      <c r="A56" s="307"/>
      <c r="B56" s="307"/>
      <c r="D56" s="308"/>
      <c r="E56" s="309"/>
    </row>
    <row r="57" ht="15.75" customHeight="1">
      <c r="A57" s="307"/>
      <c r="B57" s="307"/>
      <c r="D57" s="308"/>
      <c r="E57" s="309"/>
    </row>
    <row r="58" ht="15.75" customHeight="1">
      <c r="A58" s="307"/>
      <c r="B58" s="230"/>
      <c r="C58" s="230"/>
      <c r="D58" s="230"/>
      <c r="E58" s="231"/>
      <c r="F58" s="232"/>
      <c r="G58" s="232"/>
      <c r="H58" s="230"/>
      <c r="I58" s="230"/>
      <c r="J58" s="230"/>
      <c r="K58" s="230"/>
      <c r="L58" s="230"/>
      <c r="M58" s="233"/>
    </row>
    <row r="59" ht="15.75" customHeight="1">
      <c r="A59" s="307"/>
      <c r="B59" s="234"/>
      <c r="C59" s="235" t="s">
        <v>313</v>
      </c>
      <c r="D59" s="236" t="s">
        <v>738</v>
      </c>
      <c r="E59" s="237"/>
      <c r="F59" s="237"/>
      <c r="G59" s="237"/>
      <c r="H59" s="237"/>
      <c r="I59" s="237"/>
      <c r="J59" s="238"/>
      <c r="K59" s="231"/>
      <c r="L59" s="230"/>
      <c r="M59" s="233"/>
    </row>
    <row r="60" ht="15.75" customHeight="1">
      <c r="A60" s="307"/>
      <c r="B60" s="239"/>
      <c r="C60" s="230"/>
      <c r="D60" s="230"/>
      <c r="E60" s="231"/>
      <c r="F60" s="232"/>
      <c r="G60" s="232"/>
      <c r="H60" s="230"/>
      <c r="I60" s="230"/>
      <c r="J60" s="230"/>
      <c r="K60" s="230"/>
      <c r="L60" s="230"/>
      <c r="M60" s="233"/>
    </row>
    <row r="61" ht="15.75" customHeight="1">
      <c r="A61" s="307"/>
      <c r="B61" s="240"/>
      <c r="C61" s="241"/>
      <c r="D61" s="242"/>
      <c r="E61" s="243"/>
      <c r="F61" s="244"/>
      <c r="G61" s="244"/>
      <c r="H61" s="241"/>
      <c r="I61" s="241"/>
      <c r="J61" s="241"/>
      <c r="K61" s="241"/>
      <c r="L61" s="241"/>
    </row>
    <row r="62" ht="15.75" customHeight="1">
      <c r="A62" s="307"/>
      <c r="B62" s="246" t="s">
        <v>0</v>
      </c>
      <c r="C62" s="246" t="s">
        <v>315</v>
      </c>
      <c r="D62" s="246" t="s">
        <v>316</v>
      </c>
      <c r="E62" s="247" t="s">
        <v>317</v>
      </c>
      <c r="F62" s="248" t="s">
        <v>318</v>
      </c>
      <c r="G62" s="248" t="s">
        <v>319</v>
      </c>
      <c r="H62" s="246" t="s">
        <v>320</v>
      </c>
      <c r="I62" s="246" t="s">
        <v>321</v>
      </c>
      <c r="J62" s="249"/>
      <c r="K62" s="250" t="s">
        <v>322</v>
      </c>
      <c r="L62" s="251"/>
      <c r="M62" s="251"/>
      <c r="O62" s="250" t="s">
        <v>323</v>
      </c>
      <c r="P62" s="251"/>
      <c r="Q62" s="251"/>
    </row>
    <row r="63" ht="15.75" customHeight="1">
      <c r="A63" s="307"/>
      <c r="B63" s="253" t="str">
        <f t="array" ref="B63">+XLOOKUP(C63,'Base de datos'!C:C,'Base de datos'!A:A,"",FALSE)</f>
        <v/>
      </c>
      <c r="C63" s="254"/>
      <c r="D63" s="255" t="s">
        <v>14</v>
      </c>
      <c r="E63" s="256">
        <f t="array" ref="E63">+XLOOKUP(B63,'Base de datos'!A:A,'Base de datos'!H:H,0)</f>
        <v>0</v>
      </c>
      <c r="F63" s="257"/>
      <c r="G63" s="257"/>
      <c r="H63" s="258" t="str">
        <f t="shared" ref="H63:H70" si="7">IFERROR(1-G63/F63,"")</f>
        <v/>
      </c>
      <c r="I63" s="256">
        <f t="shared" ref="I63:I74" si="8">IFERROR(E63*F63,"")</f>
        <v>0</v>
      </c>
      <c r="J63" s="241"/>
      <c r="K63" s="259" t="s">
        <v>324</v>
      </c>
      <c r="L63" s="260">
        <f>SUM(I63:I74)</f>
        <v>1.566002797</v>
      </c>
      <c r="M63" s="261"/>
      <c r="O63" s="259" t="s">
        <v>324</v>
      </c>
      <c r="P63" s="260">
        <f>L63</f>
        <v>1.566002797</v>
      </c>
      <c r="Q63" s="261"/>
    </row>
    <row r="64" ht="15.75" customHeight="1">
      <c r="A64" s="307"/>
      <c r="B64" s="262" t="str">
        <f>'SERRANO POLLO ASADO'!K29</f>
        <v>#REF!</v>
      </c>
      <c r="C64" s="262" t="str">
        <f>'SERRANO POLLO ASADO'!C29</f>
        <v>#REF!</v>
      </c>
      <c r="D64" s="263" t="s">
        <v>14</v>
      </c>
      <c r="E64" s="264" t="str">
        <f>'SERRANO POLLO ASADO'!K35</f>
        <v>#REF!</v>
      </c>
      <c r="F64" s="265"/>
      <c r="G64" s="265"/>
      <c r="H64" s="266" t="str">
        <f t="shared" si="7"/>
        <v/>
      </c>
      <c r="I64" s="264" t="str">
        <f t="shared" si="8"/>
        <v/>
      </c>
      <c r="J64" s="241"/>
      <c r="K64" s="267" t="s">
        <v>325</v>
      </c>
      <c r="L64" s="268">
        <v>6.5</v>
      </c>
      <c r="M64" s="261"/>
      <c r="O64" s="267" t="s">
        <v>325</v>
      </c>
      <c r="P64" s="268">
        <v>9.2</v>
      </c>
      <c r="Q64" s="261"/>
    </row>
    <row r="65" ht="15.75" customHeight="1">
      <c r="A65" s="307"/>
      <c r="B65" s="269">
        <f t="array" ref="B65">+XLOOKUP(C65,'Base de datos'!C:C,'Base de datos'!A:A,"",FALSE)</f>
        <v>74</v>
      </c>
      <c r="C65" s="270" t="s">
        <v>95</v>
      </c>
      <c r="D65" s="255" t="s">
        <v>14</v>
      </c>
      <c r="E65" s="256">
        <f t="array" ref="E65">+XLOOKUP(B65,'Base de datos'!A:A,'Base de datos'!H:H,0)</f>
        <v>6.153846154</v>
      </c>
      <c r="F65" s="271">
        <v>0.1</v>
      </c>
      <c r="G65" s="271">
        <v>0.1</v>
      </c>
      <c r="H65" s="258">
        <f t="shared" si="7"/>
        <v>0</v>
      </c>
      <c r="I65" s="256">
        <f t="shared" si="8"/>
        <v>0.6153846154</v>
      </c>
      <c r="J65" s="241"/>
      <c r="K65" s="272" t="s">
        <v>326</v>
      </c>
      <c r="L65" s="273">
        <f>L64/1.1</f>
        <v>5.909090909</v>
      </c>
      <c r="M65" s="274"/>
      <c r="O65" s="272" t="s">
        <v>326</v>
      </c>
      <c r="P65" s="273">
        <f>P64/1.1</f>
        <v>8.363636364</v>
      </c>
      <c r="Q65" s="274"/>
    </row>
    <row r="66" ht="15.75" customHeight="1">
      <c r="A66" s="307"/>
      <c r="B66" s="269">
        <f t="array" ref="B66">+XLOOKUP(C66,'Base de datos'!C:C,'Base de datos'!A:A,"",FALSE)</f>
        <v>110</v>
      </c>
      <c r="C66" s="270" t="s">
        <v>134</v>
      </c>
      <c r="D66" s="275" t="s">
        <v>20</v>
      </c>
      <c r="E66" s="256">
        <f t="array" ref="E66">+XLOOKUP(B66,'Base de datos'!A:A,'Base de datos'!H:H,0)</f>
        <v>0.2818181818</v>
      </c>
      <c r="F66" s="271">
        <v>1.0</v>
      </c>
      <c r="G66" s="271">
        <v>1.0</v>
      </c>
      <c r="H66" s="258">
        <f t="shared" si="7"/>
        <v>0</v>
      </c>
      <c r="I66" s="256">
        <f t="shared" si="8"/>
        <v>0.2818181818</v>
      </c>
      <c r="J66" s="241"/>
      <c r="K66" s="276" t="s">
        <v>327</v>
      </c>
      <c r="L66" s="277">
        <v>0.1</v>
      </c>
      <c r="M66" s="278"/>
      <c r="O66" s="276" t="s">
        <v>327</v>
      </c>
      <c r="P66" s="277">
        <v>0.1</v>
      </c>
      <c r="Q66" s="278"/>
    </row>
    <row r="67" ht="15.75" customHeight="1">
      <c r="A67" s="307"/>
      <c r="B67" s="269">
        <f t="array" ref="B67">+XLOOKUP(C67,'Base de datos'!C:C,'Base de datos'!A:A,"",FALSE)</f>
        <v>96</v>
      </c>
      <c r="C67" s="270" t="s">
        <v>118</v>
      </c>
      <c r="D67" s="275" t="s">
        <v>14</v>
      </c>
      <c r="E67" s="256">
        <f t="array" ref="E67">+XLOOKUP(B67,'Base de datos'!A:A,'Base de datos'!H:H,0)</f>
        <v>1.8</v>
      </c>
      <c r="F67" s="271">
        <v>0.01</v>
      </c>
      <c r="G67" s="271">
        <v>0.01</v>
      </c>
      <c r="H67" s="258">
        <f t="shared" si="7"/>
        <v>0</v>
      </c>
      <c r="I67" s="256">
        <f t="shared" si="8"/>
        <v>0.018</v>
      </c>
      <c r="J67" s="241"/>
      <c r="K67" s="279" t="s">
        <v>328</v>
      </c>
      <c r="L67" s="280">
        <f>L63/L65*100</f>
        <v>26.5015858</v>
      </c>
      <c r="M67" s="281" t="s">
        <v>329</v>
      </c>
      <c r="O67" s="279" t="s">
        <v>328</v>
      </c>
      <c r="P67" s="280">
        <f>P63/P65*100</f>
        <v>18.72394649</v>
      </c>
      <c r="Q67" s="281" t="s">
        <v>329</v>
      </c>
    </row>
    <row r="68" ht="15.75" customHeight="1">
      <c r="A68" s="307"/>
      <c r="B68" s="269">
        <f t="array" ref="B68">+XLOOKUP(C68,'Base de datos'!C:C,'Base de datos'!A:A,"",FALSE)</f>
        <v>72</v>
      </c>
      <c r="C68" s="270" t="s">
        <v>93</v>
      </c>
      <c r="D68" s="275" t="s">
        <v>14</v>
      </c>
      <c r="E68" s="256">
        <f t="array" ref="E68">+XLOOKUP(B68,'Base de datos'!A:A,'Base de datos'!H:H,0)</f>
        <v>2</v>
      </c>
      <c r="F68" s="271">
        <v>0.01</v>
      </c>
      <c r="G68" s="271">
        <v>0.01</v>
      </c>
      <c r="H68" s="258">
        <f t="shared" si="7"/>
        <v>0</v>
      </c>
      <c r="I68" s="256">
        <f t="shared" si="8"/>
        <v>0.02</v>
      </c>
      <c r="J68" s="241"/>
      <c r="K68" s="282" t="s">
        <v>330</v>
      </c>
      <c r="L68" s="283">
        <f>100-L67</f>
        <v>73.4984142</v>
      </c>
      <c r="M68" s="284" t="s">
        <v>329</v>
      </c>
      <c r="O68" s="285" t="s">
        <v>330</v>
      </c>
      <c r="P68" s="286">
        <f>P65-P63</f>
        <v>6.797633566</v>
      </c>
      <c r="Q68" s="287" t="s">
        <v>331</v>
      </c>
    </row>
    <row r="69" ht="15.75" customHeight="1">
      <c r="A69" s="307"/>
      <c r="B69" s="269">
        <f t="array" ref="B69">+XLOOKUP(C69,'Base de datos'!C:C,'Base de datos'!A:A,"",FALSE)</f>
        <v>37</v>
      </c>
      <c r="C69" s="270" t="s">
        <v>66</v>
      </c>
      <c r="D69" s="255" t="s">
        <v>14</v>
      </c>
      <c r="E69" s="256">
        <f t="array" ref="E69">+XLOOKUP(B69,'Base de datos'!A:A,'Base de datos'!H:H,0)</f>
        <v>7</v>
      </c>
      <c r="F69" s="271">
        <v>0.02</v>
      </c>
      <c r="G69" s="271">
        <v>0.02</v>
      </c>
      <c r="H69" s="258">
        <f t="shared" si="7"/>
        <v>0</v>
      </c>
      <c r="I69" s="256">
        <f t="shared" si="8"/>
        <v>0.14</v>
      </c>
      <c r="J69" s="241"/>
      <c r="L69" s="288"/>
      <c r="O69" s="289" t="s">
        <v>332</v>
      </c>
      <c r="P69" s="290">
        <f>P65-P63-(P64*0.2)</f>
        <v>4.957633566</v>
      </c>
      <c r="Q69" s="291" t="s">
        <v>331</v>
      </c>
    </row>
    <row r="70" ht="15.75" customHeight="1">
      <c r="A70" s="307"/>
      <c r="B70" s="269">
        <f t="array" ref="B70">+XLOOKUP(C70,'Base de datos'!C:C,'Base de datos'!A:A,"",FALSE)</f>
        <v>34</v>
      </c>
      <c r="C70" s="270" t="s">
        <v>63</v>
      </c>
      <c r="D70" s="275" t="s">
        <v>11</v>
      </c>
      <c r="E70" s="256">
        <f t="array" ref="E70">+XLOOKUP(B70,'Base de datos'!A:A,'Base de datos'!H:H,0)</f>
        <v>3.75</v>
      </c>
      <c r="F70" s="271">
        <v>0.02</v>
      </c>
      <c r="G70" s="271">
        <v>0.02</v>
      </c>
      <c r="H70" s="258">
        <f t="shared" si="7"/>
        <v>0</v>
      </c>
      <c r="I70" s="256">
        <f t="shared" si="8"/>
        <v>0.075</v>
      </c>
      <c r="J70" s="241"/>
      <c r="O70" s="289" t="s">
        <v>332</v>
      </c>
      <c r="P70" s="292">
        <f>P69/P65</f>
        <v>0.5927605351</v>
      </c>
      <c r="Q70" s="291" t="s">
        <v>329</v>
      </c>
    </row>
    <row r="71" ht="15.75" customHeight="1">
      <c r="A71" s="307"/>
      <c r="B71" s="253" t="str">
        <f t="array" ref="B71">+XLOOKUP(C71,'Base de datos'!C:C,'Base de datos'!A:A,"",FALSE)</f>
        <v/>
      </c>
      <c r="C71" s="270"/>
      <c r="D71" s="255" t="s">
        <v>14</v>
      </c>
      <c r="E71" s="256">
        <f t="array" ref="E71">+XLOOKUP(B71,'Base de datos'!A:A,'Base de datos'!H:H,0)</f>
        <v>0</v>
      </c>
      <c r="F71" s="257"/>
      <c r="G71" s="257"/>
      <c r="H71" s="258"/>
      <c r="I71" s="256">
        <f t="shared" si="8"/>
        <v>0</v>
      </c>
      <c r="J71" s="241"/>
    </row>
    <row r="72" ht="15.75" customHeight="1">
      <c r="A72" s="307"/>
      <c r="B72" s="269">
        <f t="array" ref="B72">+XLOOKUP(C72,'Base de datos'!C:C,'Base de datos'!A:A,"",FALSE)</f>
        <v>93</v>
      </c>
      <c r="C72" s="270" t="s">
        <v>114</v>
      </c>
      <c r="D72" s="275" t="s">
        <v>20</v>
      </c>
      <c r="E72" s="256">
        <f t="array" ref="E72">+XLOOKUP(B72,'Base de datos'!A:A,'Base de datos'!H:H,0)</f>
        <v>0.0277</v>
      </c>
      <c r="F72" s="271">
        <v>1.0</v>
      </c>
      <c r="G72" s="271">
        <v>1.0</v>
      </c>
      <c r="H72" s="258">
        <f t="shared" ref="H72:H74" si="9">IFERROR(1-G72/F72,"")</f>
        <v>0</v>
      </c>
      <c r="I72" s="256">
        <f t="shared" si="8"/>
        <v>0.0277</v>
      </c>
      <c r="J72" s="241"/>
    </row>
    <row r="73" ht="15.75" customHeight="1">
      <c r="A73" s="307"/>
      <c r="B73" s="269">
        <f t="array" ref="B73">+XLOOKUP(C73,'Base de datos'!C:C,'Base de datos'!A:A,"",FALSE)</f>
        <v>29</v>
      </c>
      <c r="C73" s="270" t="s">
        <v>54</v>
      </c>
      <c r="D73" s="275" t="s">
        <v>20</v>
      </c>
      <c r="E73" s="256">
        <f t="array" ref="E73">+XLOOKUP(B73,'Base de datos'!A:A,'Base de datos'!H:H,0)</f>
        <v>0.1946</v>
      </c>
      <c r="F73" s="271">
        <v>1.0</v>
      </c>
      <c r="G73" s="271">
        <v>1.0</v>
      </c>
      <c r="H73" s="258">
        <f t="shared" si="9"/>
        <v>0</v>
      </c>
      <c r="I73" s="256">
        <f t="shared" si="8"/>
        <v>0.1946</v>
      </c>
      <c r="J73" s="241"/>
    </row>
    <row r="74" ht="15.75" customHeight="1">
      <c r="A74" s="307"/>
      <c r="B74" s="269">
        <f t="array" ref="B74">+XLOOKUP(C74,'Base de datos'!C:C,'Base de datos'!A:A,"",FALSE)</f>
        <v>58</v>
      </c>
      <c r="C74" s="270" t="s">
        <v>85</v>
      </c>
      <c r="D74" s="255" t="s">
        <v>14</v>
      </c>
      <c r="E74" s="256">
        <f t="array" ref="E74">+XLOOKUP(B74,'Base de datos'!A:A,'Base de datos'!H:H,0)</f>
        <v>2.15</v>
      </c>
      <c r="F74" s="271">
        <v>0.09</v>
      </c>
      <c r="G74" s="257"/>
      <c r="H74" s="258">
        <f t="shared" si="9"/>
        <v>1</v>
      </c>
      <c r="I74" s="256">
        <f t="shared" si="8"/>
        <v>0.1935</v>
      </c>
      <c r="J74" s="241"/>
    </row>
    <row r="75" ht="15.75" customHeight="1">
      <c r="A75" s="307"/>
      <c r="B75" s="240"/>
      <c r="C75" s="241"/>
      <c r="D75" s="242"/>
      <c r="E75" s="243"/>
      <c r="F75" s="244"/>
      <c r="G75" s="244"/>
      <c r="H75" s="241"/>
      <c r="I75" s="241"/>
      <c r="J75" s="241"/>
    </row>
    <row r="76" ht="15.75" customHeight="1">
      <c r="A76" s="307"/>
      <c r="B76" s="295"/>
      <c r="C76" s="296" t="s">
        <v>337</v>
      </c>
      <c r="D76" s="297"/>
      <c r="E76" s="297"/>
      <c r="F76" s="297"/>
      <c r="G76" s="297"/>
      <c r="H76" s="297"/>
      <c r="I76" s="298"/>
      <c r="J76" s="241"/>
    </row>
    <row r="77" ht="15.75" customHeight="1">
      <c r="A77" s="307"/>
      <c r="B77" s="299"/>
      <c r="C77" s="300"/>
      <c r="D77" s="297"/>
      <c r="E77" s="297"/>
      <c r="F77" s="297"/>
      <c r="G77" s="297"/>
      <c r="H77" s="297"/>
      <c r="I77" s="298"/>
      <c r="J77" s="241"/>
    </row>
    <row r="78" ht="15.75" customHeight="1">
      <c r="A78" s="307"/>
      <c r="B78" s="301"/>
      <c r="C78" s="302"/>
      <c r="I78" s="278"/>
      <c r="J78" s="241"/>
    </row>
    <row r="79" ht="15.75" customHeight="1">
      <c r="A79" s="307"/>
      <c r="B79" s="301"/>
      <c r="C79" s="302"/>
      <c r="I79" s="278"/>
      <c r="J79" s="241"/>
      <c r="K79" s="241"/>
      <c r="L79" s="241"/>
    </row>
    <row r="80" ht="15.75" customHeight="1">
      <c r="A80" s="307"/>
      <c r="B80" s="301"/>
      <c r="C80" s="302"/>
      <c r="I80" s="278"/>
      <c r="J80" s="241"/>
      <c r="K80" s="241"/>
      <c r="L80" s="241"/>
    </row>
    <row r="81" ht="15.75" customHeight="1">
      <c r="A81" s="307"/>
      <c r="B81" s="301"/>
      <c r="C81" s="302"/>
      <c r="I81" s="278"/>
      <c r="J81" s="241"/>
      <c r="K81" s="241"/>
      <c r="L81" s="241"/>
    </row>
    <row r="82" ht="15.75" customHeight="1">
      <c r="A82" s="307"/>
      <c r="B82" s="301"/>
      <c r="C82" s="302"/>
      <c r="I82" s="278"/>
      <c r="J82" s="241"/>
      <c r="K82" s="241"/>
      <c r="L82" s="241"/>
    </row>
    <row r="83" ht="15.75" customHeight="1">
      <c r="A83" s="307"/>
      <c r="B83" s="301"/>
      <c r="C83" s="302"/>
      <c r="I83" s="278"/>
      <c r="J83" s="241"/>
      <c r="K83" s="241"/>
      <c r="L83" s="241"/>
    </row>
    <row r="84" ht="15.75" customHeight="1">
      <c r="A84" s="307"/>
      <c r="B84" s="301"/>
      <c r="C84" s="304"/>
      <c r="D84" s="305"/>
      <c r="E84" s="305"/>
      <c r="F84" s="305"/>
      <c r="G84" s="305"/>
      <c r="H84" s="305"/>
      <c r="I84" s="274"/>
      <c r="J84" s="241"/>
      <c r="K84" s="241"/>
      <c r="L84" s="241"/>
    </row>
    <row r="85" ht="15.75" customHeight="1">
      <c r="A85" s="307"/>
      <c r="B85" s="307"/>
      <c r="D85" s="308"/>
      <c r="E85" s="309"/>
    </row>
    <row r="86" ht="15.75" customHeight="1">
      <c r="A86" s="307"/>
      <c r="B86" s="307"/>
      <c r="D86" s="308"/>
      <c r="E86" s="309"/>
    </row>
    <row r="87" ht="15.75" customHeight="1">
      <c r="A87" s="307"/>
      <c r="B87" s="230"/>
      <c r="C87" s="230"/>
      <c r="D87" s="230"/>
      <c r="E87" s="231"/>
      <c r="F87" s="232"/>
      <c r="G87" s="232"/>
      <c r="H87" s="230"/>
      <c r="I87" s="230"/>
      <c r="J87" s="230"/>
      <c r="K87" s="230"/>
      <c r="L87" s="230"/>
      <c r="M87" s="233"/>
    </row>
    <row r="88" ht="15.75" customHeight="1">
      <c r="A88" s="307"/>
      <c r="B88" s="234"/>
      <c r="C88" s="235" t="s">
        <v>313</v>
      </c>
      <c r="D88" s="236" t="s">
        <v>238</v>
      </c>
      <c r="E88" s="237"/>
      <c r="F88" s="237"/>
      <c r="G88" s="237"/>
      <c r="H88" s="237"/>
      <c r="I88" s="237"/>
      <c r="J88" s="238"/>
      <c r="K88" s="231"/>
      <c r="L88" s="230"/>
      <c r="M88" s="233"/>
    </row>
    <row r="89" ht="15.75" customHeight="1">
      <c r="A89" s="307"/>
      <c r="B89" s="239"/>
      <c r="C89" s="230"/>
      <c r="D89" s="230"/>
      <c r="E89" s="231"/>
      <c r="F89" s="232"/>
      <c r="G89" s="232"/>
      <c r="H89" s="230"/>
      <c r="I89" s="230"/>
      <c r="J89" s="230"/>
      <c r="K89" s="230"/>
      <c r="L89" s="230"/>
      <c r="M89" s="233"/>
    </row>
    <row r="90" ht="15.75" customHeight="1">
      <c r="A90" s="307"/>
      <c r="B90" s="240"/>
      <c r="C90" s="241"/>
      <c r="D90" s="242"/>
      <c r="E90" s="243"/>
      <c r="F90" s="244"/>
      <c r="G90" s="244"/>
      <c r="H90" s="241"/>
      <c r="I90" s="241"/>
      <c r="J90" s="241"/>
      <c r="K90" s="241"/>
      <c r="L90" s="241"/>
    </row>
    <row r="91" ht="15.75" customHeight="1">
      <c r="A91" s="307"/>
      <c r="B91" s="246" t="s">
        <v>0</v>
      </c>
      <c r="C91" s="246" t="s">
        <v>315</v>
      </c>
      <c r="D91" s="246" t="s">
        <v>316</v>
      </c>
      <c r="E91" s="247" t="s">
        <v>317</v>
      </c>
      <c r="F91" s="248" t="s">
        <v>318</v>
      </c>
      <c r="G91" s="248" t="s">
        <v>319</v>
      </c>
      <c r="H91" s="246" t="s">
        <v>320</v>
      </c>
      <c r="I91" s="246" t="s">
        <v>321</v>
      </c>
      <c r="J91" s="249"/>
      <c r="K91" s="250" t="s">
        <v>322</v>
      </c>
      <c r="L91" s="251"/>
      <c r="M91" s="251"/>
      <c r="O91" s="250" t="s">
        <v>323</v>
      </c>
      <c r="P91" s="251"/>
      <c r="Q91" s="251"/>
    </row>
    <row r="92" ht="15.75" customHeight="1">
      <c r="A92" s="307"/>
      <c r="B92" s="253" t="str">
        <f t="array" ref="B92">+XLOOKUP(C92,'Base de datos'!C:C,'Base de datos'!A:A,"",FALSE)</f>
        <v/>
      </c>
      <c r="C92" s="254"/>
      <c r="D92" s="255" t="s">
        <v>14</v>
      </c>
      <c r="E92" s="256">
        <f t="array" ref="E92">+XLOOKUP(B92,'Base de datos'!A:A,'Base de datos'!H:H,0)</f>
        <v>0</v>
      </c>
      <c r="F92" s="257"/>
      <c r="G92" s="257"/>
      <c r="H92" s="258" t="str">
        <f t="shared" ref="H92:H99" si="10">IFERROR(1-G92/F92,"")</f>
        <v/>
      </c>
      <c r="I92" s="256">
        <f t="shared" ref="I92:I103" si="11">IFERROR(E92*F92,"")</f>
        <v>0</v>
      </c>
      <c r="J92" s="241"/>
      <c r="K92" s="259" t="s">
        <v>324</v>
      </c>
      <c r="L92" s="260">
        <f>SUM(I92:I103)</f>
        <v>1.499618182</v>
      </c>
      <c r="M92" s="261"/>
      <c r="O92" s="259" t="s">
        <v>324</v>
      </c>
      <c r="P92" s="260">
        <f>L92</f>
        <v>1.499618182</v>
      </c>
      <c r="Q92" s="261"/>
    </row>
    <row r="93" ht="15.75" customHeight="1">
      <c r="A93" s="307"/>
      <c r="B93" s="262" t="str">
        <f>'SERRANO SOLOMILLO'!K29</f>
        <v>#REF!</v>
      </c>
      <c r="C93" s="262" t="str">
        <f>'SERRANO SOLOMILLO'!C29</f>
        <v>#REF!</v>
      </c>
      <c r="D93" s="263" t="s">
        <v>14</v>
      </c>
      <c r="E93" s="264" t="str">
        <f>'SERRANO SOLOMILLO'!K35</f>
        <v>#REF!</v>
      </c>
      <c r="F93" s="265"/>
      <c r="G93" s="265"/>
      <c r="H93" s="266" t="str">
        <f t="shared" si="10"/>
        <v/>
      </c>
      <c r="I93" s="264" t="str">
        <f t="shared" si="11"/>
        <v/>
      </c>
      <c r="J93" s="241"/>
      <c r="K93" s="267" t="s">
        <v>325</v>
      </c>
      <c r="L93" s="268">
        <v>7.0</v>
      </c>
      <c r="M93" s="261"/>
      <c r="O93" s="267" t="s">
        <v>325</v>
      </c>
      <c r="P93" s="268">
        <v>9.2</v>
      </c>
      <c r="Q93" s="261"/>
    </row>
    <row r="94" ht="15.75" customHeight="1">
      <c r="A94" s="307"/>
      <c r="B94" s="269">
        <f t="array" ref="B94">+XLOOKUP(C94,'Base de datos'!C:C,'Base de datos'!A:A,"",FALSE)</f>
        <v>116</v>
      </c>
      <c r="C94" s="270" t="s">
        <v>141</v>
      </c>
      <c r="D94" s="255" t="s">
        <v>14</v>
      </c>
      <c r="E94" s="256">
        <f t="array" ref="E94">+XLOOKUP(B94,'Base de datos'!A:A,'Base de datos'!H:H,0)</f>
        <v>5.49</v>
      </c>
      <c r="F94" s="271">
        <v>0.1</v>
      </c>
      <c r="G94" s="271">
        <v>0.1</v>
      </c>
      <c r="H94" s="258">
        <f t="shared" si="10"/>
        <v>0</v>
      </c>
      <c r="I94" s="256">
        <f t="shared" si="11"/>
        <v>0.549</v>
      </c>
      <c r="J94" s="241"/>
      <c r="K94" s="272" t="s">
        <v>326</v>
      </c>
      <c r="L94" s="273">
        <f>L93/1.1</f>
        <v>6.363636364</v>
      </c>
      <c r="M94" s="274"/>
      <c r="O94" s="272" t="s">
        <v>326</v>
      </c>
      <c r="P94" s="273">
        <f>P93/1.1</f>
        <v>8.363636364</v>
      </c>
      <c r="Q94" s="274"/>
    </row>
    <row r="95" ht="15.75" customHeight="1">
      <c r="A95" s="307"/>
      <c r="B95" s="269">
        <f t="array" ref="B95">+XLOOKUP(C95,'Base de datos'!C:C,'Base de datos'!A:A,"",FALSE)</f>
        <v>110</v>
      </c>
      <c r="C95" s="270" t="s">
        <v>134</v>
      </c>
      <c r="D95" s="275" t="s">
        <v>20</v>
      </c>
      <c r="E95" s="256">
        <f t="array" ref="E95">+XLOOKUP(B95,'Base de datos'!A:A,'Base de datos'!H:H,0)</f>
        <v>0.2818181818</v>
      </c>
      <c r="F95" s="271">
        <v>1.0</v>
      </c>
      <c r="G95" s="271">
        <v>1.0</v>
      </c>
      <c r="H95" s="258">
        <f t="shared" si="10"/>
        <v>0</v>
      </c>
      <c r="I95" s="256">
        <f t="shared" si="11"/>
        <v>0.2818181818</v>
      </c>
      <c r="J95" s="241"/>
      <c r="K95" s="276" t="s">
        <v>327</v>
      </c>
      <c r="L95" s="277">
        <v>0.1</v>
      </c>
      <c r="M95" s="278"/>
      <c r="O95" s="276" t="s">
        <v>327</v>
      </c>
      <c r="P95" s="277">
        <v>0.1</v>
      </c>
      <c r="Q95" s="278"/>
    </row>
    <row r="96" ht="15.75" customHeight="1">
      <c r="A96" s="307"/>
      <c r="B96" s="269">
        <f t="array" ref="B96">+XLOOKUP(C96,'Base de datos'!C:C,'Base de datos'!A:A,"",FALSE)</f>
        <v>96</v>
      </c>
      <c r="C96" s="270" t="s">
        <v>118</v>
      </c>
      <c r="D96" s="275" t="s">
        <v>14</v>
      </c>
      <c r="E96" s="256">
        <f t="array" ref="E96">+XLOOKUP(B96,'Base de datos'!A:A,'Base de datos'!H:H,0)</f>
        <v>1.8</v>
      </c>
      <c r="F96" s="271">
        <v>0.01</v>
      </c>
      <c r="G96" s="271">
        <v>0.01</v>
      </c>
      <c r="H96" s="258">
        <f t="shared" si="10"/>
        <v>0</v>
      </c>
      <c r="I96" s="256">
        <f t="shared" si="11"/>
        <v>0.018</v>
      </c>
      <c r="J96" s="241"/>
      <c r="K96" s="279" t="s">
        <v>328</v>
      </c>
      <c r="L96" s="280">
        <f>L92/L94*100</f>
        <v>23.56542857</v>
      </c>
      <c r="M96" s="281" t="s">
        <v>329</v>
      </c>
      <c r="O96" s="279" t="s">
        <v>328</v>
      </c>
      <c r="P96" s="280">
        <f>P92/P94*100</f>
        <v>17.93021739</v>
      </c>
      <c r="Q96" s="281" t="s">
        <v>329</v>
      </c>
    </row>
    <row r="97" ht="15.75" customHeight="1">
      <c r="A97" s="307"/>
      <c r="B97" s="269">
        <f t="array" ref="B97">+XLOOKUP(C97,'Base de datos'!C:C,'Base de datos'!A:A,"",FALSE)</f>
        <v>72</v>
      </c>
      <c r="C97" s="270" t="s">
        <v>93</v>
      </c>
      <c r="D97" s="275" t="s">
        <v>14</v>
      </c>
      <c r="E97" s="256">
        <f t="array" ref="E97">+XLOOKUP(B97,'Base de datos'!A:A,'Base de datos'!H:H,0)</f>
        <v>2</v>
      </c>
      <c r="F97" s="271">
        <v>0.01</v>
      </c>
      <c r="G97" s="271">
        <v>0.01</v>
      </c>
      <c r="H97" s="258">
        <f t="shared" si="10"/>
        <v>0</v>
      </c>
      <c r="I97" s="256">
        <f t="shared" si="11"/>
        <v>0.02</v>
      </c>
      <c r="J97" s="241"/>
      <c r="K97" s="282" t="s">
        <v>330</v>
      </c>
      <c r="L97" s="283">
        <f>100-L96</f>
        <v>76.43457143</v>
      </c>
      <c r="M97" s="284" t="s">
        <v>329</v>
      </c>
      <c r="O97" s="285" t="s">
        <v>330</v>
      </c>
      <c r="P97" s="286">
        <f>P94-P92</f>
        <v>6.864018182</v>
      </c>
      <c r="Q97" s="287" t="s">
        <v>331</v>
      </c>
    </row>
    <row r="98" ht="15.75" customHeight="1">
      <c r="A98" s="307"/>
      <c r="B98" s="269">
        <f t="array" ref="B98">+XLOOKUP(C98,'Base de datos'!C:C,'Base de datos'!A:A,"",FALSE)</f>
        <v>37</v>
      </c>
      <c r="C98" s="270" t="s">
        <v>66</v>
      </c>
      <c r="D98" s="255" t="s">
        <v>14</v>
      </c>
      <c r="E98" s="256">
        <f t="array" ref="E98">+XLOOKUP(B98,'Base de datos'!A:A,'Base de datos'!H:H,0)</f>
        <v>7</v>
      </c>
      <c r="F98" s="271">
        <v>0.02</v>
      </c>
      <c r="G98" s="271">
        <v>0.02</v>
      </c>
      <c r="H98" s="258">
        <f t="shared" si="10"/>
        <v>0</v>
      </c>
      <c r="I98" s="256">
        <f t="shared" si="11"/>
        <v>0.14</v>
      </c>
      <c r="J98" s="241"/>
      <c r="L98" s="288"/>
      <c r="O98" s="289" t="s">
        <v>332</v>
      </c>
      <c r="P98" s="290">
        <f>P94-P92-(P93*0.2)</f>
        <v>5.024018182</v>
      </c>
      <c r="Q98" s="291" t="s">
        <v>331</v>
      </c>
    </row>
    <row r="99" ht="15.75" customHeight="1">
      <c r="A99" s="307"/>
      <c r="B99" s="269">
        <f t="array" ref="B99">+XLOOKUP(C99,'Base de datos'!C:C,'Base de datos'!A:A,"",FALSE)</f>
        <v>34</v>
      </c>
      <c r="C99" s="270" t="s">
        <v>63</v>
      </c>
      <c r="D99" s="275" t="s">
        <v>11</v>
      </c>
      <c r="E99" s="256">
        <f t="array" ref="E99">+XLOOKUP(B99,'Base de datos'!A:A,'Base de datos'!H:H,0)</f>
        <v>3.75</v>
      </c>
      <c r="F99" s="271">
        <v>0.02</v>
      </c>
      <c r="G99" s="271">
        <v>0.02</v>
      </c>
      <c r="H99" s="258">
        <f t="shared" si="10"/>
        <v>0</v>
      </c>
      <c r="I99" s="256">
        <f t="shared" si="11"/>
        <v>0.075</v>
      </c>
      <c r="J99" s="241"/>
      <c r="O99" s="289" t="s">
        <v>332</v>
      </c>
      <c r="P99" s="292">
        <f>P98/P94</f>
        <v>0.6006978261</v>
      </c>
      <c r="Q99" s="291" t="s">
        <v>329</v>
      </c>
    </row>
    <row r="100" ht="15.75" customHeight="1">
      <c r="A100" s="307"/>
      <c r="B100" s="253" t="str">
        <f t="array" ref="B100">+XLOOKUP(C100,'Base de datos'!C:C,'Base de datos'!A:A,"",FALSE)</f>
        <v/>
      </c>
      <c r="C100" s="270"/>
      <c r="D100" s="255" t="s">
        <v>14</v>
      </c>
      <c r="E100" s="256">
        <f t="array" ref="E100">+XLOOKUP(B100,'Base de datos'!A:A,'Base de datos'!H:H,0)</f>
        <v>0</v>
      </c>
      <c r="F100" s="257"/>
      <c r="G100" s="257"/>
      <c r="H100" s="258"/>
      <c r="I100" s="256">
        <f t="shared" si="11"/>
        <v>0</v>
      </c>
      <c r="J100" s="241"/>
    </row>
    <row r="101" ht="15.75" customHeight="1">
      <c r="A101" s="307"/>
      <c r="B101" s="269">
        <f t="array" ref="B101">+XLOOKUP(C101,'Base de datos'!C:C,'Base de datos'!A:A,"",FALSE)</f>
        <v>93</v>
      </c>
      <c r="C101" s="270" t="s">
        <v>114</v>
      </c>
      <c r="D101" s="275" t="s">
        <v>20</v>
      </c>
      <c r="E101" s="256">
        <f t="array" ref="E101">+XLOOKUP(B101,'Base de datos'!A:A,'Base de datos'!H:H,0)</f>
        <v>0.0277</v>
      </c>
      <c r="F101" s="271">
        <v>1.0</v>
      </c>
      <c r="G101" s="271">
        <v>1.0</v>
      </c>
      <c r="H101" s="258">
        <f t="shared" ref="H101:H103" si="12">IFERROR(1-G101/F101,"")</f>
        <v>0</v>
      </c>
      <c r="I101" s="256">
        <f t="shared" si="11"/>
        <v>0.0277</v>
      </c>
      <c r="J101" s="241"/>
    </row>
    <row r="102" ht="15.75" customHeight="1">
      <c r="A102" s="307"/>
      <c r="B102" s="269">
        <f t="array" ref="B102">+XLOOKUP(C102,'Base de datos'!C:C,'Base de datos'!A:A,"",FALSE)</f>
        <v>29</v>
      </c>
      <c r="C102" s="270" t="s">
        <v>54</v>
      </c>
      <c r="D102" s="275" t="s">
        <v>20</v>
      </c>
      <c r="E102" s="256">
        <f t="array" ref="E102">+XLOOKUP(B102,'Base de datos'!A:A,'Base de datos'!H:H,0)</f>
        <v>0.1946</v>
      </c>
      <c r="F102" s="271">
        <v>1.0</v>
      </c>
      <c r="G102" s="271">
        <v>1.0</v>
      </c>
      <c r="H102" s="258">
        <f t="shared" si="12"/>
        <v>0</v>
      </c>
      <c r="I102" s="256">
        <f t="shared" si="11"/>
        <v>0.1946</v>
      </c>
      <c r="J102" s="241"/>
    </row>
    <row r="103" ht="15.75" customHeight="1">
      <c r="A103" s="307"/>
      <c r="B103" s="269">
        <f t="array" ref="B103">+XLOOKUP(C103,'Base de datos'!C:C,'Base de datos'!A:A,"",FALSE)</f>
        <v>58</v>
      </c>
      <c r="C103" s="270" t="s">
        <v>85</v>
      </c>
      <c r="D103" s="255" t="s">
        <v>14</v>
      </c>
      <c r="E103" s="256">
        <f t="array" ref="E103">+XLOOKUP(B103,'Base de datos'!A:A,'Base de datos'!H:H,0)</f>
        <v>2.15</v>
      </c>
      <c r="F103" s="271">
        <v>0.09</v>
      </c>
      <c r="G103" s="257"/>
      <c r="H103" s="258">
        <f t="shared" si="12"/>
        <v>1</v>
      </c>
      <c r="I103" s="256">
        <f t="shared" si="11"/>
        <v>0.1935</v>
      </c>
      <c r="J103" s="241"/>
    </row>
    <row r="104" ht="15.75" customHeight="1">
      <c r="A104" s="307"/>
      <c r="B104" s="240"/>
      <c r="C104" s="241"/>
      <c r="D104" s="242"/>
      <c r="E104" s="243"/>
      <c r="F104" s="244"/>
      <c r="G104" s="244"/>
      <c r="H104" s="241"/>
      <c r="I104" s="241"/>
      <c r="J104" s="241"/>
    </row>
    <row r="105" ht="15.75" customHeight="1">
      <c r="A105" s="307"/>
      <c r="B105" s="295"/>
      <c r="C105" s="296" t="s">
        <v>337</v>
      </c>
      <c r="D105" s="297"/>
      <c r="E105" s="297"/>
      <c r="F105" s="297"/>
      <c r="G105" s="297"/>
      <c r="H105" s="297"/>
      <c r="I105" s="298"/>
      <c r="J105" s="241"/>
    </row>
    <row r="106" ht="15.75" customHeight="1">
      <c r="A106" s="307"/>
      <c r="B106" s="299"/>
      <c r="C106" s="300"/>
      <c r="D106" s="297"/>
      <c r="E106" s="297"/>
      <c r="F106" s="297"/>
      <c r="G106" s="297"/>
      <c r="H106" s="297"/>
      <c r="I106" s="298"/>
      <c r="J106" s="241"/>
    </row>
    <row r="107" ht="15.75" customHeight="1">
      <c r="A107" s="307"/>
      <c r="B107" s="301"/>
      <c r="C107" s="302"/>
      <c r="I107" s="278"/>
      <c r="J107" s="241"/>
    </row>
    <row r="108" ht="15.75" customHeight="1">
      <c r="A108" s="307"/>
      <c r="B108" s="301"/>
      <c r="C108" s="302"/>
      <c r="I108" s="278"/>
      <c r="J108" s="241"/>
      <c r="K108" s="241"/>
      <c r="L108" s="241"/>
    </row>
    <row r="109" ht="15.75" customHeight="1">
      <c r="A109" s="307"/>
      <c r="B109" s="301"/>
      <c r="C109" s="302"/>
      <c r="I109" s="278"/>
      <c r="J109" s="241"/>
      <c r="K109" s="241"/>
      <c r="L109" s="241"/>
    </row>
    <row r="110" ht="15.75" customHeight="1">
      <c r="A110" s="307"/>
      <c r="B110" s="301"/>
      <c r="C110" s="302"/>
      <c r="I110" s="278"/>
      <c r="J110" s="241"/>
      <c r="K110" s="241"/>
      <c r="L110" s="241"/>
    </row>
    <row r="111" ht="15.75" customHeight="1">
      <c r="A111" s="307"/>
      <c r="B111" s="301"/>
      <c r="C111" s="302"/>
      <c r="I111" s="278"/>
      <c r="J111" s="241"/>
      <c r="K111" s="241"/>
      <c r="L111" s="241"/>
    </row>
    <row r="112" ht="15.75" customHeight="1">
      <c r="A112" s="307"/>
      <c r="B112" s="301"/>
      <c r="C112" s="302"/>
      <c r="I112" s="278"/>
      <c r="J112" s="241"/>
      <c r="K112" s="241"/>
      <c r="L112" s="241"/>
    </row>
    <row r="113" ht="15.75" customHeight="1">
      <c r="A113" s="307"/>
      <c r="B113" s="301"/>
      <c r="C113" s="304"/>
      <c r="D113" s="305"/>
      <c r="E113" s="305"/>
      <c r="F113" s="305"/>
      <c r="G113" s="305"/>
      <c r="H113" s="305"/>
      <c r="I113" s="274"/>
      <c r="J113" s="241"/>
      <c r="K113" s="241"/>
      <c r="L113" s="241"/>
    </row>
    <row r="114" ht="15.75" customHeight="1">
      <c r="A114" s="307"/>
      <c r="B114" s="307"/>
      <c r="D114" s="308"/>
      <c r="E114" s="309"/>
    </row>
    <row r="115" ht="15.75" customHeight="1">
      <c r="A115" s="307"/>
      <c r="B115" s="307"/>
      <c r="D115" s="308"/>
      <c r="E115" s="309"/>
    </row>
    <row r="116" ht="15.75" customHeight="1">
      <c r="A116" s="307"/>
      <c r="B116" s="230"/>
      <c r="C116" s="230"/>
      <c r="D116" s="230"/>
      <c r="E116" s="231"/>
      <c r="F116" s="232"/>
      <c r="G116" s="232"/>
      <c r="H116" s="230"/>
      <c r="I116" s="230"/>
      <c r="J116" s="230"/>
      <c r="K116" s="230"/>
      <c r="L116" s="230"/>
      <c r="M116" s="233"/>
    </row>
    <row r="117" ht="15.75" customHeight="1">
      <c r="A117" s="307"/>
      <c r="B117" s="234"/>
      <c r="C117" s="235" t="s">
        <v>313</v>
      </c>
      <c r="D117" s="236" t="s">
        <v>739</v>
      </c>
      <c r="E117" s="237"/>
      <c r="F117" s="237"/>
      <c r="G117" s="237"/>
      <c r="H117" s="237"/>
      <c r="I117" s="237"/>
      <c r="J117" s="238"/>
      <c r="K117" s="231"/>
      <c r="L117" s="230"/>
      <c r="M117" s="233"/>
    </row>
    <row r="118" ht="15.75" customHeight="1">
      <c r="A118" s="307"/>
      <c r="B118" s="239"/>
      <c r="C118" s="230"/>
      <c r="D118" s="230"/>
      <c r="E118" s="231"/>
      <c r="F118" s="232"/>
      <c r="G118" s="232"/>
      <c r="H118" s="230"/>
      <c r="I118" s="230"/>
      <c r="J118" s="230"/>
      <c r="K118" s="230"/>
      <c r="L118" s="230"/>
      <c r="M118" s="233"/>
    </row>
    <row r="119" ht="15.75" customHeight="1">
      <c r="A119" s="307"/>
      <c r="B119" s="240"/>
      <c r="C119" s="241"/>
      <c r="D119" s="242"/>
      <c r="E119" s="243"/>
      <c r="F119" s="244"/>
      <c r="G119" s="244"/>
      <c r="H119" s="241"/>
      <c r="I119" s="241"/>
      <c r="J119" s="241"/>
      <c r="K119" s="241"/>
      <c r="L119" s="241"/>
    </row>
    <row r="120" ht="15.75" customHeight="1">
      <c r="A120" s="307"/>
      <c r="B120" s="246" t="s">
        <v>0</v>
      </c>
      <c r="C120" s="246" t="s">
        <v>315</v>
      </c>
      <c r="D120" s="246" t="s">
        <v>316</v>
      </c>
      <c r="E120" s="247" t="s">
        <v>317</v>
      </c>
      <c r="F120" s="248" t="s">
        <v>318</v>
      </c>
      <c r="G120" s="248" t="s">
        <v>319</v>
      </c>
      <c r="H120" s="246" t="s">
        <v>320</v>
      </c>
      <c r="I120" s="246" t="s">
        <v>321</v>
      </c>
      <c r="J120" s="249"/>
      <c r="K120" s="250" t="s">
        <v>322</v>
      </c>
      <c r="L120" s="251"/>
      <c r="M120" s="251"/>
      <c r="O120" s="250" t="s">
        <v>323</v>
      </c>
      <c r="P120" s="251"/>
      <c r="Q120" s="251"/>
    </row>
    <row r="121" ht="15.75" customHeight="1">
      <c r="A121" s="307"/>
      <c r="B121" s="253" t="str">
        <f t="array" ref="B121">+XLOOKUP(C121,'Base de datos'!C:C,'Base de datos'!A:A,"",FALSE)</f>
        <v/>
      </c>
      <c r="C121" s="254"/>
      <c r="D121" s="255" t="s">
        <v>14</v>
      </c>
      <c r="E121" s="256">
        <f t="array" ref="E121">+XLOOKUP(B121,'Base de datos'!A:A,'Base de datos'!H:H,0)</f>
        <v>0</v>
      </c>
      <c r="F121" s="257"/>
      <c r="G121" s="257"/>
      <c r="H121" s="258" t="str">
        <f t="shared" ref="H121:H128" si="13">IFERROR(1-G121/F121,"")</f>
        <v/>
      </c>
      <c r="I121" s="256">
        <f t="shared" ref="I121:I132" si="14">IFERROR(E121*F121,"")</f>
        <v>0</v>
      </c>
      <c r="J121" s="241"/>
      <c r="K121" s="259" t="s">
        <v>324</v>
      </c>
      <c r="L121" s="260">
        <f>SUM(I121:I132)</f>
        <v>1.782776515</v>
      </c>
      <c r="M121" s="261"/>
      <c r="O121" s="259" t="s">
        <v>324</v>
      </c>
      <c r="P121" s="260">
        <f>L121</f>
        <v>1.782776515</v>
      </c>
      <c r="Q121" s="261"/>
    </row>
    <row r="122" ht="15.75" customHeight="1">
      <c r="A122" s="307"/>
      <c r="B122" s="262" t="str">
        <f>'SERRANO SOLOMILLO'!K58</f>
        <v>#REF!</v>
      </c>
      <c r="C122" s="262" t="str">
        <f>'SERRANO SOLOMILLO'!C58</f>
        <v>#REF!</v>
      </c>
      <c r="D122" s="263" t="s">
        <v>14</v>
      </c>
      <c r="E122" s="264" t="str">
        <f>'SERRANO SOLOMILLO'!K64</f>
        <v>#REF!</v>
      </c>
      <c r="F122" s="265"/>
      <c r="G122" s="265"/>
      <c r="H122" s="266" t="str">
        <f t="shared" si="13"/>
        <v/>
      </c>
      <c r="I122" s="264" t="str">
        <f t="shared" si="14"/>
        <v/>
      </c>
      <c r="J122" s="241"/>
      <c r="K122" s="267" t="s">
        <v>325</v>
      </c>
      <c r="L122" s="268">
        <v>8.0</v>
      </c>
      <c r="M122" s="261"/>
      <c r="O122" s="267" t="s">
        <v>325</v>
      </c>
      <c r="P122" s="268">
        <v>9.2</v>
      </c>
      <c r="Q122" s="261"/>
    </row>
    <row r="123" ht="15.75" customHeight="1">
      <c r="A123" s="307"/>
      <c r="B123" s="269">
        <f t="array" ref="B123">+XLOOKUP(C123,'Base de datos'!C:C,'Base de datos'!A:A,"",FALSE)</f>
        <v>78</v>
      </c>
      <c r="C123" s="270" t="s">
        <v>99</v>
      </c>
      <c r="D123" s="255" t="s">
        <v>14</v>
      </c>
      <c r="E123" s="256">
        <f t="array" ref="E123">+XLOOKUP(B123,'Base de datos'!A:A,'Base de datos'!H:H,0)</f>
        <v>8.321583333</v>
      </c>
      <c r="F123" s="271">
        <v>0.1</v>
      </c>
      <c r="G123" s="271">
        <v>0.1</v>
      </c>
      <c r="H123" s="258">
        <f t="shared" si="13"/>
        <v>0</v>
      </c>
      <c r="I123" s="256">
        <f t="shared" si="14"/>
        <v>0.8321583333</v>
      </c>
      <c r="J123" s="241"/>
      <c r="K123" s="272" t="s">
        <v>326</v>
      </c>
      <c r="L123" s="273">
        <f>L122/1.1</f>
        <v>7.272727273</v>
      </c>
      <c r="M123" s="274"/>
      <c r="O123" s="272" t="s">
        <v>326</v>
      </c>
      <c r="P123" s="273">
        <f>P122/1.1</f>
        <v>8.363636364</v>
      </c>
      <c r="Q123" s="274"/>
    </row>
    <row r="124" ht="15.75" customHeight="1">
      <c r="A124" s="307"/>
      <c r="B124" s="269">
        <f t="array" ref="B124">+XLOOKUP(C124,'Base de datos'!C:C,'Base de datos'!A:A,"",FALSE)</f>
        <v>110</v>
      </c>
      <c r="C124" s="270" t="s">
        <v>134</v>
      </c>
      <c r="D124" s="275" t="s">
        <v>20</v>
      </c>
      <c r="E124" s="256">
        <f t="array" ref="E124">+XLOOKUP(B124,'Base de datos'!A:A,'Base de datos'!H:H,0)</f>
        <v>0.2818181818</v>
      </c>
      <c r="F124" s="271">
        <v>1.0</v>
      </c>
      <c r="G124" s="271">
        <v>1.0</v>
      </c>
      <c r="H124" s="258">
        <f t="shared" si="13"/>
        <v>0</v>
      </c>
      <c r="I124" s="256">
        <f t="shared" si="14"/>
        <v>0.2818181818</v>
      </c>
      <c r="J124" s="241"/>
      <c r="K124" s="276" t="s">
        <v>327</v>
      </c>
      <c r="L124" s="277">
        <v>0.1</v>
      </c>
      <c r="M124" s="278"/>
      <c r="O124" s="276" t="s">
        <v>327</v>
      </c>
      <c r="P124" s="277">
        <v>0.1</v>
      </c>
      <c r="Q124" s="278"/>
    </row>
    <row r="125" ht="15.75" customHeight="1">
      <c r="A125" s="307"/>
      <c r="B125" s="269">
        <f t="array" ref="B125">+XLOOKUP(C125,'Base de datos'!C:C,'Base de datos'!A:A,"",FALSE)</f>
        <v>96</v>
      </c>
      <c r="C125" s="270" t="s">
        <v>118</v>
      </c>
      <c r="D125" s="275" t="s">
        <v>14</v>
      </c>
      <c r="E125" s="256">
        <f t="array" ref="E125">+XLOOKUP(B125,'Base de datos'!A:A,'Base de datos'!H:H,0)</f>
        <v>1.8</v>
      </c>
      <c r="F125" s="271">
        <v>0.01</v>
      </c>
      <c r="G125" s="271">
        <v>0.01</v>
      </c>
      <c r="H125" s="258">
        <f t="shared" si="13"/>
        <v>0</v>
      </c>
      <c r="I125" s="256">
        <f t="shared" si="14"/>
        <v>0.018</v>
      </c>
      <c r="J125" s="241"/>
      <c r="K125" s="279" t="s">
        <v>328</v>
      </c>
      <c r="L125" s="280">
        <f>L121/L123*100</f>
        <v>24.51317708</v>
      </c>
      <c r="M125" s="281" t="s">
        <v>329</v>
      </c>
      <c r="O125" s="279" t="s">
        <v>328</v>
      </c>
      <c r="P125" s="280">
        <f>P121/P123*100</f>
        <v>21.31580616</v>
      </c>
      <c r="Q125" s="281" t="s">
        <v>329</v>
      </c>
    </row>
    <row r="126" ht="15.75" customHeight="1">
      <c r="A126" s="307"/>
      <c r="B126" s="269">
        <f t="array" ref="B126">+XLOOKUP(C126,'Base de datos'!C:C,'Base de datos'!A:A,"",FALSE)</f>
        <v>72</v>
      </c>
      <c r="C126" s="270" t="s">
        <v>93</v>
      </c>
      <c r="D126" s="275" t="s">
        <v>14</v>
      </c>
      <c r="E126" s="256">
        <f t="array" ref="E126">+XLOOKUP(B126,'Base de datos'!A:A,'Base de datos'!H:H,0)</f>
        <v>2</v>
      </c>
      <c r="F126" s="271">
        <v>0.01</v>
      </c>
      <c r="G126" s="271">
        <v>0.01</v>
      </c>
      <c r="H126" s="258">
        <f t="shared" si="13"/>
        <v>0</v>
      </c>
      <c r="I126" s="256">
        <f t="shared" si="14"/>
        <v>0.02</v>
      </c>
      <c r="J126" s="241"/>
      <c r="K126" s="282" t="s">
        <v>330</v>
      </c>
      <c r="L126" s="283">
        <f>100-L125</f>
        <v>75.48682292</v>
      </c>
      <c r="M126" s="284" t="s">
        <v>329</v>
      </c>
      <c r="O126" s="285" t="s">
        <v>330</v>
      </c>
      <c r="P126" s="286">
        <f>P123-P121</f>
        <v>6.580859848</v>
      </c>
      <c r="Q126" s="287" t="s">
        <v>331</v>
      </c>
    </row>
    <row r="127" ht="15.75" customHeight="1">
      <c r="A127" s="307"/>
      <c r="B127" s="269">
        <f t="array" ref="B127">+XLOOKUP(C127,'Base de datos'!C:C,'Base de datos'!A:A,"",FALSE)</f>
        <v>37</v>
      </c>
      <c r="C127" s="270" t="s">
        <v>66</v>
      </c>
      <c r="D127" s="255" t="s">
        <v>14</v>
      </c>
      <c r="E127" s="256">
        <f t="array" ref="E127">+XLOOKUP(B127,'Base de datos'!A:A,'Base de datos'!H:H,0)</f>
        <v>7</v>
      </c>
      <c r="F127" s="271">
        <v>0.02</v>
      </c>
      <c r="G127" s="271">
        <v>0.02</v>
      </c>
      <c r="H127" s="258">
        <f t="shared" si="13"/>
        <v>0</v>
      </c>
      <c r="I127" s="256">
        <f t="shared" si="14"/>
        <v>0.14</v>
      </c>
      <c r="J127" s="241"/>
      <c r="L127" s="288"/>
      <c r="O127" s="289" t="s">
        <v>332</v>
      </c>
      <c r="P127" s="290">
        <f>P123-P121-(P122*0.2)</f>
        <v>4.740859848</v>
      </c>
      <c r="Q127" s="291" t="s">
        <v>331</v>
      </c>
    </row>
    <row r="128" ht="15.75" customHeight="1">
      <c r="A128" s="307"/>
      <c r="B128" s="269">
        <f t="array" ref="B128">+XLOOKUP(C128,'Base de datos'!C:C,'Base de datos'!A:A,"",FALSE)</f>
        <v>34</v>
      </c>
      <c r="C128" s="270" t="s">
        <v>63</v>
      </c>
      <c r="D128" s="275" t="s">
        <v>11</v>
      </c>
      <c r="E128" s="256">
        <f t="array" ref="E128">+XLOOKUP(B128,'Base de datos'!A:A,'Base de datos'!H:H,0)</f>
        <v>3.75</v>
      </c>
      <c r="F128" s="271">
        <v>0.02</v>
      </c>
      <c r="G128" s="271">
        <v>0.02</v>
      </c>
      <c r="H128" s="258">
        <f t="shared" si="13"/>
        <v>0</v>
      </c>
      <c r="I128" s="256">
        <f t="shared" si="14"/>
        <v>0.075</v>
      </c>
      <c r="J128" s="241"/>
      <c r="O128" s="289" t="s">
        <v>332</v>
      </c>
      <c r="P128" s="292">
        <f>P127/P123</f>
        <v>0.5668419384</v>
      </c>
      <c r="Q128" s="291" t="s">
        <v>329</v>
      </c>
    </row>
    <row r="129" ht="15.75" customHeight="1">
      <c r="A129" s="307"/>
      <c r="B129" s="253" t="str">
        <f t="array" ref="B129">+XLOOKUP(C129,'Base de datos'!C:C,'Base de datos'!A:A,"",FALSE)</f>
        <v/>
      </c>
      <c r="C129" s="270"/>
      <c r="D129" s="255" t="s">
        <v>14</v>
      </c>
      <c r="E129" s="256">
        <f t="array" ref="E129">+XLOOKUP(B129,'Base de datos'!A:A,'Base de datos'!H:H,0)</f>
        <v>0</v>
      </c>
      <c r="F129" s="257"/>
      <c r="G129" s="257"/>
      <c r="H129" s="258"/>
      <c r="I129" s="256">
        <f t="shared" si="14"/>
        <v>0</v>
      </c>
      <c r="J129" s="241"/>
    </row>
    <row r="130" ht="15.75" customHeight="1">
      <c r="A130" s="307"/>
      <c r="B130" s="269">
        <f t="array" ref="B130">+XLOOKUP(C130,'Base de datos'!C:C,'Base de datos'!A:A,"",FALSE)</f>
        <v>93</v>
      </c>
      <c r="C130" s="270" t="s">
        <v>114</v>
      </c>
      <c r="D130" s="275" t="s">
        <v>20</v>
      </c>
      <c r="E130" s="256">
        <f t="array" ref="E130">+XLOOKUP(B130,'Base de datos'!A:A,'Base de datos'!H:H,0)</f>
        <v>0.0277</v>
      </c>
      <c r="F130" s="271">
        <v>1.0</v>
      </c>
      <c r="G130" s="271">
        <v>1.0</v>
      </c>
      <c r="H130" s="258">
        <f t="shared" ref="H130:H132" si="15">IFERROR(1-G130/F130,"")</f>
        <v>0</v>
      </c>
      <c r="I130" s="256">
        <f t="shared" si="14"/>
        <v>0.0277</v>
      </c>
      <c r="J130" s="241"/>
    </row>
    <row r="131" ht="15.75" customHeight="1">
      <c r="A131" s="307"/>
      <c r="B131" s="269">
        <f t="array" ref="B131">+XLOOKUP(C131,'Base de datos'!C:C,'Base de datos'!A:A,"",FALSE)</f>
        <v>29</v>
      </c>
      <c r="C131" s="270" t="s">
        <v>54</v>
      </c>
      <c r="D131" s="275" t="s">
        <v>20</v>
      </c>
      <c r="E131" s="256">
        <f t="array" ref="E131">+XLOOKUP(B131,'Base de datos'!A:A,'Base de datos'!H:H,0)</f>
        <v>0.1946</v>
      </c>
      <c r="F131" s="271">
        <v>1.0</v>
      </c>
      <c r="G131" s="271">
        <v>1.0</v>
      </c>
      <c r="H131" s="258">
        <f t="shared" si="15"/>
        <v>0</v>
      </c>
      <c r="I131" s="256">
        <f t="shared" si="14"/>
        <v>0.1946</v>
      </c>
      <c r="J131" s="241"/>
    </row>
    <row r="132" ht="15.75" customHeight="1">
      <c r="A132" s="307"/>
      <c r="B132" s="269">
        <f t="array" ref="B132">+XLOOKUP(C132,'Base de datos'!C:C,'Base de datos'!A:A,"",FALSE)</f>
        <v>58</v>
      </c>
      <c r="C132" s="270" t="s">
        <v>85</v>
      </c>
      <c r="D132" s="255" t="s">
        <v>14</v>
      </c>
      <c r="E132" s="256">
        <f t="array" ref="E132">+XLOOKUP(B132,'Base de datos'!A:A,'Base de datos'!H:H,0)</f>
        <v>2.15</v>
      </c>
      <c r="F132" s="271">
        <v>0.09</v>
      </c>
      <c r="G132" s="257"/>
      <c r="H132" s="258">
        <f t="shared" si="15"/>
        <v>1</v>
      </c>
      <c r="I132" s="256">
        <f t="shared" si="14"/>
        <v>0.1935</v>
      </c>
      <c r="J132" s="241"/>
    </row>
    <row r="133" ht="15.75" customHeight="1">
      <c r="A133" s="307"/>
      <c r="B133" s="240"/>
      <c r="C133" s="241"/>
      <c r="D133" s="242"/>
      <c r="E133" s="243"/>
      <c r="F133" s="244"/>
      <c r="G133" s="244"/>
      <c r="H133" s="241"/>
      <c r="I133" s="241"/>
      <c r="J133" s="241"/>
    </row>
    <row r="134" ht="15.75" customHeight="1">
      <c r="A134" s="307"/>
      <c r="B134" s="295"/>
      <c r="C134" s="296" t="s">
        <v>337</v>
      </c>
      <c r="D134" s="297"/>
      <c r="E134" s="297"/>
      <c r="F134" s="297"/>
      <c r="G134" s="297"/>
      <c r="H134" s="297"/>
      <c r="I134" s="298"/>
      <c r="J134" s="241"/>
    </row>
    <row r="135" ht="15.75" customHeight="1">
      <c r="A135" s="307"/>
      <c r="B135" s="299"/>
      <c r="C135" s="300"/>
      <c r="D135" s="297"/>
      <c r="E135" s="297"/>
      <c r="F135" s="297"/>
      <c r="G135" s="297"/>
      <c r="H135" s="297"/>
      <c r="I135" s="298"/>
      <c r="J135" s="241"/>
    </row>
    <row r="136" ht="15.75" customHeight="1">
      <c r="A136" s="307"/>
      <c r="B136" s="301"/>
      <c r="C136" s="302"/>
      <c r="I136" s="278"/>
      <c r="J136" s="241"/>
    </row>
    <row r="137" ht="15.75" customHeight="1">
      <c r="A137" s="307"/>
      <c r="B137" s="301"/>
      <c r="C137" s="302"/>
      <c r="I137" s="278"/>
      <c r="J137" s="241"/>
      <c r="K137" s="241"/>
      <c r="L137" s="241"/>
    </row>
    <row r="138" ht="15.75" customHeight="1">
      <c r="A138" s="307"/>
      <c r="B138" s="301"/>
      <c r="C138" s="302"/>
      <c r="I138" s="278"/>
      <c r="J138" s="241"/>
      <c r="K138" s="241"/>
      <c r="L138" s="241"/>
    </row>
    <row r="139" ht="15.75" customHeight="1">
      <c r="A139" s="307"/>
      <c r="B139" s="301"/>
      <c r="C139" s="302"/>
      <c r="I139" s="278"/>
      <c r="J139" s="241"/>
      <c r="K139" s="241"/>
      <c r="L139" s="241"/>
    </row>
    <row r="140" ht="15.75" customHeight="1">
      <c r="A140" s="307"/>
      <c r="B140" s="301"/>
      <c r="C140" s="302"/>
      <c r="I140" s="278"/>
      <c r="J140" s="241"/>
      <c r="K140" s="241"/>
      <c r="L140" s="241"/>
    </row>
    <row r="141" ht="15.75" customHeight="1">
      <c r="A141" s="307"/>
      <c r="B141" s="301"/>
      <c r="C141" s="302"/>
      <c r="I141" s="278"/>
      <c r="J141" s="241"/>
      <c r="K141" s="241"/>
      <c r="L141" s="241"/>
    </row>
    <row r="142" ht="15.75" customHeight="1">
      <c r="A142" s="307"/>
      <c r="B142" s="301"/>
      <c r="C142" s="304"/>
      <c r="D142" s="305"/>
      <c r="E142" s="305"/>
      <c r="F142" s="305"/>
      <c r="G142" s="305"/>
      <c r="H142" s="305"/>
      <c r="I142" s="274"/>
      <c r="J142" s="241"/>
      <c r="K142" s="241"/>
      <c r="L142" s="241"/>
    </row>
    <row r="143" ht="15.75" customHeight="1">
      <c r="A143" s="307"/>
      <c r="B143" s="307"/>
      <c r="D143" s="308"/>
      <c r="E143" s="309"/>
    </row>
    <row r="144" ht="15.75" customHeight="1">
      <c r="A144" s="307"/>
      <c r="B144" s="307"/>
      <c r="D144" s="308"/>
      <c r="E144" s="309"/>
    </row>
    <row r="145" ht="15.75" customHeight="1">
      <c r="A145" s="307"/>
      <c r="B145" s="230"/>
      <c r="C145" s="230"/>
      <c r="D145" s="230"/>
      <c r="E145" s="231"/>
      <c r="F145" s="232"/>
      <c r="G145" s="232"/>
      <c r="H145" s="230"/>
      <c r="I145" s="230"/>
      <c r="J145" s="230"/>
      <c r="K145" s="230"/>
      <c r="L145" s="230"/>
      <c r="M145" s="233"/>
    </row>
    <row r="146" ht="15.75" customHeight="1">
      <c r="A146" s="307"/>
      <c r="B146" s="234"/>
      <c r="C146" s="235" t="s">
        <v>313</v>
      </c>
      <c r="D146" s="236" t="s">
        <v>740</v>
      </c>
      <c r="E146" s="237"/>
      <c r="F146" s="237"/>
      <c r="G146" s="237"/>
      <c r="H146" s="237"/>
      <c r="I146" s="237"/>
      <c r="J146" s="238"/>
      <c r="K146" s="231"/>
      <c r="L146" s="230"/>
      <c r="M146" s="233"/>
    </row>
    <row r="147" ht="15.75" customHeight="1">
      <c r="A147" s="307"/>
      <c r="B147" s="239"/>
      <c r="C147" s="230"/>
      <c r="D147" s="230"/>
      <c r="E147" s="231"/>
      <c r="F147" s="232"/>
      <c r="G147" s="232"/>
      <c r="H147" s="230"/>
      <c r="I147" s="230"/>
      <c r="J147" s="230"/>
      <c r="K147" s="230"/>
      <c r="L147" s="230"/>
      <c r="M147" s="233"/>
    </row>
    <row r="148" ht="15.75" customHeight="1">
      <c r="A148" s="307"/>
      <c r="B148" s="240"/>
      <c r="C148" s="241"/>
      <c r="D148" s="242"/>
      <c r="E148" s="243"/>
      <c r="F148" s="244"/>
      <c r="G148" s="244"/>
      <c r="H148" s="241"/>
      <c r="I148" s="241"/>
      <c r="J148" s="241"/>
      <c r="K148" s="241"/>
      <c r="L148" s="241"/>
    </row>
    <row r="149" ht="15.75" customHeight="1">
      <c r="A149" s="307"/>
      <c r="B149" s="246" t="s">
        <v>0</v>
      </c>
      <c r="C149" s="246" t="s">
        <v>315</v>
      </c>
      <c r="D149" s="246" t="s">
        <v>316</v>
      </c>
      <c r="E149" s="247" t="s">
        <v>317</v>
      </c>
      <c r="F149" s="248" t="s">
        <v>318</v>
      </c>
      <c r="G149" s="248" t="s">
        <v>319</v>
      </c>
      <c r="H149" s="246" t="s">
        <v>320</v>
      </c>
      <c r="I149" s="246" t="s">
        <v>321</v>
      </c>
      <c r="J149" s="249"/>
      <c r="K149" s="250" t="s">
        <v>322</v>
      </c>
      <c r="L149" s="251"/>
      <c r="M149" s="251"/>
      <c r="O149" s="250" t="s">
        <v>323</v>
      </c>
      <c r="P149" s="251"/>
      <c r="Q149" s="251"/>
    </row>
    <row r="150" ht="15.75" customHeight="1">
      <c r="A150" s="307"/>
      <c r="B150" s="253" t="str">
        <f t="array" ref="B150">+XLOOKUP(C150,'Base de datos'!C:C,'Base de datos'!A:A,"",FALSE)</f>
        <v/>
      </c>
      <c r="C150" s="254"/>
      <c r="D150" s="255" t="s">
        <v>14</v>
      </c>
      <c r="E150" s="256">
        <f t="array" ref="E150">+XLOOKUP(B150,'Base de datos'!A:A,'Base de datos'!H:H,0)</f>
        <v>0</v>
      </c>
      <c r="F150" s="257"/>
      <c r="G150" s="257"/>
      <c r="H150" s="258" t="str">
        <f t="shared" ref="H150:H157" si="16">IFERROR(1-G150/F150,"")</f>
        <v/>
      </c>
      <c r="I150" s="256">
        <f t="shared" ref="I150:I161" si="17">IFERROR(E150*F150,"")</f>
        <v>0</v>
      </c>
      <c r="J150" s="241"/>
      <c r="K150" s="259" t="s">
        <v>324</v>
      </c>
      <c r="L150" s="260">
        <f>SUM(I150:I161)</f>
        <v>1.33913034</v>
      </c>
      <c r="M150" s="261"/>
      <c r="O150" s="259" t="s">
        <v>324</v>
      </c>
      <c r="P150" s="260">
        <f>L150</f>
        <v>1.33913034</v>
      </c>
      <c r="Q150" s="261"/>
    </row>
    <row r="151" ht="15.75" customHeight="1">
      <c r="A151" s="307"/>
      <c r="B151" s="262" t="str">
        <f>'SERRANO SOLOMILLO'!K87</f>
        <v>#REF!</v>
      </c>
      <c r="C151" s="262" t="str">
        <f>'SERRANO SOLOMILLO'!C87</f>
        <v>#REF!</v>
      </c>
      <c r="D151" s="263" t="s">
        <v>14</v>
      </c>
      <c r="E151" s="264" t="str">
        <f>'SERRANO SOLOMILLO'!K93</f>
        <v>#REF!</v>
      </c>
      <c r="F151" s="265"/>
      <c r="G151" s="265"/>
      <c r="H151" s="266" t="str">
        <f t="shared" si="16"/>
        <v/>
      </c>
      <c r="I151" s="264" t="str">
        <f t="shared" si="17"/>
        <v/>
      </c>
      <c r="J151" s="241"/>
      <c r="K151" s="267" t="s">
        <v>325</v>
      </c>
      <c r="L151" s="268">
        <v>8.0</v>
      </c>
      <c r="M151" s="261"/>
      <c r="O151" s="267" t="s">
        <v>325</v>
      </c>
      <c r="P151" s="268">
        <v>9.2</v>
      </c>
      <c r="Q151" s="261"/>
    </row>
    <row r="152" ht="15.75" customHeight="1">
      <c r="A152" s="307"/>
      <c r="B152" s="269">
        <f t="array" ref="B152">+XLOOKUP(C152,'Base de datos'!C:C,'Base de datos'!A:A,"",FALSE)</f>
        <v>161</v>
      </c>
      <c r="C152" s="270" t="s">
        <v>194</v>
      </c>
      <c r="D152" s="255" t="s">
        <v>14</v>
      </c>
      <c r="E152" s="256">
        <f t="array" ref="E152">+XLOOKUP(B152,'Base de datos'!A:A,'Base de datos'!H:H,0)</f>
        <v>3.885121586</v>
      </c>
      <c r="F152" s="271">
        <v>0.1</v>
      </c>
      <c r="G152" s="271">
        <v>0.1</v>
      </c>
      <c r="H152" s="258">
        <f t="shared" si="16"/>
        <v>0</v>
      </c>
      <c r="I152" s="256">
        <f t="shared" si="17"/>
        <v>0.3885121586</v>
      </c>
      <c r="J152" s="241"/>
      <c r="K152" s="272" t="s">
        <v>326</v>
      </c>
      <c r="L152" s="273">
        <f>L151/1.1</f>
        <v>7.272727273</v>
      </c>
      <c r="M152" s="274"/>
      <c r="O152" s="272" t="s">
        <v>326</v>
      </c>
      <c r="P152" s="273">
        <f>P151/1.1</f>
        <v>8.363636364</v>
      </c>
      <c r="Q152" s="274"/>
    </row>
    <row r="153" ht="15.75" customHeight="1">
      <c r="A153" s="307"/>
      <c r="B153" s="269">
        <f t="array" ref="B153">+XLOOKUP(C153,'Base de datos'!C:C,'Base de datos'!A:A,"",FALSE)</f>
        <v>110</v>
      </c>
      <c r="C153" s="270" t="s">
        <v>134</v>
      </c>
      <c r="D153" s="275" t="s">
        <v>20</v>
      </c>
      <c r="E153" s="256">
        <f t="array" ref="E153">+XLOOKUP(B153,'Base de datos'!A:A,'Base de datos'!H:H,0)</f>
        <v>0.2818181818</v>
      </c>
      <c r="F153" s="271">
        <v>1.0</v>
      </c>
      <c r="G153" s="271">
        <v>1.0</v>
      </c>
      <c r="H153" s="258">
        <f t="shared" si="16"/>
        <v>0</v>
      </c>
      <c r="I153" s="256">
        <f t="shared" si="17"/>
        <v>0.2818181818</v>
      </c>
      <c r="J153" s="241"/>
      <c r="K153" s="276" t="s">
        <v>327</v>
      </c>
      <c r="L153" s="277">
        <v>0.1</v>
      </c>
      <c r="M153" s="278"/>
      <c r="O153" s="276" t="s">
        <v>327</v>
      </c>
      <c r="P153" s="277">
        <v>0.1</v>
      </c>
      <c r="Q153" s="278"/>
    </row>
    <row r="154" ht="15.75" customHeight="1">
      <c r="A154" s="307"/>
      <c r="B154" s="269">
        <f t="array" ref="B154">+XLOOKUP(C154,'Base de datos'!C:C,'Base de datos'!A:A,"",FALSE)</f>
        <v>96</v>
      </c>
      <c r="C154" s="270" t="s">
        <v>118</v>
      </c>
      <c r="D154" s="275" t="s">
        <v>14</v>
      </c>
      <c r="E154" s="256">
        <f t="array" ref="E154">+XLOOKUP(B154,'Base de datos'!A:A,'Base de datos'!H:H,0)</f>
        <v>1.8</v>
      </c>
      <c r="F154" s="271">
        <v>0.01</v>
      </c>
      <c r="G154" s="271">
        <v>0.01</v>
      </c>
      <c r="H154" s="258">
        <f t="shared" si="16"/>
        <v>0</v>
      </c>
      <c r="I154" s="256">
        <f t="shared" si="17"/>
        <v>0.018</v>
      </c>
      <c r="J154" s="241"/>
      <c r="K154" s="279" t="s">
        <v>328</v>
      </c>
      <c r="L154" s="280">
        <f>L150/L152*100</f>
        <v>18.41304218</v>
      </c>
      <c r="M154" s="281" t="s">
        <v>329</v>
      </c>
      <c r="O154" s="279" t="s">
        <v>328</v>
      </c>
      <c r="P154" s="280">
        <f>P150/P152*100</f>
        <v>16.01134103</v>
      </c>
      <c r="Q154" s="281" t="s">
        <v>329</v>
      </c>
    </row>
    <row r="155" ht="15.75" customHeight="1">
      <c r="A155" s="307"/>
      <c r="B155" s="269">
        <f t="array" ref="B155">+XLOOKUP(C155,'Base de datos'!C:C,'Base de datos'!A:A,"",FALSE)</f>
        <v>72</v>
      </c>
      <c r="C155" s="270" t="s">
        <v>93</v>
      </c>
      <c r="D155" s="275" t="s">
        <v>14</v>
      </c>
      <c r="E155" s="256">
        <f t="array" ref="E155">+XLOOKUP(B155,'Base de datos'!A:A,'Base de datos'!H:H,0)</f>
        <v>2</v>
      </c>
      <c r="F155" s="271">
        <v>0.01</v>
      </c>
      <c r="G155" s="271">
        <v>0.01</v>
      </c>
      <c r="H155" s="258">
        <f t="shared" si="16"/>
        <v>0</v>
      </c>
      <c r="I155" s="256">
        <f t="shared" si="17"/>
        <v>0.02</v>
      </c>
      <c r="J155" s="241"/>
      <c r="K155" s="282" t="s">
        <v>330</v>
      </c>
      <c r="L155" s="283">
        <f>100-L154</f>
        <v>81.58695782</v>
      </c>
      <c r="M155" s="284" t="s">
        <v>329</v>
      </c>
      <c r="O155" s="285" t="s">
        <v>330</v>
      </c>
      <c r="P155" s="286">
        <f>P152-P150</f>
        <v>7.024506023</v>
      </c>
      <c r="Q155" s="287" t="s">
        <v>331</v>
      </c>
    </row>
    <row r="156" ht="15.75" customHeight="1">
      <c r="A156" s="307"/>
      <c r="B156" s="269">
        <f t="array" ref="B156">+XLOOKUP(C156,'Base de datos'!C:C,'Base de datos'!A:A,"",FALSE)</f>
        <v>37</v>
      </c>
      <c r="C156" s="270" t="s">
        <v>66</v>
      </c>
      <c r="D156" s="255" t="s">
        <v>14</v>
      </c>
      <c r="E156" s="256">
        <f t="array" ref="E156">+XLOOKUP(B156,'Base de datos'!A:A,'Base de datos'!H:H,0)</f>
        <v>7</v>
      </c>
      <c r="F156" s="271">
        <v>0.02</v>
      </c>
      <c r="G156" s="271">
        <v>0.02</v>
      </c>
      <c r="H156" s="258">
        <f t="shared" si="16"/>
        <v>0</v>
      </c>
      <c r="I156" s="256">
        <f t="shared" si="17"/>
        <v>0.14</v>
      </c>
      <c r="J156" s="241"/>
      <c r="L156" s="288"/>
      <c r="O156" s="289" t="s">
        <v>332</v>
      </c>
      <c r="P156" s="290">
        <f>P152-P150-(P151*0.2)</f>
        <v>5.184506023</v>
      </c>
      <c r="Q156" s="291" t="s">
        <v>331</v>
      </c>
    </row>
    <row r="157" ht="15.75" customHeight="1">
      <c r="A157" s="307"/>
      <c r="B157" s="269">
        <f t="array" ref="B157">+XLOOKUP(C157,'Base de datos'!C:C,'Base de datos'!A:A,"",FALSE)</f>
        <v>34</v>
      </c>
      <c r="C157" s="270" t="s">
        <v>63</v>
      </c>
      <c r="D157" s="275" t="s">
        <v>11</v>
      </c>
      <c r="E157" s="256">
        <f t="array" ref="E157">+XLOOKUP(B157,'Base de datos'!A:A,'Base de datos'!H:H,0)</f>
        <v>3.75</v>
      </c>
      <c r="F157" s="271">
        <v>0.02</v>
      </c>
      <c r="G157" s="271">
        <v>0.02</v>
      </c>
      <c r="H157" s="258">
        <f t="shared" si="16"/>
        <v>0</v>
      </c>
      <c r="I157" s="256">
        <f t="shared" si="17"/>
        <v>0.075</v>
      </c>
      <c r="J157" s="241"/>
      <c r="O157" s="289" t="s">
        <v>332</v>
      </c>
      <c r="P157" s="292">
        <f>P156/P152</f>
        <v>0.6198865897</v>
      </c>
      <c r="Q157" s="291" t="s">
        <v>329</v>
      </c>
    </row>
    <row r="158" ht="15.75" customHeight="1">
      <c r="A158" s="307"/>
      <c r="B158" s="253" t="str">
        <f t="array" ref="B158">+XLOOKUP(C158,'Base de datos'!C:C,'Base de datos'!A:A,"",FALSE)</f>
        <v/>
      </c>
      <c r="C158" s="270"/>
      <c r="D158" s="255" t="s">
        <v>14</v>
      </c>
      <c r="E158" s="256">
        <f t="array" ref="E158">+XLOOKUP(B158,'Base de datos'!A:A,'Base de datos'!H:H,0)</f>
        <v>0</v>
      </c>
      <c r="F158" s="257"/>
      <c r="G158" s="257"/>
      <c r="H158" s="258"/>
      <c r="I158" s="256">
        <f t="shared" si="17"/>
        <v>0</v>
      </c>
      <c r="J158" s="241"/>
    </row>
    <row r="159" ht="15.75" customHeight="1">
      <c r="A159" s="307"/>
      <c r="B159" s="269">
        <f t="array" ref="B159">+XLOOKUP(C159,'Base de datos'!C:C,'Base de datos'!A:A,"",FALSE)</f>
        <v>93</v>
      </c>
      <c r="C159" s="270" t="s">
        <v>114</v>
      </c>
      <c r="D159" s="275" t="s">
        <v>20</v>
      </c>
      <c r="E159" s="256">
        <f t="array" ref="E159">+XLOOKUP(B159,'Base de datos'!A:A,'Base de datos'!H:H,0)</f>
        <v>0.0277</v>
      </c>
      <c r="F159" s="271">
        <v>1.0</v>
      </c>
      <c r="G159" s="271">
        <v>1.0</v>
      </c>
      <c r="H159" s="258">
        <f t="shared" ref="H159:H161" si="18">IFERROR(1-G159/F159,"")</f>
        <v>0</v>
      </c>
      <c r="I159" s="256">
        <f t="shared" si="17"/>
        <v>0.0277</v>
      </c>
      <c r="J159" s="241"/>
    </row>
    <row r="160" ht="15.75" customHeight="1">
      <c r="A160" s="307"/>
      <c r="B160" s="269">
        <f t="array" ref="B160">+XLOOKUP(C160,'Base de datos'!C:C,'Base de datos'!A:A,"",FALSE)</f>
        <v>29</v>
      </c>
      <c r="C160" s="270" t="s">
        <v>54</v>
      </c>
      <c r="D160" s="275" t="s">
        <v>20</v>
      </c>
      <c r="E160" s="256">
        <f t="array" ref="E160">+XLOOKUP(B160,'Base de datos'!A:A,'Base de datos'!H:H,0)</f>
        <v>0.1946</v>
      </c>
      <c r="F160" s="271">
        <v>1.0</v>
      </c>
      <c r="G160" s="271">
        <v>1.0</v>
      </c>
      <c r="H160" s="258">
        <f t="shared" si="18"/>
        <v>0</v>
      </c>
      <c r="I160" s="256">
        <f t="shared" si="17"/>
        <v>0.1946</v>
      </c>
      <c r="J160" s="241"/>
    </row>
    <row r="161" ht="15.75" customHeight="1">
      <c r="A161" s="307"/>
      <c r="B161" s="269">
        <f t="array" ref="B161">+XLOOKUP(C161,'Base de datos'!C:C,'Base de datos'!A:A,"",FALSE)</f>
        <v>58</v>
      </c>
      <c r="C161" s="270" t="s">
        <v>85</v>
      </c>
      <c r="D161" s="255" t="s">
        <v>14</v>
      </c>
      <c r="E161" s="256">
        <f t="array" ref="E161">+XLOOKUP(B161,'Base de datos'!A:A,'Base de datos'!H:H,0)</f>
        <v>2.15</v>
      </c>
      <c r="F161" s="271">
        <v>0.09</v>
      </c>
      <c r="G161" s="257"/>
      <c r="H161" s="258">
        <f t="shared" si="18"/>
        <v>1</v>
      </c>
      <c r="I161" s="256">
        <f t="shared" si="17"/>
        <v>0.1935</v>
      </c>
      <c r="J161" s="241"/>
    </row>
    <row r="162" ht="15.75" customHeight="1">
      <c r="A162" s="307"/>
      <c r="B162" s="240"/>
      <c r="C162" s="241"/>
      <c r="D162" s="242"/>
      <c r="E162" s="243"/>
      <c r="F162" s="244"/>
      <c r="G162" s="244"/>
      <c r="H162" s="241"/>
      <c r="I162" s="241"/>
      <c r="J162" s="241"/>
    </row>
    <row r="163" ht="15.75" customHeight="1">
      <c r="A163" s="307"/>
      <c r="B163" s="295"/>
      <c r="C163" s="296" t="s">
        <v>337</v>
      </c>
      <c r="D163" s="297"/>
      <c r="E163" s="297"/>
      <c r="F163" s="297"/>
      <c r="G163" s="297"/>
      <c r="H163" s="297"/>
      <c r="I163" s="298"/>
      <c r="J163" s="241"/>
    </row>
    <row r="164" ht="15.75" customHeight="1">
      <c r="A164" s="307"/>
      <c r="B164" s="299"/>
      <c r="C164" s="300"/>
      <c r="D164" s="297"/>
      <c r="E164" s="297"/>
      <c r="F164" s="297"/>
      <c r="G164" s="297"/>
      <c r="H164" s="297"/>
      <c r="I164" s="298"/>
      <c r="J164" s="241"/>
    </row>
    <row r="165" ht="15.75" customHeight="1">
      <c r="A165" s="307"/>
      <c r="B165" s="301"/>
      <c r="C165" s="302"/>
      <c r="I165" s="278"/>
      <c r="J165" s="241"/>
    </row>
    <row r="166" ht="15.75" customHeight="1">
      <c r="A166" s="307"/>
      <c r="B166" s="301"/>
      <c r="C166" s="302"/>
      <c r="I166" s="278"/>
      <c r="J166" s="241"/>
      <c r="K166" s="241"/>
      <c r="L166" s="241"/>
    </row>
    <row r="167" ht="15.75" customHeight="1">
      <c r="A167" s="307"/>
      <c r="B167" s="301"/>
      <c r="C167" s="302"/>
      <c r="I167" s="278"/>
      <c r="J167" s="241"/>
      <c r="K167" s="241"/>
      <c r="L167" s="241"/>
    </row>
    <row r="168" ht="15.75" customHeight="1">
      <c r="A168" s="307"/>
      <c r="B168" s="301"/>
      <c r="C168" s="302"/>
      <c r="I168" s="278"/>
      <c r="J168" s="241"/>
      <c r="K168" s="241"/>
      <c r="L168" s="241"/>
    </row>
    <row r="169" ht="15.75" customHeight="1">
      <c r="A169" s="307"/>
      <c r="B169" s="301"/>
      <c r="C169" s="302"/>
      <c r="I169" s="278"/>
      <c r="J169" s="241"/>
      <c r="K169" s="241"/>
      <c r="L169" s="241"/>
    </row>
    <row r="170" ht="15.75" customHeight="1">
      <c r="A170" s="307"/>
      <c r="B170" s="301"/>
      <c r="C170" s="302"/>
      <c r="I170" s="278"/>
      <c r="J170" s="241"/>
      <c r="K170" s="241"/>
      <c r="L170" s="241"/>
    </row>
    <row r="171" ht="15.75" customHeight="1">
      <c r="A171" s="307"/>
      <c r="B171" s="301"/>
      <c r="C171" s="304"/>
      <c r="D171" s="305"/>
      <c r="E171" s="305"/>
      <c r="F171" s="305"/>
      <c r="G171" s="305"/>
      <c r="H171" s="305"/>
      <c r="I171" s="274"/>
      <c r="J171" s="241"/>
      <c r="K171" s="241"/>
      <c r="L171" s="241"/>
    </row>
    <row r="172" ht="15.75" customHeight="1">
      <c r="A172" s="307"/>
      <c r="B172" s="307"/>
      <c r="D172" s="308"/>
      <c r="E172" s="309"/>
    </row>
    <row r="173" ht="15.75" customHeight="1">
      <c r="A173" s="307"/>
      <c r="B173" s="307"/>
      <c r="D173" s="308"/>
      <c r="E173" s="309"/>
    </row>
    <row r="174" ht="15.75" customHeight="1">
      <c r="A174" s="307"/>
      <c r="B174" s="307"/>
      <c r="D174" s="308"/>
      <c r="E174" s="309"/>
    </row>
    <row r="175" ht="15.75" customHeight="1">
      <c r="A175" s="307"/>
      <c r="B175" s="307"/>
      <c r="D175" s="308"/>
      <c r="E175" s="309"/>
    </row>
    <row r="176" ht="15.75" customHeight="1">
      <c r="A176" s="307"/>
      <c r="B176" s="307"/>
      <c r="D176" s="308"/>
      <c r="E176" s="309"/>
    </row>
    <row r="177" ht="15.75" customHeight="1">
      <c r="A177" s="307"/>
      <c r="B177" s="307"/>
      <c r="D177" s="308"/>
      <c r="E177" s="309"/>
    </row>
    <row r="178" ht="15.75" customHeight="1">
      <c r="A178" s="307"/>
      <c r="B178" s="307"/>
      <c r="D178" s="308"/>
      <c r="E178" s="309"/>
    </row>
    <row r="179" ht="15.75" customHeight="1">
      <c r="A179" s="307"/>
      <c r="B179" s="307"/>
      <c r="D179" s="308"/>
      <c r="E179" s="309"/>
    </row>
    <row r="180" ht="15.75" customHeight="1">
      <c r="A180" s="307"/>
      <c r="B180" s="307"/>
      <c r="D180" s="308"/>
      <c r="E180" s="309"/>
    </row>
    <row r="181" ht="15.75" customHeight="1">
      <c r="A181" s="307"/>
      <c r="B181" s="307"/>
      <c r="D181" s="308"/>
      <c r="E181" s="309"/>
    </row>
    <row r="182" ht="15.75" customHeight="1">
      <c r="A182" s="307"/>
      <c r="B182" s="307"/>
      <c r="D182" s="308"/>
      <c r="E182" s="309"/>
    </row>
    <row r="183" ht="15.75" customHeight="1">
      <c r="A183" s="307"/>
      <c r="B183" s="307"/>
      <c r="D183" s="308"/>
      <c r="E183" s="309"/>
    </row>
    <row r="184" ht="15.75" customHeight="1">
      <c r="A184" s="307"/>
      <c r="B184" s="307"/>
      <c r="D184" s="308"/>
      <c r="E184" s="309"/>
    </row>
    <row r="185" ht="15.75" customHeight="1">
      <c r="A185" s="307"/>
      <c r="B185" s="307"/>
      <c r="D185" s="308"/>
      <c r="E185" s="309"/>
    </row>
    <row r="186" ht="15.75" customHeight="1">
      <c r="A186" s="307"/>
      <c r="B186" s="307"/>
      <c r="D186" s="308"/>
      <c r="E186" s="309"/>
    </row>
    <row r="187" ht="15.75" customHeight="1">
      <c r="A187" s="307"/>
      <c r="B187" s="307"/>
      <c r="D187" s="308"/>
      <c r="E187" s="309"/>
    </row>
    <row r="188" ht="15.75" customHeight="1">
      <c r="A188" s="307"/>
      <c r="B188" s="307"/>
      <c r="D188" s="308"/>
      <c r="E188" s="309"/>
    </row>
    <row r="189" ht="15.75" customHeight="1">
      <c r="A189" s="307"/>
      <c r="B189" s="307"/>
      <c r="D189" s="308"/>
      <c r="E189" s="309"/>
    </row>
    <row r="190" ht="15.75" customHeight="1">
      <c r="A190" s="307"/>
      <c r="B190" s="307"/>
      <c r="D190" s="308"/>
      <c r="E190" s="309"/>
    </row>
    <row r="191" ht="15.75" customHeight="1">
      <c r="A191" s="307"/>
      <c r="B191" s="307"/>
      <c r="D191" s="308"/>
      <c r="E191" s="309"/>
    </row>
    <row r="192" ht="15.75" customHeight="1">
      <c r="A192" s="307"/>
      <c r="B192" s="307"/>
      <c r="D192" s="308"/>
      <c r="E192" s="309"/>
    </row>
    <row r="193" ht="15.75" customHeight="1">
      <c r="A193" s="307"/>
      <c r="B193" s="307"/>
      <c r="D193" s="308"/>
      <c r="E193" s="309"/>
    </row>
    <row r="194" ht="15.75" customHeight="1">
      <c r="A194" s="307"/>
      <c r="B194" s="307"/>
      <c r="D194" s="308"/>
      <c r="E194" s="309"/>
    </row>
    <row r="195" ht="15.75" customHeight="1">
      <c r="A195" s="307"/>
      <c r="B195" s="307"/>
      <c r="D195" s="308"/>
      <c r="E195" s="309"/>
    </row>
    <row r="196" ht="15.75" customHeight="1">
      <c r="A196" s="307"/>
      <c r="B196" s="307"/>
      <c r="D196" s="308"/>
      <c r="E196" s="309"/>
    </row>
    <row r="197" ht="15.75" customHeight="1">
      <c r="A197" s="307"/>
      <c r="B197" s="307"/>
      <c r="D197" s="308"/>
      <c r="E197" s="309"/>
    </row>
    <row r="198" ht="15.75" customHeight="1">
      <c r="A198" s="307"/>
      <c r="B198" s="307"/>
      <c r="D198" s="308"/>
      <c r="E198" s="309"/>
    </row>
    <row r="199" ht="15.75" customHeight="1">
      <c r="A199" s="307"/>
      <c r="B199" s="307"/>
      <c r="D199" s="308"/>
      <c r="E199" s="309"/>
    </row>
    <row r="200" ht="15.75" customHeight="1">
      <c r="A200" s="307"/>
      <c r="B200" s="307"/>
      <c r="D200" s="308"/>
      <c r="E200" s="309"/>
    </row>
    <row r="201" ht="15.75" customHeight="1">
      <c r="A201" s="307"/>
      <c r="B201" s="307"/>
      <c r="D201" s="308"/>
      <c r="E201" s="309"/>
    </row>
    <row r="202" ht="15.75" customHeight="1">
      <c r="A202" s="307"/>
      <c r="B202" s="307"/>
      <c r="D202" s="308"/>
      <c r="E202" s="309"/>
    </row>
    <row r="203" ht="15.75" customHeight="1">
      <c r="A203" s="307"/>
      <c r="B203" s="307"/>
      <c r="D203" s="308"/>
      <c r="E203" s="309"/>
    </row>
    <row r="204" ht="15.75" customHeight="1">
      <c r="A204" s="307"/>
      <c r="B204" s="307"/>
      <c r="D204" s="308"/>
      <c r="E204" s="309"/>
    </row>
    <row r="205" ht="15.75" customHeight="1">
      <c r="A205" s="307"/>
      <c r="B205" s="307"/>
      <c r="D205" s="308"/>
      <c r="E205" s="309"/>
    </row>
    <row r="206" ht="15.75" customHeight="1">
      <c r="A206" s="307"/>
      <c r="B206" s="307"/>
      <c r="D206" s="308"/>
      <c r="E206" s="309"/>
    </row>
    <row r="207" ht="15.75" customHeight="1">
      <c r="A207" s="307"/>
      <c r="B207" s="307"/>
      <c r="D207" s="308"/>
      <c r="E207" s="309"/>
    </row>
    <row r="208" ht="15.75" customHeight="1">
      <c r="A208" s="307"/>
      <c r="B208" s="307"/>
      <c r="D208" s="308"/>
      <c r="E208" s="309"/>
    </row>
    <row r="209" ht="15.75" customHeight="1">
      <c r="A209" s="307"/>
      <c r="B209" s="307"/>
      <c r="D209" s="308"/>
      <c r="E209" s="309"/>
    </row>
    <row r="210" ht="15.75" customHeight="1">
      <c r="A210" s="307"/>
      <c r="B210" s="307"/>
      <c r="D210" s="308"/>
      <c r="E210" s="309"/>
    </row>
    <row r="211" ht="15.75" customHeight="1">
      <c r="A211" s="307"/>
      <c r="B211" s="307"/>
      <c r="D211" s="308"/>
      <c r="E211" s="309"/>
    </row>
    <row r="212" ht="15.75" customHeight="1">
      <c r="A212" s="307"/>
      <c r="B212" s="307"/>
      <c r="D212" s="308"/>
      <c r="E212" s="309"/>
    </row>
    <row r="213" ht="15.75" customHeight="1">
      <c r="A213" s="307"/>
      <c r="B213" s="307"/>
      <c r="D213" s="308"/>
      <c r="E213" s="309"/>
    </row>
    <row r="214" ht="15.75" customHeight="1">
      <c r="A214" s="307"/>
      <c r="B214" s="307"/>
      <c r="D214" s="308"/>
      <c r="E214" s="309"/>
    </row>
    <row r="215" ht="15.75" customHeight="1">
      <c r="A215" s="307"/>
      <c r="B215" s="307"/>
      <c r="D215" s="308"/>
      <c r="E215" s="309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307"/>
      <c r="D218" s="308"/>
      <c r="E218" s="309"/>
    </row>
    <row r="219" ht="15.75" customHeight="1">
      <c r="A219" s="307"/>
      <c r="B219" s="307"/>
      <c r="D219" s="308"/>
      <c r="E219" s="309"/>
    </row>
    <row r="220" ht="15.75" customHeight="1">
      <c r="A220" s="307"/>
      <c r="B220" s="307"/>
      <c r="D220" s="308"/>
      <c r="E220" s="309"/>
    </row>
    <row r="221" ht="15.75" customHeight="1">
      <c r="A221" s="307"/>
      <c r="B221" s="307"/>
      <c r="D221" s="308"/>
      <c r="E221" s="309"/>
    </row>
    <row r="222" ht="15.75" customHeight="1">
      <c r="A222" s="307"/>
      <c r="B222" s="307"/>
      <c r="D222" s="308"/>
      <c r="E222" s="309"/>
    </row>
    <row r="223" ht="15.75" customHeight="1">
      <c r="A223" s="307"/>
      <c r="B223" s="307"/>
      <c r="D223" s="308"/>
      <c r="E223" s="309"/>
    </row>
    <row r="224" ht="15.75" customHeight="1">
      <c r="A224" s="307"/>
      <c r="B224" s="307"/>
      <c r="D224" s="308"/>
      <c r="E224" s="309"/>
    </row>
    <row r="225" ht="15.75" customHeight="1">
      <c r="A225" s="307"/>
      <c r="B225" s="307"/>
      <c r="D225" s="308"/>
      <c r="E225" s="309"/>
    </row>
    <row r="226" ht="15.75" customHeight="1">
      <c r="A226" s="307"/>
      <c r="B226" s="307"/>
      <c r="D226" s="308"/>
      <c r="E226" s="309"/>
    </row>
    <row r="227" ht="15.75" customHeight="1">
      <c r="A227" s="307"/>
      <c r="B227" s="307"/>
      <c r="D227" s="308"/>
      <c r="E227" s="309"/>
    </row>
    <row r="228" ht="15.75" customHeight="1">
      <c r="A228" s="307"/>
      <c r="B228" s="307"/>
      <c r="D228" s="308"/>
      <c r="E228" s="309"/>
    </row>
    <row r="229" ht="15.75" customHeight="1">
      <c r="A229" s="307"/>
      <c r="B229" s="307"/>
      <c r="D229" s="308"/>
      <c r="E229" s="309"/>
    </row>
    <row r="230" ht="15.75" customHeight="1">
      <c r="A230" s="307"/>
      <c r="B230" s="307"/>
      <c r="D230" s="308"/>
      <c r="E230" s="309"/>
    </row>
    <row r="231" ht="15.75" customHeight="1">
      <c r="A231" s="307"/>
      <c r="B231" s="307"/>
      <c r="D231" s="308"/>
      <c r="E231" s="309"/>
    </row>
    <row r="232" ht="15.75" customHeight="1">
      <c r="A232" s="307"/>
      <c r="B232" s="307"/>
      <c r="D232" s="308"/>
      <c r="E232" s="309"/>
    </row>
    <row r="233" ht="15.75" customHeight="1">
      <c r="A233" s="307"/>
      <c r="B233" s="307"/>
      <c r="D233" s="308"/>
      <c r="E233" s="309"/>
    </row>
    <row r="234" ht="15.75" customHeight="1">
      <c r="A234" s="307"/>
      <c r="B234" s="307"/>
    </row>
    <row r="235" ht="15.75" customHeight="1">
      <c r="A235" s="307"/>
      <c r="B235" s="307"/>
    </row>
    <row r="236" ht="15.75" customHeight="1">
      <c r="A236" s="307"/>
      <c r="B236" s="307"/>
    </row>
    <row r="237" ht="15.75" customHeight="1">
      <c r="A237" s="307"/>
      <c r="B237" s="307"/>
    </row>
    <row r="238" ht="15.75" customHeight="1">
      <c r="A238" s="307"/>
      <c r="B238" s="307"/>
    </row>
    <row r="239" ht="15.75" customHeight="1">
      <c r="A239" s="307"/>
      <c r="B239" s="307"/>
    </row>
    <row r="240" ht="15.75" customHeight="1">
      <c r="A240" s="307"/>
      <c r="B240" s="307"/>
    </row>
    <row r="241" ht="15.75" customHeight="1">
      <c r="A241" s="307"/>
      <c r="B241" s="30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C54:I54"/>
    <mergeCell ref="C55:I55"/>
    <mergeCell ref="D59:I59"/>
    <mergeCell ref="L63:M63"/>
    <mergeCell ref="P63:Q63"/>
    <mergeCell ref="L64:M64"/>
    <mergeCell ref="L65:M65"/>
    <mergeCell ref="C47:I47"/>
    <mergeCell ref="C48:I48"/>
    <mergeCell ref="C49:I49"/>
    <mergeCell ref="C50:I50"/>
    <mergeCell ref="C51:I51"/>
    <mergeCell ref="C52:I52"/>
    <mergeCell ref="C53:I53"/>
    <mergeCell ref="P8:Q8"/>
    <mergeCell ref="P9:Q9"/>
    <mergeCell ref="D2:I2"/>
    <mergeCell ref="L6:M6"/>
    <mergeCell ref="P6:Q6"/>
    <mergeCell ref="L7:M7"/>
    <mergeCell ref="P7:Q7"/>
    <mergeCell ref="L8:M8"/>
    <mergeCell ref="L9:M9"/>
    <mergeCell ref="P35:Q35"/>
    <mergeCell ref="P36:Q36"/>
    <mergeCell ref="L37:M37"/>
    <mergeCell ref="P37:Q37"/>
    <mergeCell ref="C26:I26"/>
    <mergeCell ref="C27:I27"/>
    <mergeCell ref="D30:I30"/>
    <mergeCell ref="L34:M34"/>
    <mergeCell ref="P34:Q34"/>
    <mergeCell ref="L35:M35"/>
    <mergeCell ref="L36:M36"/>
    <mergeCell ref="C19:I19"/>
    <mergeCell ref="C20:I20"/>
    <mergeCell ref="C21:I21"/>
    <mergeCell ref="C22:I22"/>
    <mergeCell ref="C23:I23"/>
    <mergeCell ref="C24:I24"/>
    <mergeCell ref="C25:I25"/>
    <mergeCell ref="P64:Q64"/>
    <mergeCell ref="P65:Q65"/>
    <mergeCell ref="L66:M66"/>
    <mergeCell ref="P66:Q66"/>
    <mergeCell ref="C76:I76"/>
    <mergeCell ref="C77:I77"/>
    <mergeCell ref="C78:I78"/>
    <mergeCell ref="C79:I79"/>
    <mergeCell ref="C80:I80"/>
    <mergeCell ref="C81:I81"/>
    <mergeCell ref="C82:I82"/>
    <mergeCell ref="C141:I141"/>
    <mergeCell ref="C142:I142"/>
    <mergeCell ref="D146:I146"/>
    <mergeCell ref="L150:M150"/>
    <mergeCell ref="P150:Q150"/>
    <mergeCell ref="L151:M151"/>
    <mergeCell ref="L152:M152"/>
    <mergeCell ref="C134:I134"/>
    <mergeCell ref="C135:I135"/>
    <mergeCell ref="C136:I136"/>
    <mergeCell ref="C137:I137"/>
    <mergeCell ref="C138:I138"/>
    <mergeCell ref="C139:I139"/>
    <mergeCell ref="C140:I140"/>
    <mergeCell ref="P93:Q93"/>
    <mergeCell ref="P94:Q94"/>
    <mergeCell ref="L95:M95"/>
    <mergeCell ref="P95:Q95"/>
    <mergeCell ref="C83:I83"/>
    <mergeCell ref="C84:I84"/>
    <mergeCell ref="D88:I88"/>
    <mergeCell ref="L92:M92"/>
    <mergeCell ref="P92:Q92"/>
    <mergeCell ref="L93:M93"/>
    <mergeCell ref="L94:M94"/>
    <mergeCell ref="P122:Q122"/>
    <mergeCell ref="P123:Q123"/>
    <mergeCell ref="L124:M124"/>
    <mergeCell ref="P124:Q124"/>
    <mergeCell ref="C112:I112"/>
    <mergeCell ref="C113:I113"/>
    <mergeCell ref="D117:I117"/>
    <mergeCell ref="L121:M121"/>
    <mergeCell ref="P121:Q121"/>
    <mergeCell ref="L122:M122"/>
    <mergeCell ref="L123:M123"/>
    <mergeCell ref="C105:I105"/>
    <mergeCell ref="C106:I106"/>
    <mergeCell ref="C107:I107"/>
    <mergeCell ref="C108:I108"/>
    <mergeCell ref="C109:I109"/>
    <mergeCell ref="C110:I110"/>
    <mergeCell ref="C111:I111"/>
    <mergeCell ref="P151:Q151"/>
    <mergeCell ref="P152:Q152"/>
    <mergeCell ref="L153:M153"/>
    <mergeCell ref="P153:Q153"/>
    <mergeCell ref="C170:I170"/>
    <mergeCell ref="C171:I171"/>
    <mergeCell ref="C163:I163"/>
    <mergeCell ref="C164:I164"/>
    <mergeCell ref="C165:I165"/>
    <mergeCell ref="C166:I166"/>
    <mergeCell ref="C167:I167"/>
    <mergeCell ref="C168:I168"/>
    <mergeCell ref="C169:I169"/>
  </mergeCells>
  <dataValidations>
    <dataValidation type="list" allowBlank="1" showErrorMessage="1" sqref="D6:D17 D34:D45 D63:D74 D92:D103 D121:D132 D150:D161">
      <formula1>'Hoja 2'!$A$2:$A$4</formula1>
    </dataValidation>
    <dataValidation type="list" allowBlank="1" showErrorMessage="1" sqref="C152">
      <formula1>'Base de datos'!$C$2:$C$1000</formula1>
    </dataValidation>
    <dataValidation type="list" allowBlank="1" showErrorMessage="1" sqref="C6 C8:C17 C34 C36:C45 C63 C65:C74 C92 C94:C103 C121 C123:C132 C150 C153:C161">
      <formula1>'Base de datos'!$C$2:$C$133</formula1>
    </dataValidation>
  </dataValidations>
  <hyperlinks>
    <hyperlink display="INDICE" location="'INDICE 25'!A1" ref="K5"/>
    <hyperlink display="INDICE UBER " location="'INDICE UBER'!A1" ref="O5"/>
    <hyperlink display="INDICE" location="'INDICE 25'!A1" ref="K33"/>
    <hyperlink display="INDICE UBER " location="'INDICE UBER'!A1" ref="O33"/>
    <hyperlink display="INDICE" location="'INDICE 25'!A1" ref="K62"/>
    <hyperlink display="INDICE UBER " location="'INDICE UBER'!A1" ref="O62"/>
    <hyperlink display="INDICE" location="'INDICE 25'!A1" ref="K91"/>
    <hyperlink display="INDICE UBER " location="'INDICE UBER'!A1" ref="O91"/>
    <hyperlink display="INDICE" location="'INDICE 25'!A1" ref="K120"/>
    <hyperlink display="INDICE UBER " location="'INDICE UBER'!A1" ref="O120"/>
    <hyperlink display="INDICE" location="'INDICE 25'!A1" ref="K149"/>
    <hyperlink display="INDICE UBER " location="'INDICE UBER'!A1" ref="O14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730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12" si="1">IFERROR(1-G6/F6,"")</f>
        <v/>
      </c>
      <c r="I6" s="256">
        <f t="shared" ref="I6:I13" si="2">IFERROR(E6*F6,"")</f>
        <v>0</v>
      </c>
      <c r="J6" s="241"/>
      <c r="K6" s="259" t="s">
        <v>324</v>
      </c>
      <c r="L6" s="260">
        <f>SUM(I6:I13)</f>
        <v>1.401818182</v>
      </c>
      <c r="M6" s="261"/>
    </row>
    <row r="7" ht="15.75" customHeight="1">
      <c r="A7" s="252"/>
      <c r="B7" s="262" t="str">
        <f>K25</f>
        <v>Margen Bruto</v>
      </c>
      <c r="C7" s="262" t="str">
        <f>C25</f>
        <v>ENVASE SERRANO IP10 .25</v>
      </c>
      <c r="D7" s="263" t="s">
        <v>14</v>
      </c>
      <c r="E7" s="264" t="str">
        <f>#REF!</f>
        <v>#REF!</v>
      </c>
      <c r="F7" s="265"/>
      <c r="G7" s="265"/>
      <c r="H7" s="266" t="str">
        <f t="shared" si="1"/>
        <v/>
      </c>
      <c r="I7" s="264" t="str">
        <f t="shared" si="2"/>
        <v/>
      </c>
      <c r="J7" s="241"/>
      <c r="K7" s="267" t="s">
        <v>325</v>
      </c>
      <c r="L7" s="268">
        <v>4.0</v>
      </c>
      <c r="M7" s="261"/>
    </row>
    <row r="8" ht="15.75" customHeight="1">
      <c r="A8" s="252"/>
      <c r="B8" s="269">
        <f t="array" ref="B8">+XLOOKUP(C8,'Base de datos'!C:C,'Base de datos'!A:A,"",FALSE)</f>
        <v>63</v>
      </c>
      <c r="C8" s="270" t="s">
        <v>89</v>
      </c>
      <c r="D8" s="255" t="s">
        <v>14</v>
      </c>
      <c r="E8" s="256">
        <f t="array" ref="E8">+XLOOKUP(B8,'Base de datos'!A:A,'Base de datos'!H:H,0)</f>
        <v>6.15</v>
      </c>
      <c r="F8" s="271">
        <v>0.11</v>
      </c>
      <c r="G8" s="271">
        <v>0.1</v>
      </c>
      <c r="H8" s="258">
        <f t="shared" si="1"/>
        <v>0.09090909091</v>
      </c>
      <c r="I8" s="256">
        <f t="shared" si="2"/>
        <v>0.6765</v>
      </c>
      <c r="J8" s="241"/>
      <c r="K8" s="272" t="s">
        <v>326</v>
      </c>
      <c r="L8" s="273">
        <f>L7/1.1</f>
        <v>3.636363636</v>
      </c>
      <c r="M8" s="274"/>
    </row>
    <row r="9" ht="15.75" customHeight="1">
      <c r="A9" s="252"/>
      <c r="B9" s="269">
        <f t="array" ref="B9">+XLOOKUP(C9,'Base de datos'!C:C,'Base de datos'!A:A,"",FALSE)</f>
        <v>110</v>
      </c>
      <c r="C9" s="270" t="s">
        <v>134</v>
      </c>
      <c r="D9" s="275" t="s">
        <v>20</v>
      </c>
      <c r="E9" s="256">
        <f t="array" ref="E9">+XLOOKUP(B9,'Base de datos'!A:A,'Base de datos'!H:H,0)</f>
        <v>0.2818181818</v>
      </c>
      <c r="F9" s="271">
        <v>1.0</v>
      </c>
      <c r="G9" s="271">
        <v>1.0</v>
      </c>
      <c r="H9" s="258">
        <f t="shared" si="1"/>
        <v>0</v>
      </c>
      <c r="I9" s="256">
        <f t="shared" si="2"/>
        <v>0.2818181818</v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269">
        <f t="array" ref="B10">+XLOOKUP(C10,'Base de datos'!C:C,'Base de datos'!A:A,"",FALSE)</f>
        <v>58</v>
      </c>
      <c r="C10" s="270" t="s">
        <v>85</v>
      </c>
      <c r="D10" s="275" t="s">
        <v>14</v>
      </c>
      <c r="E10" s="256">
        <f t="array" ref="E10">+XLOOKUP(B10,'Base de datos'!A:A,'Base de datos'!H:H,0)</f>
        <v>2.15</v>
      </c>
      <c r="F10" s="271">
        <v>0.09</v>
      </c>
      <c r="G10" s="271">
        <v>0.09</v>
      </c>
      <c r="H10" s="258">
        <f t="shared" si="1"/>
        <v>0</v>
      </c>
      <c r="I10" s="256">
        <f t="shared" si="2"/>
        <v>0.1935</v>
      </c>
      <c r="J10" s="241"/>
      <c r="K10" s="279" t="s">
        <v>328</v>
      </c>
      <c r="L10" s="280">
        <f>L6/L8*100</f>
        <v>38.55</v>
      </c>
      <c r="M10" s="281" t="s">
        <v>329</v>
      </c>
    </row>
    <row r="11" ht="15.75" customHeight="1">
      <c r="A11" s="252"/>
      <c r="B11" s="269">
        <f t="array" ref="B11">+XLOOKUP(C11,'Base de datos'!C:C,'Base de datos'!A:A,"",FALSE)</f>
        <v>29</v>
      </c>
      <c r="C11" s="270" t="s">
        <v>54</v>
      </c>
      <c r="D11" s="275" t="s">
        <v>20</v>
      </c>
      <c r="E11" s="256">
        <f t="array" ref="E11">+XLOOKUP(B11,'Base de datos'!A:A,'Base de datos'!H:H,0)</f>
        <v>0.1946</v>
      </c>
      <c r="F11" s="271">
        <v>1.0</v>
      </c>
      <c r="G11" s="271">
        <v>1.0</v>
      </c>
      <c r="H11" s="258">
        <f t="shared" si="1"/>
        <v>0</v>
      </c>
      <c r="I11" s="256">
        <f t="shared" si="2"/>
        <v>0.1946</v>
      </c>
      <c r="J11" s="241"/>
      <c r="K11" s="282" t="s">
        <v>330</v>
      </c>
      <c r="L11" s="283">
        <f>100-L10</f>
        <v>61.45</v>
      </c>
      <c r="M11" s="284" t="s">
        <v>329</v>
      </c>
    </row>
    <row r="12" ht="15.75" customHeight="1">
      <c r="A12" s="252"/>
      <c r="B12" s="269">
        <f t="array" ref="B12">+XLOOKUP(C12,'Base de datos'!C:C,'Base de datos'!A:A,"",FALSE)</f>
        <v>93</v>
      </c>
      <c r="C12" s="270" t="s">
        <v>114</v>
      </c>
      <c r="D12" s="275" t="s">
        <v>20</v>
      </c>
      <c r="E12" s="256">
        <f t="array" ref="E12">+XLOOKUP(B12,'Base de datos'!A:A,'Base de datos'!H:H,0)</f>
        <v>0.0277</v>
      </c>
      <c r="F12" s="271">
        <v>2.0</v>
      </c>
      <c r="G12" s="271">
        <v>2.0</v>
      </c>
      <c r="H12" s="258">
        <f t="shared" si="1"/>
        <v>0</v>
      </c>
      <c r="I12" s="256">
        <f t="shared" si="2"/>
        <v>0.0554</v>
      </c>
      <c r="J12" s="241"/>
      <c r="L12" s="288"/>
    </row>
    <row r="13" ht="15.75" customHeight="1">
      <c r="A13" s="252"/>
      <c r="B13" s="253" t="str">
        <f t="array" ref="B13">+XLOOKUP(C13,'Base de datos'!C:C,'Base de datos'!A:A,"",FALSE)</f>
        <v/>
      </c>
      <c r="C13" s="254"/>
      <c r="D13" s="255" t="s">
        <v>14</v>
      </c>
      <c r="E13" s="256">
        <f t="array" ref="E13">+XLOOKUP(B13,'Base de datos'!A:A,'Base de datos'!H:H,0)</f>
        <v>0</v>
      </c>
      <c r="F13" s="257"/>
      <c r="G13" s="257"/>
      <c r="H13" s="258"/>
      <c r="I13" s="256">
        <f t="shared" si="2"/>
        <v>0</v>
      </c>
      <c r="J13" s="241"/>
      <c r="L13" s="288"/>
    </row>
    <row r="14" ht="15.75" customHeight="1">
      <c r="A14" s="240"/>
      <c r="B14" s="240"/>
      <c r="C14" s="241"/>
      <c r="D14" s="242"/>
      <c r="E14" s="243"/>
      <c r="F14" s="244"/>
      <c r="G14" s="244"/>
      <c r="H14" s="241"/>
      <c r="I14" s="241"/>
      <c r="J14" s="241"/>
      <c r="K14" s="241"/>
      <c r="L14" s="241"/>
    </row>
    <row r="15" ht="15.75" customHeight="1">
      <c r="A15" s="295"/>
      <c r="B15" s="230"/>
      <c r="C15" s="230"/>
      <c r="D15" s="230"/>
      <c r="E15" s="231"/>
      <c r="F15" s="232"/>
      <c r="G15" s="232"/>
      <c r="H15" s="230"/>
      <c r="I15" s="230"/>
      <c r="J15" s="230"/>
      <c r="K15" s="230"/>
      <c r="L15" s="230"/>
      <c r="M15" s="233"/>
    </row>
    <row r="16" ht="15.75" customHeight="1">
      <c r="A16" s="299"/>
      <c r="B16" s="234"/>
      <c r="C16" s="235" t="s">
        <v>313</v>
      </c>
      <c r="D16" s="236" t="s">
        <v>224</v>
      </c>
      <c r="E16" s="237"/>
      <c r="F16" s="237"/>
      <c r="G16" s="237"/>
      <c r="H16" s="237"/>
      <c r="I16" s="237"/>
      <c r="J16" s="238"/>
      <c r="K16" s="231"/>
      <c r="L16" s="230"/>
      <c r="M16" s="233"/>
    </row>
    <row r="17" ht="15.75" customHeight="1">
      <c r="A17" s="301"/>
      <c r="B17" s="239"/>
      <c r="C17" s="230"/>
      <c r="D17" s="230"/>
      <c r="E17" s="231"/>
      <c r="F17" s="232"/>
      <c r="G17" s="232"/>
      <c r="H17" s="230"/>
      <c r="I17" s="230"/>
      <c r="J17" s="230"/>
      <c r="K17" s="230"/>
      <c r="L17" s="230"/>
      <c r="M17" s="233"/>
    </row>
    <row r="18" ht="15.75" customHeight="1">
      <c r="A18" s="301"/>
      <c r="B18" s="240"/>
      <c r="C18" s="241"/>
      <c r="D18" s="242"/>
      <c r="E18" s="243"/>
      <c r="F18" s="244"/>
      <c r="G18" s="244"/>
      <c r="H18" s="241"/>
      <c r="I18" s="241"/>
      <c r="J18" s="241"/>
      <c r="K18" s="241"/>
      <c r="L18" s="241"/>
    </row>
    <row r="19" ht="15.75" customHeight="1">
      <c r="A19" s="301"/>
      <c r="B19" s="246" t="s">
        <v>0</v>
      </c>
      <c r="C19" s="246" t="s">
        <v>315</v>
      </c>
      <c r="D19" s="246" t="s">
        <v>316</v>
      </c>
      <c r="E19" s="247" t="s">
        <v>317</v>
      </c>
      <c r="F19" s="248" t="s">
        <v>318</v>
      </c>
      <c r="G19" s="248" t="s">
        <v>319</v>
      </c>
      <c r="H19" s="246" t="s">
        <v>320</v>
      </c>
      <c r="I19" s="246" t="s">
        <v>321</v>
      </c>
      <c r="J19" s="249"/>
      <c r="K19" s="250" t="s">
        <v>322</v>
      </c>
      <c r="L19" s="251"/>
      <c r="M19" s="251"/>
      <c r="N19" s="250" t="s">
        <v>741</v>
      </c>
    </row>
    <row r="20" ht="15.75" customHeight="1">
      <c r="A20" s="301"/>
      <c r="B20" s="253" t="str">
        <f t="array" ref="B20">+XLOOKUP(C20,'Base de datos'!C:C,'Base de datos'!A:A,"",FALSE)</f>
        <v/>
      </c>
      <c r="C20" s="254"/>
      <c r="D20" s="255" t="s">
        <v>14</v>
      </c>
      <c r="E20" s="256">
        <f t="array" ref="E20">+XLOOKUP(B20,'Base de datos'!A:A,'Base de datos'!H:H,0)</f>
        <v>0</v>
      </c>
      <c r="F20" s="257"/>
      <c r="G20" s="257"/>
      <c r="H20" s="258" t="str">
        <f t="shared" ref="H20:H26" si="3">IFERROR(1-G20/F20,"")</f>
        <v/>
      </c>
      <c r="I20" s="256">
        <f t="shared" ref="I20:I27" si="4">IFERROR(E20*F20,"")</f>
        <v>0</v>
      </c>
      <c r="J20" s="241"/>
      <c r="K20" s="259" t="s">
        <v>324</v>
      </c>
      <c r="L20" s="260">
        <f>SUM(I20:I27)</f>
        <v>1.341318182</v>
      </c>
      <c r="M20" s="261"/>
    </row>
    <row r="21" ht="15.75" customHeight="1">
      <c r="A21" s="301"/>
      <c r="B21" s="262" t="str">
        <f>'SIMPLE EMPANADO. '!K25</f>
        <v>#REF!</v>
      </c>
      <c r="C21" s="262" t="str">
        <f>'SIMPLE EMPANADO. '!C25</f>
        <v>#REF!</v>
      </c>
      <c r="D21" s="263" t="s">
        <v>14</v>
      </c>
      <c r="E21" s="264" t="str">
        <f>'SIMPLE EMPANADO. '!K31</f>
        <v>#REF!</v>
      </c>
      <c r="F21" s="265"/>
      <c r="G21" s="265"/>
      <c r="H21" s="266" t="str">
        <f t="shared" si="3"/>
        <v/>
      </c>
      <c r="I21" s="264" t="str">
        <f t="shared" si="4"/>
        <v/>
      </c>
      <c r="J21" s="241"/>
      <c r="K21" s="267" t="s">
        <v>325</v>
      </c>
      <c r="L21" s="268">
        <v>5.0</v>
      </c>
      <c r="M21" s="261"/>
    </row>
    <row r="22" ht="15.75" customHeight="1">
      <c r="A22" s="301"/>
      <c r="B22" s="269">
        <f t="array" ref="B22">+XLOOKUP(C22,'Base de datos'!C:C,'Base de datos'!A:A,"",FALSE)</f>
        <v>62</v>
      </c>
      <c r="C22" s="270" t="s">
        <v>87</v>
      </c>
      <c r="D22" s="255" t="s">
        <v>14</v>
      </c>
      <c r="E22" s="256">
        <f t="array" ref="E22">+XLOOKUP(B22,'Base de datos'!A:A,'Base de datos'!H:H,0)</f>
        <v>5.6</v>
      </c>
      <c r="F22" s="271">
        <v>0.11</v>
      </c>
      <c r="G22" s="271">
        <v>0.1</v>
      </c>
      <c r="H22" s="258">
        <f t="shared" si="3"/>
        <v>0.09090909091</v>
      </c>
      <c r="I22" s="256">
        <f t="shared" si="4"/>
        <v>0.616</v>
      </c>
      <c r="J22" s="241"/>
      <c r="K22" s="272" t="s">
        <v>326</v>
      </c>
      <c r="L22" s="273">
        <f>L21/1.1</f>
        <v>4.545454545</v>
      </c>
      <c r="M22" s="274"/>
    </row>
    <row r="23" ht="15.75" customHeight="1">
      <c r="A23" s="301"/>
      <c r="B23" s="269">
        <f t="array" ref="B23">+XLOOKUP(C23,'Base de datos'!C:C,'Base de datos'!A:A,"",FALSE)</f>
        <v>110</v>
      </c>
      <c r="C23" s="270" t="s">
        <v>134</v>
      </c>
      <c r="D23" s="275" t="s">
        <v>20</v>
      </c>
      <c r="E23" s="256">
        <f t="array" ref="E23">+XLOOKUP(B23,'Base de datos'!A:A,'Base de datos'!H:H,0)</f>
        <v>0.2818181818</v>
      </c>
      <c r="F23" s="271">
        <v>1.0</v>
      </c>
      <c r="G23" s="271">
        <v>1.0</v>
      </c>
      <c r="H23" s="258">
        <f t="shared" si="3"/>
        <v>0</v>
      </c>
      <c r="I23" s="256">
        <f t="shared" si="4"/>
        <v>0.2818181818</v>
      </c>
      <c r="J23" s="241"/>
      <c r="K23" s="276" t="s">
        <v>327</v>
      </c>
      <c r="L23" s="277">
        <v>0.1</v>
      </c>
      <c r="M23" s="278"/>
    </row>
    <row r="24" ht="15.75" customHeight="1">
      <c r="A24" s="240"/>
      <c r="B24" s="269">
        <f t="array" ref="B24">+XLOOKUP(C24,'Base de datos'!C:C,'Base de datos'!A:A,"",FALSE)</f>
        <v>58</v>
      </c>
      <c r="C24" s="270" t="s">
        <v>85</v>
      </c>
      <c r="D24" s="275" t="s">
        <v>14</v>
      </c>
      <c r="E24" s="256">
        <f t="array" ref="E24">+XLOOKUP(B24,'Base de datos'!A:A,'Base de datos'!H:H,0)</f>
        <v>2.15</v>
      </c>
      <c r="F24" s="271">
        <v>0.09</v>
      </c>
      <c r="G24" s="271">
        <v>0.09</v>
      </c>
      <c r="H24" s="258">
        <f t="shared" si="3"/>
        <v>0</v>
      </c>
      <c r="I24" s="256">
        <f t="shared" si="4"/>
        <v>0.1935</v>
      </c>
      <c r="J24" s="241"/>
      <c r="K24" s="279" t="s">
        <v>328</v>
      </c>
      <c r="L24" s="280">
        <f>L20/L22*100</f>
        <v>29.509</v>
      </c>
      <c r="M24" s="281" t="s">
        <v>329</v>
      </c>
    </row>
    <row r="25" ht="15.75" customHeight="1">
      <c r="A25" s="360"/>
      <c r="B25" s="269">
        <f t="array" ref="B25">+XLOOKUP(C25,'Base de datos'!C:C,'Base de datos'!A:A,"",FALSE)</f>
        <v>29</v>
      </c>
      <c r="C25" s="270" t="s">
        <v>54</v>
      </c>
      <c r="D25" s="275" t="s">
        <v>20</v>
      </c>
      <c r="E25" s="256">
        <f t="array" ref="E25">+XLOOKUP(B25,'Base de datos'!A:A,'Base de datos'!H:H,0)</f>
        <v>0.1946</v>
      </c>
      <c r="F25" s="271">
        <v>1.0</v>
      </c>
      <c r="G25" s="271">
        <v>1.0</v>
      </c>
      <c r="H25" s="258">
        <f t="shared" si="3"/>
        <v>0</v>
      </c>
      <c r="I25" s="256">
        <f t="shared" si="4"/>
        <v>0.1946</v>
      </c>
      <c r="J25" s="241"/>
      <c r="K25" s="282" t="s">
        <v>330</v>
      </c>
      <c r="L25" s="283">
        <f>100-L24</f>
        <v>70.491</v>
      </c>
      <c r="M25" s="284" t="s">
        <v>329</v>
      </c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</row>
    <row r="26" ht="15.75" customHeight="1">
      <c r="A26" s="301"/>
      <c r="B26" s="269">
        <f t="array" ref="B26">+XLOOKUP(C26,'Base de datos'!C:C,'Base de datos'!A:A,"",FALSE)</f>
        <v>93</v>
      </c>
      <c r="C26" s="270" t="s">
        <v>114</v>
      </c>
      <c r="D26" s="275" t="s">
        <v>20</v>
      </c>
      <c r="E26" s="256">
        <f t="array" ref="E26">+XLOOKUP(B26,'Base de datos'!A:A,'Base de datos'!H:H,0)</f>
        <v>0.0277</v>
      </c>
      <c r="F26" s="271">
        <v>2.0</v>
      </c>
      <c r="G26" s="271">
        <v>2.0</v>
      </c>
      <c r="H26" s="258">
        <f t="shared" si="3"/>
        <v>0</v>
      </c>
      <c r="I26" s="256">
        <f t="shared" si="4"/>
        <v>0.0554</v>
      </c>
      <c r="J26" s="241"/>
      <c r="L26" s="288"/>
    </row>
    <row r="27" ht="15.75" customHeight="1">
      <c r="A27" s="301"/>
      <c r="B27" s="253" t="str">
        <f t="array" ref="B27">+XLOOKUP(C27,'Base de datos'!C:C,'Base de datos'!A:A,"",FALSE)</f>
        <v/>
      </c>
      <c r="C27" s="254"/>
      <c r="D27" s="255" t="s">
        <v>14</v>
      </c>
      <c r="E27" s="256">
        <f t="array" ref="E27">+XLOOKUP(B27,'Base de datos'!A:A,'Base de datos'!H:H,0)</f>
        <v>0</v>
      </c>
      <c r="F27" s="257"/>
      <c r="G27" s="257"/>
      <c r="H27" s="258"/>
      <c r="I27" s="256">
        <f t="shared" si="4"/>
        <v>0</v>
      </c>
      <c r="J27" s="241"/>
      <c r="L27" s="288"/>
    </row>
    <row r="28" ht="15.75" customHeight="1">
      <c r="A28" s="307"/>
      <c r="B28" s="307"/>
      <c r="D28" s="308"/>
      <c r="E28" s="309"/>
    </row>
    <row r="29" ht="15.75" customHeight="1">
      <c r="A29" s="307"/>
      <c r="B29" s="230"/>
      <c r="C29" s="230"/>
      <c r="D29" s="230"/>
      <c r="E29" s="231"/>
      <c r="F29" s="232"/>
      <c r="G29" s="232"/>
      <c r="H29" s="230"/>
      <c r="I29" s="230"/>
      <c r="J29" s="230"/>
      <c r="K29" s="230"/>
      <c r="L29" s="230"/>
      <c r="M29" s="233"/>
    </row>
    <row r="30" ht="15.75" customHeight="1">
      <c r="A30" s="307"/>
      <c r="B30" s="234"/>
      <c r="C30" s="235" t="s">
        <v>313</v>
      </c>
      <c r="D30" s="236" t="s">
        <v>223</v>
      </c>
      <c r="E30" s="237"/>
      <c r="F30" s="237"/>
      <c r="G30" s="237"/>
      <c r="H30" s="237"/>
      <c r="I30" s="237"/>
      <c r="J30" s="238"/>
      <c r="K30" s="231"/>
      <c r="L30" s="230"/>
      <c r="M30" s="233"/>
    </row>
    <row r="31" ht="15.75" customHeight="1">
      <c r="A31" s="307"/>
      <c r="B31" s="239"/>
      <c r="C31" s="230"/>
      <c r="D31" s="230"/>
      <c r="E31" s="231"/>
      <c r="F31" s="232"/>
      <c r="G31" s="232"/>
      <c r="H31" s="230"/>
      <c r="I31" s="230"/>
      <c r="J31" s="230"/>
      <c r="K31" s="230"/>
      <c r="L31" s="230"/>
      <c r="M31" s="233"/>
    </row>
    <row r="32" ht="15.75" customHeight="1">
      <c r="A32" s="307"/>
      <c r="B32" s="240"/>
      <c r="C32" s="241"/>
      <c r="D32" s="242"/>
      <c r="E32" s="243"/>
      <c r="F32" s="244"/>
      <c r="G32" s="244"/>
      <c r="H32" s="241"/>
      <c r="I32" s="241"/>
      <c r="J32" s="241"/>
      <c r="K32" s="241"/>
      <c r="L32" s="241"/>
    </row>
    <row r="33" ht="15.75" customHeight="1">
      <c r="A33" s="307"/>
      <c r="B33" s="246" t="s">
        <v>0</v>
      </c>
      <c r="C33" s="246" t="s">
        <v>315</v>
      </c>
      <c r="D33" s="246" t="s">
        <v>316</v>
      </c>
      <c r="E33" s="247" t="s">
        <v>317</v>
      </c>
      <c r="F33" s="248" t="s">
        <v>318</v>
      </c>
      <c r="G33" s="248" t="s">
        <v>319</v>
      </c>
      <c r="H33" s="246" t="s">
        <v>320</v>
      </c>
      <c r="I33" s="246" t="s">
        <v>321</v>
      </c>
      <c r="J33" s="249"/>
      <c r="K33" s="250" t="s">
        <v>322</v>
      </c>
      <c r="L33" s="251"/>
      <c r="M33" s="251"/>
      <c r="N33" s="250" t="s">
        <v>741</v>
      </c>
    </row>
    <row r="34" ht="15.75" customHeight="1">
      <c r="A34" s="307"/>
      <c r="B34" s="253" t="str">
        <f t="array" ref="B34">+XLOOKUP(C34,'Base de datos'!C:C,'Base de datos'!A:A,"",FALSE)</f>
        <v/>
      </c>
      <c r="C34" s="254"/>
      <c r="D34" s="255" t="s">
        <v>14</v>
      </c>
      <c r="E34" s="256">
        <f t="array" ref="E34">+XLOOKUP(B34,'Base de datos'!A:A,'Base de datos'!H:H,0)</f>
        <v>0</v>
      </c>
      <c r="F34" s="257"/>
      <c r="G34" s="257"/>
      <c r="H34" s="258" t="str">
        <f t="shared" ref="H34:H40" si="5">IFERROR(1-G34/F34,"")</f>
        <v/>
      </c>
      <c r="I34" s="256">
        <f t="shared" ref="I34:I41" si="6">IFERROR(E34*F34,"")</f>
        <v>0</v>
      </c>
      <c r="J34" s="241"/>
      <c r="K34" s="259" t="s">
        <v>324</v>
      </c>
      <c r="L34" s="260">
        <f>SUM(I34:I41)</f>
        <v>1.340702797</v>
      </c>
      <c r="M34" s="261"/>
    </row>
    <row r="35" ht="15.75" customHeight="1">
      <c r="A35" s="307"/>
      <c r="B35" s="262" t="str">
        <f>'SIMPLE ASADO'!K25</f>
        <v>#REF!</v>
      </c>
      <c r="C35" s="262" t="str">
        <f>'SIMPLE ASADO'!C25</f>
        <v>#REF!</v>
      </c>
      <c r="D35" s="263" t="s">
        <v>14</v>
      </c>
      <c r="E35" s="264" t="str">
        <f>'SIMPLE ASADO'!K31</f>
        <v>#REF!</v>
      </c>
      <c r="F35" s="265"/>
      <c r="G35" s="265"/>
      <c r="H35" s="266" t="str">
        <f t="shared" si="5"/>
        <v/>
      </c>
      <c r="I35" s="264" t="str">
        <f t="shared" si="6"/>
        <v/>
      </c>
      <c r="J35" s="241"/>
      <c r="K35" s="267" t="s">
        <v>325</v>
      </c>
      <c r="L35" s="268">
        <v>5.5</v>
      </c>
      <c r="M35" s="261"/>
    </row>
    <row r="36" ht="15.75" customHeight="1">
      <c r="A36" s="307"/>
      <c r="B36" s="269">
        <f t="array" ref="B36">+XLOOKUP(C36,'Base de datos'!C:C,'Base de datos'!A:A,"",FALSE)</f>
        <v>74</v>
      </c>
      <c r="C36" s="270" t="s">
        <v>95</v>
      </c>
      <c r="D36" s="255" t="s">
        <v>14</v>
      </c>
      <c r="E36" s="256">
        <f t="array" ref="E36">+XLOOKUP(B36,'Base de datos'!A:A,'Base de datos'!H:H,0)</f>
        <v>6.153846154</v>
      </c>
      <c r="F36" s="271">
        <v>0.1</v>
      </c>
      <c r="G36" s="271">
        <v>0.1</v>
      </c>
      <c r="H36" s="258">
        <f t="shared" si="5"/>
        <v>0</v>
      </c>
      <c r="I36" s="256">
        <f t="shared" si="6"/>
        <v>0.6153846154</v>
      </c>
      <c r="J36" s="241"/>
      <c r="K36" s="272" t="s">
        <v>326</v>
      </c>
      <c r="L36" s="273">
        <f>L35/1.1</f>
        <v>5</v>
      </c>
      <c r="M36" s="274"/>
    </row>
    <row r="37" ht="15.75" customHeight="1">
      <c r="A37" s="307"/>
      <c r="B37" s="269">
        <f t="array" ref="B37">+XLOOKUP(C37,'Base de datos'!C:C,'Base de datos'!A:A,"",FALSE)</f>
        <v>110</v>
      </c>
      <c r="C37" s="270" t="s">
        <v>134</v>
      </c>
      <c r="D37" s="275" t="s">
        <v>20</v>
      </c>
      <c r="E37" s="256">
        <f t="array" ref="E37">+XLOOKUP(B37,'Base de datos'!A:A,'Base de datos'!H:H,0)</f>
        <v>0.2818181818</v>
      </c>
      <c r="F37" s="271">
        <v>1.0</v>
      </c>
      <c r="G37" s="271">
        <v>1.0</v>
      </c>
      <c r="H37" s="258">
        <f t="shared" si="5"/>
        <v>0</v>
      </c>
      <c r="I37" s="256">
        <f t="shared" si="6"/>
        <v>0.2818181818</v>
      </c>
      <c r="J37" s="241"/>
      <c r="K37" s="276" t="s">
        <v>327</v>
      </c>
      <c r="L37" s="277">
        <v>0.1</v>
      </c>
      <c r="M37" s="278"/>
    </row>
    <row r="38" ht="15.75" customHeight="1">
      <c r="A38" s="307"/>
      <c r="B38" s="269">
        <f t="array" ref="B38">+XLOOKUP(C38,'Base de datos'!C:C,'Base de datos'!A:A,"",FALSE)</f>
        <v>58</v>
      </c>
      <c r="C38" s="270" t="s">
        <v>85</v>
      </c>
      <c r="D38" s="275" t="s">
        <v>14</v>
      </c>
      <c r="E38" s="256">
        <f t="array" ref="E38">+XLOOKUP(B38,'Base de datos'!A:A,'Base de datos'!H:H,0)</f>
        <v>2.15</v>
      </c>
      <c r="F38" s="271">
        <v>0.09</v>
      </c>
      <c r="G38" s="271">
        <v>0.09</v>
      </c>
      <c r="H38" s="258">
        <f t="shared" si="5"/>
        <v>0</v>
      </c>
      <c r="I38" s="256">
        <f t="shared" si="6"/>
        <v>0.1935</v>
      </c>
      <c r="J38" s="241"/>
      <c r="K38" s="279" t="s">
        <v>328</v>
      </c>
      <c r="L38" s="280">
        <f>L34/L36*100</f>
        <v>26.81405594</v>
      </c>
      <c r="M38" s="281" t="s">
        <v>329</v>
      </c>
    </row>
    <row r="39" ht="15.75" customHeight="1">
      <c r="A39" s="307"/>
      <c r="B39" s="269">
        <f t="array" ref="B39">+XLOOKUP(C39,'Base de datos'!C:C,'Base de datos'!A:A,"",FALSE)</f>
        <v>29</v>
      </c>
      <c r="C39" s="270" t="s">
        <v>54</v>
      </c>
      <c r="D39" s="275" t="s">
        <v>20</v>
      </c>
      <c r="E39" s="256">
        <f t="array" ref="E39">+XLOOKUP(B39,'Base de datos'!A:A,'Base de datos'!H:H,0)</f>
        <v>0.1946</v>
      </c>
      <c r="F39" s="271">
        <v>1.0</v>
      </c>
      <c r="G39" s="271">
        <v>1.0</v>
      </c>
      <c r="H39" s="258">
        <f t="shared" si="5"/>
        <v>0</v>
      </c>
      <c r="I39" s="256">
        <f t="shared" si="6"/>
        <v>0.1946</v>
      </c>
      <c r="J39" s="241"/>
      <c r="K39" s="282" t="s">
        <v>330</v>
      </c>
      <c r="L39" s="283">
        <f>100-L38</f>
        <v>73.18594406</v>
      </c>
      <c r="M39" s="284" t="s">
        <v>329</v>
      </c>
    </row>
    <row r="40" ht="15.75" customHeight="1">
      <c r="A40" s="307"/>
      <c r="B40" s="269">
        <f t="array" ref="B40">+XLOOKUP(C40,'Base de datos'!C:C,'Base de datos'!A:A,"",FALSE)</f>
        <v>93</v>
      </c>
      <c r="C40" s="270" t="s">
        <v>114</v>
      </c>
      <c r="D40" s="275" t="s">
        <v>20</v>
      </c>
      <c r="E40" s="256">
        <f t="array" ref="E40">+XLOOKUP(B40,'Base de datos'!A:A,'Base de datos'!H:H,0)</f>
        <v>0.0277</v>
      </c>
      <c r="F40" s="271">
        <v>2.0</v>
      </c>
      <c r="G40" s="271">
        <v>2.0</v>
      </c>
      <c r="H40" s="258">
        <f t="shared" si="5"/>
        <v>0</v>
      </c>
      <c r="I40" s="256">
        <f t="shared" si="6"/>
        <v>0.0554</v>
      </c>
      <c r="J40" s="241"/>
      <c r="L40" s="288"/>
    </row>
    <row r="41" ht="15.75" customHeight="1">
      <c r="A41" s="307"/>
      <c r="B41" s="253" t="str">
        <f t="array" ref="B41">+XLOOKUP(C41,'Base de datos'!C:C,'Base de datos'!A:A,"",FALSE)</f>
        <v/>
      </c>
      <c r="C41" s="254"/>
      <c r="D41" s="255" t="s">
        <v>14</v>
      </c>
      <c r="E41" s="256">
        <f t="array" ref="E41">+XLOOKUP(B41,'Base de datos'!A:A,'Base de datos'!H:H,0)</f>
        <v>0</v>
      </c>
      <c r="F41" s="257"/>
      <c r="G41" s="257"/>
      <c r="H41" s="258"/>
      <c r="I41" s="256">
        <f t="shared" si="6"/>
        <v>0</v>
      </c>
      <c r="J41" s="241"/>
      <c r="L41" s="288"/>
    </row>
    <row r="42" ht="15.75" customHeight="1">
      <c r="A42" s="307"/>
      <c r="B42" s="307"/>
      <c r="D42" s="308"/>
      <c r="E42" s="309"/>
    </row>
    <row r="43" ht="15.75" customHeight="1">
      <c r="A43" s="307"/>
      <c r="B43" s="230"/>
      <c r="C43" s="230"/>
      <c r="D43" s="230"/>
      <c r="E43" s="231"/>
      <c r="F43" s="232"/>
      <c r="G43" s="232"/>
      <c r="H43" s="230"/>
      <c r="I43" s="230"/>
      <c r="J43" s="230"/>
      <c r="K43" s="230"/>
      <c r="L43" s="230"/>
      <c r="M43" s="233"/>
    </row>
    <row r="44" ht="15.75" customHeight="1">
      <c r="A44" s="307"/>
      <c r="B44" s="234"/>
      <c r="C44" s="235" t="s">
        <v>313</v>
      </c>
      <c r="D44" s="236" t="s">
        <v>459</v>
      </c>
      <c r="E44" s="237"/>
      <c r="F44" s="237"/>
      <c r="G44" s="237"/>
      <c r="H44" s="237"/>
      <c r="I44" s="237"/>
      <c r="J44" s="238"/>
      <c r="K44" s="231"/>
      <c r="L44" s="230"/>
      <c r="M44" s="233"/>
    </row>
    <row r="45" ht="15.75" customHeight="1">
      <c r="A45" s="307"/>
      <c r="B45" s="239"/>
      <c r="C45" s="230"/>
      <c r="D45" s="230"/>
      <c r="E45" s="231"/>
      <c r="F45" s="232"/>
      <c r="G45" s="232"/>
      <c r="H45" s="230"/>
      <c r="I45" s="230"/>
      <c r="J45" s="230"/>
      <c r="K45" s="230"/>
      <c r="L45" s="230"/>
      <c r="M45" s="233"/>
    </row>
    <row r="46" ht="15.75" customHeight="1">
      <c r="A46" s="307"/>
      <c r="B46" s="240"/>
      <c r="C46" s="241"/>
      <c r="D46" s="242"/>
      <c r="E46" s="243"/>
      <c r="F46" s="244"/>
      <c r="G46" s="244"/>
      <c r="H46" s="241"/>
      <c r="I46" s="241"/>
      <c r="J46" s="241"/>
      <c r="K46" s="241"/>
      <c r="L46" s="241"/>
    </row>
    <row r="47" ht="15.75" customHeight="1">
      <c r="A47" s="307"/>
      <c r="B47" s="246" t="s">
        <v>0</v>
      </c>
      <c r="C47" s="246" t="s">
        <v>315</v>
      </c>
      <c r="D47" s="246" t="s">
        <v>316</v>
      </c>
      <c r="E47" s="247" t="s">
        <v>317</v>
      </c>
      <c r="F47" s="248" t="s">
        <v>318</v>
      </c>
      <c r="G47" s="248" t="s">
        <v>319</v>
      </c>
      <c r="H47" s="246" t="s">
        <v>320</v>
      </c>
      <c r="I47" s="246" t="s">
        <v>321</v>
      </c>
      <c r="J47" s="249"/>
      <c r="K47" s="250" t="s">
        <v>322</v>
      </c>
      <c r="L47" s="251"/>
      <c r="M47" s="251"/>
      <c r="N47" s="250" t="s">
        <v>741</v>
      </c>
    </row>
    <row r="48" ht="15.75" customHeight="1">
      <c r="A48" s="307"/>
      <c r="B48" s="253" t="str">
        <f t="array" ref="B48">+XLOOKUP(C48,'Base de datos'!C:C,'Base de datos'!A:A,"",FALSE)</f>
        <v/>
      </c>
      <c r="C48" s="254"/>
      <c r="D48" s="255" t="s">
        <v>14</v>
      </c>
      <c r="E48" s="256">
        <f t="array" ref="E48">+XLOOKUP(B48,'Base de datos'!A:A,'Base de datos'!H:H,0)</f>
        <v>0</v>
      </c>
      <c r="F48" s="257"/>
      <c r="G48" s="257"/>
      <c r="H48" s="258" t="str">
        <f t="shared" ref="H48:H54" si="7">IFERROR(1-G48/F48,"")</f>
        <v/>
      </c>
      <c r="I48" s="256">
        <f t="shared" ref="I48:I56" si="8">IFERROR(E48*F48,"")</f>
        <v>0</v>
      </c>
      <c r="J48" s="241"/>
      <c r="K48" s="259" t="s">
        <v>324</v>
      </c>
      <c r="L48" s="260">
        <f>SUM(I48:I56)</f>
        <v>1.274318182</v>
      </c>
      <c r="M48" s="261"/>
    </row>
    <row r="49" ht="15.75" customHeight="1">
      <c r="A49" s="307"/>
      <c r="B49" s="262" t="str">
        <f>'SIMPLE DE SOLOMILLO '!K25</f>
        <v>#REF!</v>
      </c>
      <c r="C49" s="262" t="str">
        <f>'SIMPLE DE SOLOMILLO '!C25</f>
        <v>#REF!</v>
      </c>
      <c r="D49" s="263" t="s">
        <v>14</v>
      </c>
      <c r="E49" s="264" t="str">
        <f>'SIMPLE DE SOLOMILLO '!K31</f>
        <v>#REF!</v>
      </c>
      <c r="F49" s="265"/>
      <c r="G49" s="265"/>
      <c r="H49" s="266" t="str">
        <f t="shared" si="7"/>
        <v/>
      </c>
      <c r="I49" s="264" t="str">
        <f t="shared" si="8"/>
        <v/>
      </c>
      <c r="J49" s="241"/>
      <c r="K49" s="267" t="s">
        <v>325</v>
      </c>
      <c r="L49" s="268">
        <v>5.0</v>
      </c>
      <c r="M49" s="261"/>
    </row>
    <row r="50" ht="15.75" customHeight="1">
      <c r="A50" s="307"/>
      <c r="B50" s="269">
        <f t="array" ref="B50">+XLOOKUP(C50,'Base de datos'!C:C,'Base de datos'!A:A,"",FALSE)</f>
        <v>116</v>
      </c>
      <c r="C50" s="270" t="s">
        <v>141</v>
      </c>
      <c r="D50" s="255" t="s">
        <v>14</v>
      </c>
      <c r="E50" s="256">
        <f t="array" ref="E50">+XLOOKUP(B50,'Base de datos'!A:A,'Base de datos'!H:H,0)</f>
        <v>5.49</v>
      </c>
      <c r="F50" s="271">
        <v>0.1</v>
      </c>
      <c r="G50" s="271"/>
      <c r="H50" s="258">
        <f t="shared" si="7"/>
        <v>1</v>
      </c>
      <c r="I50" s="256">
        <f t="shared" si="8"/>
        <v>0.549</v>
      </c>
      <c r="J50" s="241"/>
      <c r="K50" s="272" t="s">
        <v>326</v>
      </c>
      <c r="L50" s="273">
        <f>L49/1.1</f>
        <v>4.545454545</v>
      </c>
      <c r="M50" s="274"/>
    </row>
    <row r="51" ht="15.75" customHeight="1">
      <c r="A51" s="307"/>
      <c r="B51" s="269">
        <f t="array" ref="B51">+XLOOKUP(C51,'Base de datos'!C:C,'Base de datos'!A:A,"",FALSE)</f>
        <v>110</v>
      </c>
      <c r="C51" s="270" t="s">
        <v>134</v>
      </c>
      <c r="D51" s="275" t="s">
        <v>20</v>
      </c>
      <c r="E51" s="256">
        <f t="array" ref="E51">+XLOOKUP(B51,'Base de datos'!A:A,'Base de datos'!H:H,0)</f>
        <v>0.2818181818</v>
      </c>
      <c r="F51" s="271">
        <v>1.0</v>
      </c>
      <c r="G51" s="271"/>
      <c r="H51" s="258">
        <f t="shared" si="7"/>
        <v>1</v>
      </c>
      <c r="I51" s="256">
        <f t="shared" si="8"/>
        <v>0.2818181818</v>
      </c>
      <c r="J51" s="241"/>
      <c r="K51" s="276" t="s">
        <v>327</v>
      </c>
      <c r="L51" s="277">
        <v>0.1</v>
      </c>
      <c r="M51" s="278"/>
    </row>
    <row r="52" ht="15.75" customHeight="1">
      <c r="A52" s="307"/>
      <c r="B52" s="269">
        <f t="array" ref="B52">+XLOOKUP(C52,'Base de datos'!C:C,'Base de datos'!A:A,"",FALSE)</f>
        <v>58</v>
      </c>
      <c r="C52" s="270" t="s">
        <v>85</v>
      </c>
      <c r="D52" s="275" t="s">
        <v>14</v>
      </c>
      <c r="E52" s="256">
        <f t="array" ref="E52">+XLOOKUP(B52,'Base de datos'!A:A,'Base de datos'!H:H,0)</f>
        <v>2.15</v>
      </c>
      <c r="F52" s="271">
        <v>0.09</v>
      </c>
      <c r="G52" s="271"/>
      <c r="H52" s="258">
        <f t="shared" si="7"/>
        <v>1</v>
      </c>
      <c r="I52" s="256">
        <f t="shared" si="8"/>
        <v>0.1935</v>
      </c>
      <c r="J52" s="241"/>
      <c r="K52" s="279" t="s">
        <v>328</v>
      </c>
      <c r="L52" s="280">
        <f>L48/L50*100</f>
        <v>28.035</v>
      </c>
      <c r="M52" s="281" t="s">
        <v>329</v>
      </c>
    </row>
    <row r="53" ht="15.75" customHeight="1">
      <c r="A53" s="307"/>
      <c r="B53" s="269">
        <f t="array" ref="B53">+XLOOKUP(C53,'Base de datos'!C:C,'Base de datos'!A:A,"",FALSE)</f>
        <v>29</v>
      </c>
      <c r="C53" s="270" t="s">
        <v>54</v>
      </c>
      <c r="D53" s="275" t="s">
        <v>20</v>
      </c>
      <c r="E53" s="256">
        <f t="array" ref="E53">+XLOOKUP(B53,'Base de datos'!A:A,'Base de datos'!H:H,0)</f>
        <v>0.1946</v>
      </c>
      <c r="F53" s="271">
        <v>1.0</v>
      </c>
      <c r="G53" s="271"/>
      <c r="H53" s="258">
        <f t="shared" si="7"/>
        <v>1</v>
      </c>
      <c r="I53" s="256">
        <f t="shared" si="8"/>
        <v>0.1946</v>
      </c>
      <c r="J53" s="241"/>
      <c r="K53" s="282" t="s">
        <v>330</v>
      </c>
      <c r="L53" s="283">
        <f>100-L52</f>
        <v>71.965</v>
      </c>
      <c r="M53" s="284" t="s">
        <v>329</v>
      </c>
    </row>
    <row r="54" ht="15.75" customHeight="1">
      <c r="A54" s="307"/>
      <c r="B54" s="269">
        <f t="array" ref="B54">+XLOOKUP(C54,'Base de datos'!C:C,'Base de datos'!A:A,"",FALSE)</f>
        <v>93</v>
      </c>
      <c r="C54" s="270" t="s">
        <v>114</v>
      </c>
      <c r="D54" s="275" t="s">
        <v>20</v>
      </c>
      <c r="E54" s="256">
        <f t="array" ref="E54">+XLOOKUP(B54,'Base de datos'!A:A,'Base de datos'!H:H,0)</f>
        <v>0.0277</v>
      </c>
      <c r="F54" s="271">
        <v>2.0</v>
      </c>
      <c r="G54" s="271"/>
      <c r="H54" s="258">
        <f t="shared" si="7"/>
        <v>1</v>
      </c>
      <c r="I54" s="256">
        <f t="shared" si="8"/>
        <v>0.0554</v>
      </c>
      <c r="J54" s="241"/>
      <c r="L54" s="288"/>
    </row>
    <row r="55" ht="15.75" customHeight="1">
      <c r="A55" s="307"/>
      <c r="B55" s="253" t="str">
        <f t="array" ref="B55">+XLOOKUP(C55,'Base de datos'!C:C,'Base de datos'!A:A,"",FALSE)</f>
        <v/>
      </c>
      <c r="C55" s="254"/>
      <c r="D55" s="255" t="s">
        <v>14</v>
      </c>
      <c r="E55" s="256">
        <f t="array" ref="E55">+XLOOKUP(B55,'Base de datos'!A:A,'Base de datos'!H:H,0)</f>
        <v>0</v>
      </c>
      <c r="F55" s="257"/>
      <c r="G55" s="257"/>
      <c r="H55" s="258"/>
      <c r="I55" s="256">
        <f t="shared" si="8"/>
        <v>0</v>
      </c>
      <c r="J55" s="241"/>
      <c r="L55" s="288"/>
    </row>
    <row r="56" ht="15.75" customHeight="1">
      <c r="A56" s="307"/>
      <c r="B56" s="253" t="str">
        <f t="array" ref="B56">+XLOOKUP(C56,'Base de datos'!C:C,'Base de datos'!A:A,"",FALSE)</f>
        <v/>
      </c>
      <c r="C56" s="254"/>
      <c r="D56" s="255" t="s">
        <v>14</v>
      </c>
      <c r="E56" s="256">
        <f t="array" ref="E56">+XLOOKUP(B56,'Base de datos'!A:A,'Base de datos'!H:H,0)</f>
        <v>0</v>
      </c>
      <c r="F56" s="257"/>
      <c r="G56" s="257"/>
      <c r="H56" s="258"/>
      <c r="I56" s="256">
        <f t="shared" si="8"/>
        <v>0</v>
      </c>
      <c r="J56" s="241"/>
      <c r="L56" s="288"/>
    </row>
    <row r="57" ht="15.75" customHeight="1">
      <c r="A57" s="307"/>
      <c r="B57" s="307"/>
      <c r="D57" s="308"/>
      <c r="E57" s="309"/>
    </row>
    <row r="58" ht="15.75" customHeight="1">
      <c r="A58" s="307"/>
      <c r="B58" s="230"/>
      <c r="C58" s="230"/>
      <c r="D58" s="230"/>
      <c r="E58" s="231"/>
      <c r="F58" s="232"/>
      <c r="G58" s="232"/>
      <c r="H58" s="230"/>
      <c r="I58" s="230"/>
      <c r="J58" s="230"/>
      <c r="K58" s="230"/>
      <c r="L58" s="230"/>
      <c r="M58" s="233"/>
    </row>
    <row r="59" ht="15.75" customHeight="1">
      <c r="A59" s="307"/>
      <c r="B59" s="234"/>
      <c r="C59" s="235" t="s">
        <v>313</v>
      </c>
      <c r="D59" s="236" t="s">
        <v>742</v>
      </c>
      <c r="E59" s="237"/>
      <c r="F59" s="237"/>
      <c r="G59" s="237"/>
      <c r="H59" s="237"/>
      <c r="I59" s="237"/>
      <c r="J59" s="238"/>
      <c r="K59" s="231"/>
      <c r="L59" s="230"/>
      <c r="M59" s="233"/>
    </row>
    <row r="60" ht="15.75" customHeight="1">
      <c r="A60" s="307"/>
      <c r="B60" s="239"/>
      <c r="C60" s="230"/>
      <c r="D60" s="230"/>
      <c r="E60" s="231"/>
      <c r="F60" s="232"/>
      <c r="G60" s="232"/>
      <c r="H60" s="230"/>
      <c r="I60" s="230"/>
      <c r="J60" s="230"/>
      <c r="K60" s="230"/>
      <c r="L60" s="230"/>
      <c r="M60" s="233"/>
    </row>
    <row r="61" ht="15.75" customHeight="1">
      <c r="A61" s="307"/>
      <c r="B61" s="240"/>
      <c r="C61" s="241"/>
      <c r="D61" s="242"/>
      <c r="E61" s="243"/>
      <c r="F61" s="244"/>
      <c r="G61" s="244"/>
      <c r="H61" s="241"/>
      <c r="I61" s="241"/>
      <c r="J61" s="241"/>
      <c r="K61" s="241"/>
      <c r="L61" s="241"/>
    </row>
    <row r="62" ht="15.75" customHeight="1">
      <c r="A62" s="307"/>
      <c r="B62" s="246" t="s">
        <v>0</v>
      </c>
      <c r="C62" s="246" t="s">
        <v>315</v>
      </c>
      <c r="D62" s="246" t="s">
        <v>316</v>
      </c>
      <c r="E62" s="247" t="s">
        <v>317</v>
      </c>
      <c r="F62" s="248" t="s">
        <v>318</v>
      </c>
      <c r="G62" s="248" t="s">
        <v>319</v>
      </c>
      <c r="H62" s="246" t="s">
        <v>320</v>
      </c>
      <c r="I62" s="246" t="s">
        <v>321</v>
      </c>
      <c r="J62" s="249"/>
      <c r="K62" s="250" t="s">
        <v>322</v>
      </c>
      <c r="L62" s="251"/>
      <c r="M62" s="251"/>
      <c r="N62" s="250" t="s">
        <v>741</v>
      </c>
    </row>
    <row r="63" ht="15.75" customHeight="1">
      <c r="A63" s="307"/>
      <c r="B63" s="253" t="str">
        <f t="array" ref="B63">+XLOOKUP(C63,'Base de datos'!C:C,'Base de datos'!A:A,"",FALSE)</f>
        <v/>
      </c>
      <c r="C63" s="254"/>
      <c r="D63" s="255" t="s">
        <v>14</v>
      </c>
      <c r="E63" s="256">
        <f t="array" ref="E63">+XLOOKUP(B63,'Base de datos'!A:A,'Base de datos'!H:H,0)</f>
        <v>0</v>
      </c>
      <c r="F63" s="257"/>
      <c r="G63" s="257"/>
      <c r="H63" s="258" t="str">
        <f t="shared" ref="H63:H69" si="9">IFERROR(1-G63/F63,"")</f>
        <v/>
      </c>
      <c r="I63" s="256">
        <f t="shared" ref="I63:I72" si="10">IFERROR(E63*F63,"")</f>
        <v>0</v>
      </c>
      <c r="J63" s="241"/>
      <c r="K63" s="259" t="s">
        <v>324</v>
      </c>
      <c r="L63" s="260">
        <f>SUM(I63:I72)</f>
        <v>1.368718182</v>
      </c>
      <c r="M63" s="261"/>
    </row>
    <row r="64" ht="15.75" customHeight="1">
      <c r="A64" s="307"/>
      <c r="B64" s="262" t="str">
        <f>'VEGENTAL POLLO '!K29</f>
        <v>#REF!</v>
      </c>
      <c r="C64" s="262" t="str">
        <f>'VEGENTAL POLLO '!C29</f>
        <v>#REF!</v>
      </c>
      <c r="D64" s="263" t="s">
        <v>14</v>
      </c>
      <c r="E64" s="264" t="str">
        <f>'VEGENTAL POLLO '!K35</f>
        <v>#REF!</v>
      </c>
      <c r="F64" s="265"/>
      <c r="G64" s="265"/>
      <c r="H64" s="266" t="str">
        <f t="shared" si="9"/>
        <v/>
      </c>
      <c r="I64" s="264" t="str">
        <f t="shared" si="10"/>
        <v/>
      </c>
      <c r="J64" s="241"/>
      <c r="K64" s="267" t="s">
        <v>325</v>
      </c>
      <c r="L64" s="268">
        <v>5.0</v>
      </c>
      <c r="M64" s="261"/>
    </row>
    <row r="65" ht="15.75" customHeight="1">
      <c r="A65" s="307"/>
      <c r="B65" s="269">
        <f t="array" ref="B65">+XLOOKUP(C65,'Base de datos'!C:C,'Base de datos'!A:A,"",FALSE)</f>
        <v>63</v>
      </c>
      <c r="C65" s="270" t="s">
        <v>89</v>
      </c>
      <c r="D65" s="255" t="s">
        <v>14</v>
      </c>
      <c r="E65" s="256">
        <f t="array" ref="E65">+XLOOKUP(B65,'Base de datos'!A:A,'Base de datos'!H:H,0)</f>
        <v>6.15</v>
      </c>
      <c r="F65" s="271">
        <v>0.1</v>
      </c>
      <c r="G65" s="271"/>
      <c r="H65" s="258">
        <f t="shared" si="9"/>
        <v>1</v>
      </c>
      <c r="I65" s="256">
        <f t="shared" si="10"/>
        <v>0.615</v>
      </c>
      <c r="J65" s="241"/>
      <c r="K65" s="272" t="s">
        <v>326</v>
      </c>
      <c r="L65" s="273">
        <f>L64/1.1</f>
        <v>4.545454545</v>
      </c>
      <c r="M65" s="274"/>
    </row>
    <row r="66" ht="15.75" customHeight="1">
      <c r="A66" s="307"/>
      <c r="B66" s="269">
        <f t="array" ref="B66">+XLOOKUP(C66,'Base de datos'!C:C,'Base de datos'!A:A,"",FALSE)</f>
        <v>110</v>
      </c>
      <c r="C66" s="270" t="s">
        <v>134</v>
      </c>
      <c r="D66" s="275" t="s">
        <v>20</v>
      </c>
      <c r="E66" s="256">
        <f t="array" ref="E66">+XLOOKUP(B66,'Base de datos'!A:A,'Base de datos'!H:H,0)</f>
        <v>0.2818181818</v>
      </c>
      <c r="F66" s="271">
        <v>1.0</v>
      </c>
      <c r="G66" s="271"/>
      <c r="H66" s="258">
        <f t="shared" si="9"/>
        <v>1</v>
      </c>
      <c r="I66" s="256">
        <f t="shared" si="10"/>
        <v>0.2818181818</v>
      </c>
      <c r="J66" s="241"/>
      <c r="K66" s="276" t="s">
        <v>327</v>
      </c>
      <c r="L66" s="277">
        <v>0.1</v>
      </c>
      <c r="M66" s="278"/>
    </row>
    <row r="67" ht="15.75" customHeight="1">
      <c r="A67" s="307"/>
      <c r="B67" s="269">
        <f t="array" ref="B67">+XLOOKUP(C67,'Base de datos'!C:C,'Base de datos'!A:A,"",FALSE)</f>
        <v>58</v>
      </c>
      <c r="C67" s="270" t="s">
        <v>85</v>
      </c>
      <c r="D67" s="275" t="s">
        <v>14</v>
      </c>
      <c r="E67" s="256">
        <f t="array" ref="E67">+XLOOKUP(B67,'Base de datos'!A:A,'Base de datos'!H:H,0)</f>
        <v>2.15</v>
      </c>
      <c r="F67" s="271">
        <v>0.09</v>
      </c>
      <c r="G67" s="271"/>
      <c r="H67" s="258">
        <f t="shared" si="9"/>
        <v>1</v>
      </c>
      <c r="I67" s="256">
        <f t="shared" si="10"/>
        <v>0.1935</v>
      </c>
      <c r="J67" s="241"/>
      <c r="K67" s="279" t="s">
        <v>328</v>
      </c>
      <c r="L67" s="280">
        <f>L63/L65*100</f>
        <v>30.1118</v>
      </c>
      <c r="M67" s="281" t="s">
        <v>329</v>
      </c>
    </row>
    <row r="68" ht="15.75" customHeight="1">
      <c r="A68" s="307"/>
      <c r="B68" s="269">
        <f t="array" ref="B68">+XLOOKUP(C68,'Base de datos'!C:C,'Base de datos'!A:A,"",FALSE)</f>
        <v>29</v>
      </c>
      <c r="C68" s="270" t="s">
        <v>54</v>
      </c>
      <c r="D68" s="275" t="s">
        <v>20</v>
      </c>
      <c r="E68" s="256">
        <f t="array" ref="E68">+XLOOKUP(B68,'Base de datos'!A:A,'Base de datos'!H:H,0)</f>
        <v>0.1946</v>
      </c>
      <c r="F68" s="271">
        <v>1.0</v>
      </c>
      <c r="G68" s="271"/>
      <c r="H68" s="258">
        <f t="shared" si="9"/>
        <v>1</v>
      </c>
      <c r="I68" s="256">
        <f t="shared" si="10"/>
        <v>0.1946</v>
      </c>
      <c r="J68" s="241"/>
      <c r="K68" s="282" t="s">
        <v>330</v>
      </c>
      <c r="L68" s="283">
        <f>100-L67</f>
        <v>69.8882</v>
      </c>
      <c r="M68" s="284" t="s">
        <v>329</v>
      </c>
    </row>
    <row r="69" ht="15.75" customHeight="1">
      <c r="A69" s="307"/>
      <c r="B69" s="269">
        <f t="array" ref="B69">+XLOOKUP(C69,'Base de datos'!C:C,'Base de datos'!A:A,"",FALSE)</f>
        <v>93</v>
      </c>
      <c r="C69" s="270" t="s">
        <v>114</v>
      </c>
      <c r="D69" s="275" t="s">
        <v>20</v>
      </c>
      <c r="E69" s="256">
        <f t="array" ref="E69">+XLOOKUP(B69,'Base de datos'!A:A,'Base de datos'!H:H,0)</f>
        <v>0.0277</v>
      </c>
      <c r="F69" s="271">
        <v>2.0</v>
      </c>
      <c r="G69" s="271"/>
      <c r="H69" s="258">
        <f t="shared" si="9"/>
        <v>1</v>
      </c>
      <c r="I69" s="256">
        <f t="shared" si="10"/>
        <v>0.0554</v>
      </c>
      <c r="J69" s="241"/>
      <c r="L69" s="288"/>
    </row>
    <row r="70" ht="15.75" customHeight="1">
      <c r="A70" s="307"/>
      <c r="B70" s="269">
        <f t="array" ref="B70">+XLOOKUP(C70,'Base de datos'!C:C,'Base de datos'!A:A,"",FALSE)</f>
        <v>96</v>
      </c>
      <c r="C70" s="270" t="s">
        <v>118</v>
      </c>
      <c r="D70" s="255" t="s">
        <v>14</v>
      </c>
      <c r="E70" s="256">
        <f t="array" ref="E70">+XLOOKUP(B70,'Base de datos'!A:A,'Base de datos'!H:H,0)</f>
        <v>1.8</v>
      </c>
      <c r="F70" s="271">
        <v>0.01</v>
      </c>
      <c r="G70" s="257"/>
      <c r="H70" s="258"/>
      <c r="I70" s="256">
        <f t="shared" si="10"/>
        <v>0.018</v>
      </c>
      <c r="J70" s="241"/>
      <c r="L70" s="288"/>
    </row>
    <row r="71" ht="15.75" customHeight="1">
      <c r="A71" s="307"/>
      <c r="B71" s="269">
        <f t="array" ref="B71">+XLOOKUP(C71,'Base de datos'!C:C,'Base de datos'!A:A,"",FALSE)</f>
        <v>39</v>
      </c>
      <c r="C71" s="270" t="s">
        <v>69</v>
      </c>
      <c r="D71" s="255" t="s">
        <v>14</v>
      </c>
      <c r="E71" s="256">
        <f t="array" ref="E71">+XLOOKUP(B71,'Base de datos'!A:A,'Base de datos'!H:H,0)</f>
        <v>1.04</v>
      </c>
      <c r="F71" s="271">
        <v>0.01</v>
      </c>
      <c r="G71" s="257"/>
      <c r="H71" s="258"/>
      <c r="I71" s="256">
        <f t="shared" si="10"/>
        <v>0.0104</v>
      </c>
      <c r="J71" s="241"/>
      <c r="L71" s="288"/>
    </row>
    <row r="72" ht="15.75" customHeight="1">
      <c r="A72" s="307"/>
      <c r="B72" s="253" t="str">
        <f t="array" ref="B72">+XLOOKUP(C72,'Base de datos'!C:C,'Base de datos'!A:A,"",FALSE)</f>
        <v/>
      </c>
      <c r="C72" s="254"/>
      <c r="D72" s="255" t="s">
        <v>14</v>
      </c>
      <c r="E72" s="256">
        <f t="array" ref="E72">+XLOOKUP(B72,'Base de datos'!A:A,'Base de datos'!H:H,0)</f>
        <v>0</v>
      </c>
      <c r="F72" s="257"/>
      <c r="G72" s="257"/>
      <c r="H72" s="258"/>
      <c r="I72" s="256">
        <f t="shared" si="10"/>
        <v>0</v>
      </c>
      <c r="J72" s="241"/>
      <c r="L72" s="288"/>
    </row>
    <row r="73" ht="15.75" customHeight="1">
      <c r="A73" s="307"/>
      <c r="B73" s="307"/>
      <c r="D73" s="308"/>
      <c r="E73" s="309"/>
    </row>
    <row r="74" ht="15.75" customHeight="1">
      <c r="A74" s="307"/>
      <c r="B74" s="230"/>
      <c r="C74" s="230"/>
      <c r="D74" s="230"/>
      <c r="E74" s="231"/>
      <c r="F74" s="232"/>
      <c r="G74" s="232"/>
      <c r="H74" s="230"/>
      <c r="I74" s="230"/>
      <c r="J74" s="230"/>
      <c r="K74" s="230"/>
      <c r="L74" s="230"/>
      <c r="M74" s="233"/>
    </row>
    <row r="75" ht="15.75" customHeight="1">
      <c r="A75" s="307"/>
      <c r="B75" s="234"/>
      <c r="C75" s="235" t="s">
        <v>313</v>
      </c>
      <c r="D75" s="236" t="s">
        <v>229</v>
      </c>
      <c r="E75" s="237"/>
      <c r="F75" s="237"/>
      <c r="G75" s="237"/>
      <c r="H75" s="237"/>
      <c r="I75" s="237"/>
      <c r="J75" s="238"/>
      <c r="K75" s="231"/>
      <c r="L75" s="230"/>
      <c r="M75" s="233"/>
    </row>
    <row r="76" ht="15.75" customHeight="1">
      <c r="A76" s="307"/>
      <c r="B76" s="239"/>
      <c r="C76" s="230"/>
      <c r="D76" s="230"/>
      <c r="E76" s="231"/>
      <c r="F76" s="232"/>
      <c r="G76" s="232"/>
      <c r="H76" s="230"/>
      <c r="I76" s="230"/>
      <c r="J76" s="230"/>
      <c r="K76" s="230"/>
      <c r="L76" s="230"/>
      <c r="M76" s="233"/>
    </row>
    <row r="77" ht="15.75" customHeight="1">
      <c r="A77" s="307"/>
      <c r="B77" s="240"/>
      <c r="C77" s="241"/>
      <c r="D77" s="242"/>
      <c r="E77" s="243"/>
      <c r="F77" s="244"/>
      <c r="G77" s="244"/>
      <c r="H77" s="241"/>
      <c r="I77" s="241"/>
      <c r="J77" s="241"/>
      <c r="K77" s="241"/>
      <c r="L77" s="241"/>
    </row>
    <row r="78" ht="15.75" customHeight="1">
      <c r="A78" s="307"/>
      <c r="B78" s="246" t="s">
        <v>0</v>
      </c>
      <c r="C78" s="246" t="s">
        <v>315</v>
      </c>
      <c r="D78" s="246" t="s">
        <v>316</v>
      </c>
      <c r="E78" s="247" t="s">
        <v>317</v>
      </c>
      <c r="F78" s="248" t="s">
        <v>318</v>
      </c>
      <c r="G78" s="248" t="s">
        <v>319</v>
      </c>
      <c r="H78" s="246" t="s">
        <v>320</v>
      </c>
      <c r="I78" s="246" t="s">
        <v>321</v>
      </c>
      <c r="J78" s="249"/>
      <c r="K78" s="250" t="s">
        <v>322</v>
      </c>
      <c r="L78" s="251"/>
      <c r="M78" s="251"/>
      <c r="N78" s="250" t="s">
        <v>741</v>
      </c>
    </row>
    <row r="79" ht="15.75" customHeight="1">
      <c r="A79" s="307"/>
      <c r="B79" s="253" t="str">
        <f t="array" ref="B79">+XLOOKUP(C79,'Base de datos'!C:C,'Base de datos'!A:A,"",FALSE)</f>
        <v/>
      </c>
      <c r="C79" s="254"/>
      <c r="D79" s="255" t="s">
        <v>14</v>
      </c>
      <c r="E79" s="256">
        <f t="array" ref="E79">+XLOOKUP(B79,'Base de datos'!A:A,'Base de datos'!H:H,0)</f>
        <v>0</v>
      </c>
      <c r="F79" s="257"/>
      <c r="G79" s="257"/>
      <c r="H79" s="258" t="str">
        <f t="shared" ref="H79:H85" si="11">IFERROR(1-G79/F79,"")</f>
        <v/>
      </c>
      <c r="I79" s="256">
        <f t="shared" ref="I79:I88" si="12">IFERROR(E79*F79,"")</f>
        <v>0</v>
      </c>
      <c r="J79" s="241"/>
      <c r="K79" s="259" t="s">
        <v>324</v>
      </c>
      <c r="L79" s="260">
        <f>SUM(I79:I88)</f>
        <v>1.328718182</v>
      </c>
      <c r="M79" s="261"/>
    </row>
    <row r="80" ht="15.75" customHeight="1">
      <c r="A80" s="307"/>
      <c r="B80" s="262" t="str">
        <f>'VEGENTAL ATUN'!K29</f>
        <v>#REF!</v>
      </c>
      <c r="C80" s="262" t="str">
        <f>'VEGENTAL ATUN'!C29</f>
        <v>#REF!</v>
      </c>
      <c r="D80" s="263" t="s">
        <v>14</v>
      </c>
      <c r="E80" s="264" t="str">
        <f>'VEGENTAL ATUN'!K35</f>
        <v>#REF!</v>
      </c>
      <c r="F80" s="265"/>
      <c r="G80" s="265"/>
      <c r="H80" s="266" t="str">
        <f t="shared" si="11"/>
        <v/>
      </c>
      <c r="I80" s="264" t="str">
        <f t="shared" si="12"/>
        <v/>
      </c>
      <c r="J80" s="241"/>
      <c r="K80" s="267" t="s">
        <v>325</v>
      </c>
      <c r="L80" s="268">
        <v>5.0</v>
      </c>
      <c r="M80" s="261"/>
    </row>
    <row r="81" ht="15.75" customHeight="1">
      <c r="A81" s="307"/>
      <c r="B81" s="269">
        <f t="array" ref="B81">+XLOOKUP(C81,'Base de datos'!C:C,'Base de datos'!A:A,"",FALSE)</f>
        <v>3</v>
      </c>
      <c r="C81" s="270" t="s">
        <v>13</v>
      </c>
      <c r="D81" s="255" t="s">
        <v>14</v>
      </c>
      <c r="E81" s="256">
        <f t="array" ref="E81">+XLOOKUP(B81,'Base de datos'!A:A,'Base de datos'!H:H,0)</f>
        <v>5.75</v>
      </c>
      <c r="F81" s="271">
        <v>0.1</v>
      </c>
      <c r="G81" s="271"/>
      <c r="H81" s="258">
        <f t="shared" si="11"/>
        <v>1</v>
      </c>
      <c r="I81" s="256">
        <f t="shared" si="12"/>
        <v>0.575</v>
      </c>
      <c r="J81" s="241"/>
      <c r="K81" s="272" t="s">
        <v>326</v>
      </c>
      <c r="L81" s="273">
        <f>L80/1.1</f>
        <v>4.545454545</v>
      </c>
      <c r="M81" s="274"/>
    </row>
    <row r="82" ht="15.75" customHeight="1">
      <c r="A82" s="307"/>
      <c r="B82" s="269">
        <f t="array" ref="B82">+XLOOKUP(C82,'Base de datos'!C:C,'Base de datos'!A:A,"",FALSE)</f>
        <v>110</v>
      </c>
      <c r="C82" s="270" t="s">
        <v>134</v>
      </c>
      <c r="D82" s="275" t="s">
        <v>20</v>
      </c>
      <c r="E82" s="256">
        <f t="array" ref="E82">+XLOOKUP(B82,'Base de datos'!A:A,'Base de datos'!H:H,0)</f>
        <v>0.2818181818</v>
      </c>
      <c r="F82" s="271">
        <v>1.0</v>
      </c>
      <c r="G82" s="271"/>
      <c r="H82" s="258">
        <f t="shared" si="11"/>
        <v>1</v>
      </c>
      <c r="I82" s="256">
        <f t="shared" si="12"/>
        <v>0.2818181818</v>
      </c>
      <c r="J82" s="241"/>
      <c r="K82" s="276" t="s">
        <v>327</v>
      </c>
      <c r="L82" s="277">
        <v>0.1</v>
      </c>
      <c r="M82" s="278"/>
    </row>
    <row r="83" ht="15.75" customHeight="1">
      <c r="A83" s="307"/>
      <c r="B83" s="269">
        <f t="array" ref="B83">+XLOOKUP(C83,'Base de datos'!C:C,'Base de datos'!A:A,"",FALSE)</f>
        <v>58</v>
      </c>
      <c r="C83" s="270" t="s">
        <v>85</v>
      </c>
      <c r="D83" s="275" t="s">
        <v>14</v>
      </c>
      <c r="E83" s="256">
        <f t="array" ref="E83">+XLOOKUP(B83,'Base de datos'!A:A,'Base de datos'!H:H,0)</f>
        <v>2.15</v>
      </c>
      <c r="F83" s="271">
        <v>0.09</v>
      </c>
      <c r="G83" s="271"/>
      <c r="H83" s="258">
        <f t="shared" si="11"/>
        <v>1</v>
      </c>
      <c r="I83" s="256">
        <f t="shared" si="12"/>
        <v>0.1935</v>
      </c>
      <c r="J83" s="241"/>
      <c r="K83" s="279" t="s">
        <v>328</v>
      </c>
      <c r="L83" s="280">
        <f>L79/L81*100</f>
        <v>29.2318</v>
      </c>
      <c r="M83" s="281" t="s">
        <v>329</v>
      </c>
    </row>
    <row r="84" ht="15.75" customHeight="1">
      <c r="A84" s="307"/>
      <c r="B84" s="269">
        <f t="array" ref="B84">+XLOOKUP(C84,'Base de datos'!C:C,'Base de datos'!A:A,"",FALSE)</f>
        <v>29</v>
      </c>
      <c r="C84" s="270" t="s">
        <v>54</v>
      </c>
      <c r="D84" s="275" t="s">
        <v>20</v>
      </c>
      <c r="E84" s="256">
        <f t="array" ref="E84">+XLOOKUP(B84,'Base de datos'!A:A,'Base de datos'!H:H,0)</f>
        <v>0.1946</v>
      </c>
      <c r="F84" s="271">
        <v>1.0</v>
      </c>
      <c r="G84" s="271"/>
      <c r="H84" s="258">
        <f t="shared" si="11"/>
        <v>1</v>
      </c>
      <c r="I84" s="256">
        <f t="shared" si="12"/>
        <v>0.1946</v>
      </c>
      <c r="J84" s="241"/>
      <c r="K84" s="282" t="s">
        <v>330</v>
      </c>
      <c r="L84" s="283">
        <f>100-L83</f>
        <v>70.7682</v>
      </c>
      <c r="M84" s="284" t="s">
        <v>329</v>
      </c>
    </row>
    <row r="85" ht="15.75" customHeight="1">
      <c r="A85" s="307"/>
      <c r="B85" s="269">
        <f t="array" ref="B85">+XLOOKUP(C85,'Base de datos'!C:C,'Base de datos'!A:A,"",FALSE)</f>
        <v>93</v>
      </c>
      <c r="C85" s="270" t="s">
        <v>114</v>
      </c>
      <c r="D85" s="275" t="s">
        <v>20</v>
      </c>
      <c r="E85" s="256">
        <f t="array" ref="E85">+XLOOKUP(B85,'Base de datos'!A:A,'Base de datos'!H:H,0)</f>
        <v>0.0277</v>
      </c>
      <c r="F85" s="271">
        <v>2.0</v>
      </c>
      <c r="G85" s="271"/>
      <c r="H85" s="258">
        <f t="shared" si="11"/>
        <v>1</v>
      </c>
      <c r="I85" s="256">
        <f t="shared" si="12"/>
        <v>0.0554</v>
      </c>
      <c r="J85" s="241"/>
      <c r="L85" s="288"/>
    </row>
    <row r="86" ht="15.75" customHeight="1">
      <c r="A86" s="307"/>
      <c r="B86" s="269">
        <f t="array" ref="B86">+XLOOKUP(C86,'Base de datos'!C:C,'Base de datos'!A:A,"",FALSE)</f>
        <v>96</v>
      </c>
      <c r="C86" s="270" t="s">
        <v>118</v>
      </c>
      <c r="D86" s="255" t="s">
        <v>14</v>
      </c>
      <c r="E86" s="256">
        <f t="array" ref="E86">+XLOOKUP(B86,'Base de datos'!A:A,'Base de datos'!H:H,0)</f>
        <v>1.8</v>
      </c>
      <c r="F86" s="271">
        <v>0.01</v>
      </c>
      <c r="G86" s="257"/>
      <c r="H86" s="258"/>
      <c r="I86" s="256">
        <f t="shared" si="12"/>
        <v>0.018</v>
      </c>
      <c r="J86" s="241"/>
      <c r="L86" s="288"/>
    </row>
    <row r="87" ht="15.75" customHeight="1">
      <c r="A87" s="307"/>
      <c r="B87" s="269">
        <f t="array" ref="B87">+XLOOKUP(C87,'Base de datos'!C:C,'Base de datos'!A:A,"",FALSE)</f>
        <v>39</v>
      </c>
      <c r="C87" s="270" t="s">
        <v>69</v>
      </c>
      <c r="D87" s="255" t="s">
        <v>14</v>
      </c>
      <c r="E87" s="256">
        <f t="array" ref="E87">+XLOOKUP(B87,'Base de datos'!A:A,'Base de datos'!H:H,0)</f>
        <v>1.04</v>
      </c>
      <c r="F87" s="271">
        <v>0.01</v>
      </c>
      <c r="G87" s="257"/>
      <c r="H87" s="258"/>
      <c r="I87" s="256">
        <f t="shared" si="12"/>
        <v>0.0104</v>
      </c>
      <c r="J87" s="241"/>
      <c r="L87" s="288"/>
    </row>
    <row r="88" ht="15.75" customHeight="1">
      <c r="A88" s="307"/>
      <c r="B88" s="253" t="str">
        <f t="array" ref="B88">+XLOOKUP(C88,'Base de datos'!C:C,'Base de datos'!A:A,"",FALSE)</f>
        <v/>
      </c>
      <c r="C88" s="254"/>
      <c r="D88" s="255" t="s">
        <v>14</v>
      </c>
      <c r="E88" s="256">
        <f t="array" ref="E88">+XLOOKUP(B88,'Base de datos'!A:A,'Base de datos'!H:H,0)</f>
        <v>0</v>
      </c>
      <c r="F88" s="257"/>
      <c r="G88" s="257"/>
      <c r="H88" s="258"/>
      <c r="I88" s="256">
        <f t="shared" si="12"/>
        <v>0</v>
      </c>
      <c r="J88" s="241"/>
      <c r="L88" s="288"/>
    </row>
    <row r="89" ht="15.75" customHeight="1">
      <c r="A89" s="307"/>
      <c r="B89" s="307"/>
      <c r="D89" s="308"/>
      <c r="E89" s="309"/>
    </row>
    <row r="90" ht="15.75" customHeight="1">
      <c r="A90" s="307"/>
      <c r="B90" s="230"/>
      <c r="C90" s="230"/>
      <c r="D90" s="230"/>
      <c r="E90" s="231"/>
      <c r="F90" s="232"/>
      <c r="G90" s="232"/>
      <c r="H90" s="230"/>
      <c r="I90" s="230"/>
      <c r="J90" s="230"/>
      <c r="K90" s="230"/>
      <c r="L90" s="230"/>
      <c r="M90" s="233"/>
    </row>
    <row r="91" ht="15.75" customHeight="1">
      <c r="A91" s="307"/>
      <c r="B91" s="234"/>
      <c r="C91" s="235" t="s">
        <v>313</v>
      </c>
      <c r="D91" s="236" t="s">
        <v>227</v>
      </c>
      <c r="E91" s="237"/>
      <c r="F91" s="237"/>
      <c r="G91" s="237"/>
      <c r="H91" s="237"/>
      <c r="I91" s="237"/>
      <c r="J91" s="238"/>
      <c r="K91" s="231"/>
      <c r="L91" s="230"/>
      <c r="M91" s="233"/>
    </row>
    <row r="92" ht="15.75" customHeight="1">
      <c r="A92" s="307"/>
      <c r="B92" s="239"/>
      <c r="C92" s="230"/>
      <c r="D92" s="230"/>
      <c r="E92" s="231"/>
      <c r="F92" s="232"/>
      <c r="G92" s="232"/>
      <c r="H92" s="230"/>
      <c r="I92" s="230"/>
      <c r="J92" s="230"/>
      <c r="K92" s="230"/>
      <c r="L92" s="230"/>
      <c r="M92" s="233"/>
    </row>
    <row r="93" ht="15.75" customHeight="1">
      <c r="A93" s="307"/>
      <c r="B93" s="240"/>
      <c r="C93" s="241"/>
      <c r="D93" s="242"/>
      <c r="E93" s="243"/>
      <c r="F93" s="244"/>
      <c r="G93" s="244"/>
      <c r="H93" s="241"/>
      <c r="I93" s="241"/>
      <c r="J93" s="241"/>
      <c r="K93" s="241"/>
      <c r="L93" s="241"/>
    </row>
    <row r="94" ht="15.75" customHeight="1">
      <c r="A94" s="307"/>
      <c r="B94" s="246" t="s">
        <v>0</v>
      </c>
      <c r="C94" s="246" t="s">
        <v>315</v>
      </c>
      <c r="D94" s="246" t="s">
        <v>316</v>
      </c>
      <c r="E94" s="247" t="s">
        <v>317</v>
      </c>
      <c r="F94" s="248" t="s">
        <v>318</v>
      </c>
      <c r="G94" s="248" t="s">
        <v>319</v>
      </c>
      <c r="H94" s="246" t="s">
        <v>320</v>
      </c>
      <c r="I94" s="246" t="s">
        <v>321</v>
      </c>
      <c r="J94" s="249"/>
      <c r="K94" s="250" t="s">
        <v>322</v>
      </c>
      <c r="L94" s="250" t="s">
        <v>741</v>
      </c>
      <c r="M94" s="251"/>
      <c r="O94" s="250" t="s">
        <v>323</v>
      </c>
      <c r="P94" s="251"/>
      <c r="Q94" s="251"/>
    </row>
    <row r="95" ht="15.75" customHeight="1">
      <c r="A95" s="307"/>
      <c r="B95" s="253" t="str">
        <f t="array" ref="B95">+XLOOKUP(C95,'Base de datos'!C:C,'Base de datos'!A:A,"",FALSE)</f>
        <v/>
      </c>
      <c r="C95" s="254"/>
      <c r="D95" s="255" t="s">
        <v>14</v>
      </c>
      <c r="E95" s="256">
        <f t="array" ref="E95">+XLOOKUP(B95,'Base de datos'!A:A,'Base de datos'!H:H,0)</f>
        <v>0</v>
      </c>
      <c r="F95" s="257"/>
      <c r="G95" s="257"/>
      <c r="H95" s="258" t="str">
        <f t="shared" ref="H95:H101" si="13">IFERROR(1-G95/F95,"")</f>
        <v/>
      </c>
      <c r="I95" s="256">
        <f t="shared" ref="I95:I106" si="14">IFERROR(E95*F95,"")</f>
        <v>0</v>
      </c>
      <c r="J95" s="241"/>
      <c r="K95" s="259" t="s">
        <v>324</v>
      </c>
      <c r="L95" s="260">
        <f>SUM(I95:I106)</f>
        <v>1.369102797</v>
      </c>
      <c r="M95" s="261"/>
      <c r="O95" s="259" t="s">
        <v>324</v>
      </c>
      <c r="P95" s="260">
        <f>L95</f>
        <v>1.369102797</v>
      </c>
      <c r="Q95" s="261"/>
    </row>
    <row r="96" ht="15.75" customHeight="1">
      <c r="A96" s="307"/>
      <c r="B96" s="262" t="str">
        <f>'VEGETAL ASADO'!K29</f>
        <v>#REF!</v>
      </c>
      <c r="C96" s="262" t="str">
        <f>'VEGETAL ASADO'!C29</f>
        <v>#REF!</v>
      </c>
      <c r="D96" s="263" t="s">
        <v>14</v>
      </c>
      <c r="E96" s="264" t="str">
        <f>'VEGETAL ASADO'!K35</f>
        <v>#REF!</v>
      </c>
      <c r="F96" s="265"/>
      <c r="G96" s="265"/>
      <c r="H96" s="266" t="str">
        <f t="shared" si="13"/>
        <v/>
      </c>
      <c r="I96" s="264" t="str">
        <f t="shared" si="14"/>
        <v/>
      </c>
      <c r="J96" s="241"/>
      <c r="K96" s="267" t="s">
        <v>325</v>
      </c>
      <c r="L96" s="268">
        <v>6.5</v>
      </c>
      <c r="M96" s="261"/>
      <c r="O96" s="267" t="s">
        <v>325</v>
      </c>
      <c r="P96" s="268">
        <v>6.9</v>
      </c>
      <c r="Q96" s="261"/>
    </row>
    <row r="97" ht="15.75" customHeight="1">
      <c r="A97" s="307"/>
      <c r="B97" s="269">
        <f t="array" ref="B97">+XLOOKUP(C97,'Base de datos'!C:C,'Base de datos'!A:A,"",FALSE)</f>
        <v>74</v>
      </c>
      <c r="C97" s="270" t="s">
        <v>95</v>
      </c>
      <c r="D97" s="255" t="s">
        <v>14</v>
      </c>
      <c r="E97" s="256">
        <f t="array" ref="E97">+XLOOKUP(B97,'Base de datos'!A:A,'Base de datos'!H:H,0)</f>
        <v>6.153846154</v>
      </c>
      <c r="F97" s="271">
        <v>0.1</v>
      </c>
      <c r="G97" s="271"/>
      <c r="H97" s="258">
        <f t="shared" si="13"/>
        <v>1</v>
      </c>
      <c r="I97" s="256">
        <f t="shared" si="14"/>
        <v>0.6153846154</v>
      </c>
      <c r="J97" s="241"/>
      <c r="K97" s="272" t="s">
        <v>326</v>
      </c>
      <c r="L97" s="273">
        <f>L96/1.1</f>
        <v>5.909090909</v>
      </c>
      <c r="M97" s="274"/>
      <c r="O97" s="272" t="s">
        <v>326</v>
      </c>
      <c r="P97" s="273">
        <f>P96/1.1</f>
        <v>6.272727273</v>
      </c>
      <c r="Q97" s="274"/>
    </row>
    <row r="98" ht="15.75" customHeight="1">
      <c r="A98" s="307"/>
      <c r="B98" s="269">
        <f t="array" ref="B98">+XLOOKUP(C98,'Base de datos'!C:C,'Base de datos'!A:A,"",FALSE)</f>
        <v>110</v>
      </c>
      <c r="C98" s="270" t="s">
        <v>134</v>
      </c>
      <c r="D98" s="275" t="s">
        <v>20</v>
      </c>
      <c r="E98" s="256">
        <f t="array" ref="E98">+XLOOKUP(B98,'Base de datos'!A:A,'Base de datos'!H:H,0)</f>
        <v>0.2818181818</v>
      </c>
      <c r="F98" s="271">
        <v>1.0</v>
      </c>
      <c r="G98" s="271"/>
      <c r="H98" s="258">
        <f t="shared" si="13"/>
        <v>1</v>
      </c>
      <c r="I98" s="256">
        <f t="shared" si="14"/>
        <v>0.2818181818</v>
      </c>
      <c r="J98" s="241"/>
      <c r="K98" s="276" t="s">
        <v>327</v>
      </c>
      <c r="L98" s="277">
        <v>0.1</v>
      </c>
      <c r="M98" s="278"/>
      <c r="O98" s="276" t="s">
        <v>327</v>
      </c>
      <c r="P98" s="277">
        <v>0.1</v>
      </c>
      <c r="Q98" s="278"/>
    </row>
    <row r="99" ht="15.75" customHeight="1">
      <c r="A99" s="307"/>
      <c r="B99" s="269">
        <f t="array" ref="B99">+XLOOKUP(C99,'Base de datos'!C:C,'Base de datos'!A:A,"",FALSE)</f>
        <v>58</v>
      </c>
      <c r="C99" s="270" t="s">
        <v>85</v>
      </c>
      <c r="D99" s="275" t="s">
        <v>14</v>
      </c>
      <c r="E99" s="256">
        <f t="array" ref="E99">+XLOOKUP(B99,'Base de datos'!A:A,'Base de datos'!H:H,0)</f>
        <v>2.15</v>
      </c>
      <c r="F99" s="271">
        <v>0.09</v>
      </c>
      <c r="G99" s="271"/>
      <c r="H99" s="258">
        <f t="shared" si="13"/>
        <v>1</v>
      </c>
      <c r="I99" s="256">
        <f t="shared" si="14"/>
        <v>0.1935</v>
      </c>
      <c r="J99" s="241"/>
      <c r="K99" s="279" t="s">
        <v>328</v>
      </c>
      <c r="L99" s="280">
        <f>L95/L97*100</f>
        <v>23.16943195</v>
      </c>
      <c r="M99" s="281" t="s">
        <v>329</v>
      </c>
      <c r="O99" s="279" t="s">
        <v>328</v>
      </c>
      <c r="P99" s="280">
        <f>P95/P97*100</f>
        <v>21.82627648</v>
      </c>
      <c r="Q99" s="281" t="s">
        <v>329</v>
      </c>
    </row>
    <row r="100" ht="15.75" customHeight="1">
      <c r="A100" s="307"/>
      <c r="B100" s="269">
        <f t="array" ref="B100">+XLOOKUP(C100,'Base de datos'!C:C,'Base de datos'!A:A,"",FALSE)</f>
        <v>29</v>
      </c>
      <c r="C100" s="270" t="s">
        <v>54</v>
      </c>
      <c r="D100" s="275" t="s">
        <v>20</v>
      </c>
      <c r="E100" s="256">
        <f t="array" ref="E100">+XLOOKUP(B100,'Base de datos'!A:A,'Base de datos'!H:H,0)</f>
        <v>0.1946</v>
      </c>
      <c r="F100" s="271">
        <v>1.0</v>
      </c>
      <c r="G100" s="271"/>
      <c r="H100" s="258">
        <f t="shared" si="13"/>
        <v>1</v>
      </c>
      <c r="I100" s="256">
        <f t="shared" si="14"/>
        <v>0.1946</v>
      </c>
      <c r="J100" s="241"/>
      <c r="K100" s="282" t="s">
        <v>330</v>
      </c>
      <c r="L100" s="283">
        <f>100-L99</f>
        <v>76.83056805</v>
      </c>
      <c r="M100" s="284" t="s">
        <v>329</v>
      </c>
      <c r="O100" s="285" t="s">
        <v>330</v>
      </c>
      <c r="P100" s="286">
        <f>P97-P95</f>
        <v>4.903624476</v>
      </c>
      <c r="Q100" s="287" t="s">
        <v>331</v>
      </c>
    </row>
    <row r="101" ht="15.75" customHeight="1">
      <c r="A101" s="307"/>
      <c r="B101" s="269">
        <f t="array" ref="B101">+XLOOKUP(C101,'Base de datos'!C:C,'Base de datos'!A:A,"",FALSE)</f>
        <v>93</v>
      </c>
      <c r="C101" s="270" t="s">
        <v>114</v>
      </c>
      <c r="D101" s="275" t="s">
        <v>20</v>
      </c>
      <c r="E101" s="256">
        <f t="array" ref="E101">+XLOOKUP(B101,'Base de datos'!A:A,'Base de datos'!H:H,0)</f>
        <v>0.0277</v>
      </c>
      <c r="F101" s="271">
        <v>2.0</v>
      </c>
      <c r="G101" s="271"/>
      <c r="H101" s="258">
        <f t="shared" si="13"/>
        <v>1</v>
      </c>
      <c r="I101" s="256">
        <f t="shared" si="14"/>
        <v>0.0554</v>
      </c>
      <c r="J101" s="241"/>
      <c r="L101" s="288"/>
      <c r="O101" s="289" t="s">
        <v>332</v>
      </c>
      <c r="P101" s="290">
        <f>P97-P95-(P96*0.2)</f>
        <v>3.523624476</v>
      </c>
      <c r="Q101" s="291" t="s">
        <v>331</v>
      </c>
    </row>
    <row r="102" ht="15.75" customHeight="1">
      <c r="A102" s="307"/>
      <c r="B102" s="269">
        <f t="array" ref="B102">+XLOOKUP(C102,'Base de datos'!C:C,'Base de datos'!A:A,"",FALSE)</f>
        <v>96</v>
      </c>
      <c r="C102" s="270" t="s">
        <v>118</v>
      </c>
      <c r="D102" s="255" t="s">
        <v>14</v>
      </c>
      <c r="E102" s="256">
        <f t="array" ref="E102">+XLOOKUP(B102,'Base de datos'!A:A,'Base de datos'!H:H,0)</f>
        <v>1.8</v>
      </c>
      <c r="F102" s="271">
        <v>0.01</v>
      </c>
      <c r="G102" s="257"/>
      <c r="H102" s="258"/>
      <c r="I102" s="256">
        <f t="shared" si="14"/>
        <v>0.018</v>
      </c>
      <c r="J102" s="241"/>
      <c r="O102" s="289" t="s">
        <v>332</v>
      </c>
      <c r="P102" s="292">
        <f>P101/P97</f>
        <v>0.5617372352</v>
      </c>
      <c r="Q102" s="291" t="s">
        <v>329</v>
      </c>
    </row>
    <row r="103" ht="15.75" customHeight="1">
      <c r="A103" s="307"/>
      <c r="B103" s="269">
        <f t="array" ref="B103">+XLOOKUP(C103,'Base de datos'!C:C,'Base de datos'!A:A,"",FALSE)</f>
        <v>39</v>
      </c>
      <c r="C103" s="270" t="s">
        <v>69</v>
      </c>
      <c r="D103" s="255" t="s">
        <v>14</v>
      </c>
      <c r="E103" s="256">
        <f t="array" ref="E103">+XLOOKUP(B103,'Base de datos'!A:A,'Base de datos'!H:H,0)</f>
        <v>1.04</v>
      </c>
      <c r="F103" s="271">
        <v>0.01</v>
      </c>
      <c r="G103" s="257"/>
      <c r="H103" s="258"/>
      <c r="I103" s="256">
        <f t="shared" si="14"/>
        <v>0.0104</v>
      </c>
      <c r="J103" s="241"/>
    </row>
    <row r="104" ht="15.75" customHeight="1">
      <c r="A104" s="307"/>
      <c r="B104" s="253" t="str">
        <f t="array" ref="B104">+XLOOKUP(C104,'Base de datos'!C:C,'Base de datos'!A:A,"",FALSE)</f>
        <v/>
      </c>
      <c r="C104" s="254"/>
      <c r="D104" s="255" t="s">
        <v>14</v>
      </c>
      <c r="E104" s="256">
        <f t="array" ref="E104">+XLOOKUP(B104,'Base de datos'!A:A,'Base de datos'!H:H,0)</f>
        <v>0</v>
      </c>
      <c r="F104" s="257"/>
      <c r="G104" s="257"/>
      <c r="H104" s="258"/>
      <c r="I104" s="256">
        <f t="shared" si="14"/>
        <v>0</v>
      </c>
      <c r="J104" s="241"/>
    </row>
    <row r="105" ht="15.75" customHeight="1">
      <c r="A105" s="307"/>
      <c r="B105" s="253" t="str">
        <f t="array" ref="B105">+XLOOKUP(C105,'Base de datos'!C:C,'Base de datos'!A:A,"",FALSE)</f>
        <v/>
      </c>
      <c r="C105" s="254"/>
      <c r="D105" s="255" t="s">
        <v>14</v>
      </c>
      <c r="E105" s="256">
        <f t="array" ref="E105">+XLOOKUP(B105,'Base de datos'!A:A,'Base de datos'!H:H,0)</f>
        <v>0</v>
      </c>
      <c r="F105" s="257"/>
      <c r="G105" s="257"/>
      <c r="H105" s="258"/>
      <c r="I105" s="256">
        <f t="shared" si="14"/>
        <v>0</v>
      </c>
      <c r="J105" s="241"/>
    </row>
    <row r="106" ht="15.75" customHeight="1">
      <c r="A106" s="307"/>
      <c r="B106" s="253" t="str">
        <f t="array" ref="B106">+XLOOKUP(C106,'Base de datos'!C:C,'Base de datos'!A:A,"",FALSE)</f>
        <v/>
      </c>
      <c r="C106" s="254"/>
      <c r="D106" s="255" t="s">
        <v>14</v>
      </c>
      <c r="E106" s="256">
        <f t="array" ref="E106">+XLOOKUP(B106,'Base de datos'!A:A,'Base de datos'!H:H,0)</f>
        <v>0</v>
      </c>
      <c r="F106" s="257"/>
      <c r="G106" s="257"/>
      <c r="H106" s="258" t="str">
        <f>IFERROR(1-G106/F106,"")</f>
        <v/>
      </c>
      <c r="I106" s="256">
        <f t="shared" si="14"/>
        <v>0</v>
      </c>
      <c r="J106" s="241"/>
    </row>
    <row r="107" ht="15.75" customHeight="1">
      <c r="A107" s="307"/>
      <c r="B107" s="240"/>
      <c r="C107" s="241"/>
      <c r="D107" s="242"/>
      <c r="E107" s="243"/>
      <c r="F107" s="244"/>
      <c r="G107" s="244"/>
      <c r="H107" s="241"/>
      <c r="I107" s="241"/>
      <c r="J107" s="241"/>
    </row>
    <row r="108" ht="15.75" customHeight="1">
      <c r="A108" s="307"/>
      <c r="B108" s="230"/>
      <c r="C108" s="230"/>
      <c r="D108" s="230"/>
      <c r="E108" s="231"/>
      <c r="F108" s="232"/>
      <c r="G108" s="232"/>
      <c r="H108" s="230"/>
      <c r="I108" s="230"/>
      <c r="J108" s="230"/>
      <c r="K108" s="230"/>
      <c r="L108" s="230"/>
      <c r="M108" s="233"/>
    </row>
    <row r="109" ht="15.75" customHeight="1">
      <c r="A109" s="307"/>
      <c r="B109" s="234"/>
      <c r="C109" s="235" t="s">
        <v>313</v>
      </c>
      <c r="D109" s="236" t="s">
        <v>228</v>
      </c>
      <c r="E109" s="237"/>
      <c r="F109" s="237"/>
      <c r="G109" s="237"/>
      <c r="H109" s="237"/>
      <c r="I109" s="237"/>
      <c r="J109" s="238"/>
      <c r="K109" s="231"/>
      <c r="L109" s="230"/>
      <c r="M109" s="233"/>
    </row>
    <row r="110" ht="15.75" customHeight="1">
      <c r="A110" s="307"/>
      <c r="B110" s="239"/>
      <c r="C110" s="230"/>
      <c r="D110" s="230"/>
      <c r="E110" s="231"/>
      <c r="F110" s="232"/>
      <c r="G110" s="232"/>
      <c r="H110" s="230"/>
      <c r="I110" s="230"/>
      <c r="J110" s="230"/>
      <c r="K110" s="230"/>
      <c r="L110" s="230"/>
      <c r="M110" s="233"/>
    </row>
    <row r="111" ht="15.75" customHeight="1">
      <c r="A111" s="307"/>
      <c r="B111" s="240"/>
      <c r="C111" s="241"/>
      <c r="D111" s="242"/>
      <c r="E111" s="243"/>
      <c r="F111" s="244"/>
      <c r="G111" s="244"/>
      <c r="H111" s="241"/>
      <c r="I111" s="241"/>
      <c r="J111" s="241"/>
      <c r="K111" s="241"/>
      <c r="L111" s="241"/>
    </row>
    <row r="112" ht="15.75" customHeight="1">
      <c r="A112" s="307"/>
      <c r="B112" s="246" t="s">
        <v>0</v>
      </c>
      <c r="C112" s="246" t="s">
        <v>315</v>
      </c>
      <c r="D112" s="246" t="s">
        <v>316</v>
      </c>
      <c r="E112" s="247" t="s">
        <v>317</v>
      </c>
      <c r="F112" s="248" t="s">
        <v>318</v>
      </c>
      <c r="G112" s="248" t="s">
        <v>319</v>
      </c>
      <c r="H112" s="246" t="s">
        <v>320</v>
      </c>
      <c r="I112" s="246" t="s">
        <v>321</v>
      </c>
      <c r="J112" s="249"/>
      <c r="K112" s="250" t="s">
        <v>322</v>
      </c>
      <c r="L112" s="251"/>
      <c r="M112" s="251"/>
      <c r="O112" s="250" t="s">
        <v>323</v>
      </c>
      <c r="P112" s="251"/>
      <c r="Q112" s="251"/>
    </row>
    <row r="113" ht="15.75" customHeight="1">
      <c r="A113" s="307"/>
      <c r="B113" s="253" t="str">
        <f t="array" ref="B113">+XLOOKUP(C113,'Base de datos'!C:C,'Base de datos'!A:A,"",FALSE)</f>
        <v/>
      </c>
      <c r="C113" s="254"/>
      <c r="D113" s="255" t="s">
        <v>14</v>
      </c>
      <c r="E113" s="256">
        <f t="array" ref="E113">+XLOOKUP(B113,'Base de datos'!A:A,'Base de datos'!H:H,0)</f>
        <v>0</v>
      </c>
      <c r="F113" s="257"/>
      <c r="G113" s="257"/>
      <c r="H113" s="258" t="str">
        <f t="shared" ref="H113:H119" si="15">IFERROR(1-G113/F113,"")</f>
        <v/>
      </c>
      <c r="I113" s="256">
        <f t="shared" ref="I113:I124" si="16">IFERROR(E113*F113,"")</f>
        <v>0</v>
      </c>
      <c r="J113" s="241"/>
      <c r="K113" s="259" t="s">
        <v>324</v>
      </c>
      <c r="L113" s="260">
        <f>SUM(I113:I124)</f>
        <v>1.313718182</v>
      </c>
      <c r="M113" s="261"/>
      <c r="O113" s="259" t="s">
        <v>324</v>
      </c>
      <c r="P113" s="260">
        <f>L113</f>
        <v>1.313718182</v>
      </c>
      <c r="Q113" s="261"/>
    </row>
    <row r="114" ht="15.75" customHeight="1">
      <c r="A114" s="307"/>
      <c r="B114" s="262" t="str">
        <f>'VEGETAL EMPANADO'!K29</f>
        <v>#REF!</v>
      </c>
      <c r="C114" s="262" t="str">
        <f>'VEGETAL EMPANADO'!C29</f>
        <v>#REF!</v>
      </c>
      <c r="D114" s="263" t="s">
        <v>14</v>
      </c>
      <c r="E114" s="264" t="str">
        <f>'VEGETAL EMPANADO'!K35</f>
        <v>#REF!</v>
      </c>
      <c r="F114" s="265"/>
      <c r="G114" s="265"/>
      <c r="H114" s="266" t="str">
        <f t="shared" si="15"/>
        <v/>
      </c>
      <c r="I114" s="264" t="str">
        <f t="shared" si="16"/>
        <v/>
      </c>
      <c r="J114" s="241"/>
      <c r="K114" s="267" t="s">
        <v>325</v>
      </c>
      <c r="L114" s="268">
        <v>5.0</v>
      </c>
      <c r="M114" s="261"/>
      <c r="O114" s="267" t="s">
        <v>325</v>
      </c>
      <c r="P114" s="268">
        <v>7.0</v>
      </c>
      <c r="Q114" s="261"/>
    </row>
    <row r="115" ht="15.75" customHeight="1">
      <c r="A115" s="307"/>
      <c r="B115" s="269">
        <f t="array" ref="B115">+XLOOKUP(C115,'Base de datos'!C:C,'Base de datos'!A:A,"",FALSE)</f>
        <v>62</v>
      </c>
      <c r="C115" s="270" t="s">
        <v>87</v>
      </c>
      <c r="D115" s="255" t="s">
        <v>14</v>
      </c>
      <c r="E115" s="256">
        <f t="array" ref="E115">+XLOOKUP(B115,'Base de datos'!A:A,'Base de datos'!H:H,0)</f>
        <v>5.6</v>
      </c>
      <c r="F115" s="271">
        <v>0.1</v>
      </c>
      <c r="G115" s="271"/>
      <c r="H115" s="258">
        <f t="shared" si="15"/>
        <v>1</v>
      </c>
      <c r="I115" s="256">
        <f t="shared" si="16"/>
        <v>0.56</v>
      </c>
      <c r="J115" s="241"/>
      <c r="K115" s="272" t="s">
        <v>326</v>
      </c>
      <c r="L115" s="273">
        <f>L114/1.1</f>
        <v>4.545454545</v>
      </c>
      <c r="M115" s="274"/>
      <c r="O115" s="272" t="s">
        <v>326</v>
      </c>
      <c r="P115" s="273">
        <f>P114/1.1</f>
        <v>6.363636364</v>
      </c>
      <c r="Q115" s="274"/>
    </row>
    <row r="116" ht="15.75" customHeight="1">
      <c r="A116" s="307"/>
      <c r="B116" s="269">
        <f t="array" ref="B116">+XLOOKUP(C116,'Base de datos'!C:C,'Base de datos'!A:A,"",FALSE)</f>
        <v>110</v>
      </c>
      <c r="C116" s="270" t="s">
        <v>134</v>
      </c>
      <c r="D116" s="275" t="s">
        <v>20</v>
      </c>
      <c r="E116" s="256">
        <f t="array" ref="E116">+XLOOKUP(B116,'Base de datos'!A:A,'Base de datos'!H:H,0)</f>
        <v>0.2818181818</v>
      </c>
      <c r="F116" s="271">
        <v>1.0</v>
      </c>
      <c r="G116" s="271"/>
      <c r="H116" s="258">
        <f t="shared" si="15"/>
        <v>1</v>
      </c>
      <c r="I116" s="256">
        <f t="shared" si="16"/>
        <v>0.2818181818</v>
      </c>
      <c r="J116" s="241"/>
      <c r="K116" s="276" t="s">
        <v>327</v>
      </c>
      <c r="L116" s="277">
        <v>0.1</v>
      </c>
      <c r="M116" s="278"/>
      <c r="O116" s="276" t="s">
        <v>327</v>
      </c>
      <c r="P116" s="277">
        <v>0.1</v>
      </c>
      <c r="Q116" s="278"/>
    </row>
    <row r="117" ht="15.75" customHeight="1">
      <c r="A117" s="307"/>
      <c r="B117" s="269">
        <f t="array" ref="B117">+XLOOKUP(C117,'Base de datos'!C:C,'Base de datos'!A:A,"",FALSE)</f>
        <v>58</v>
      </c>
      <c r="C117" s="270" t="s">
        <v>85</v>
      </c>
      <c r="D117" s="275" t="s">
        <v>14</v>
      </c>
      <c r="E117" s="256">
        <f t="array" ref="E117">+XLOOKUP(B117,'Base de datos'!A:A,'Base de datos'!H:H,0)</f>
        <v>2.15</v>
      </c>
      <c r="F117" s="271">
        <v>0.09</v>
      </c>
      <c r="G117" s="271"/>
      <c r="H117" s="258">
        <f t="shared" si="15"/>
        <v>1</v>
      </c>
      <c r="I117" s="256">
        <f t="shared" si="16"/>
        <v>0.1935</v>
      </c>
      <c r="J117" s="241"/>
      <c r="K117" s="279" t="s">
        <v>328</v>
      </c>
      <c r="L117" s="280">
        <f>L113/L115*100</f>
        <v>28.9018</v>
      </c>
      <c r="M117" s="281" t="s">
        <v>329</v>
      </c>
      <c r="O117" s="279" t="s">
        <v>328</v>
      </c>
      <c r="P117" s="280">
        <f>P113/P115*100</f>
        <v>20.64414286</v>
      </c>
      <c r="Q117" s="281" t="s">
        <v>329</v>
      </c>
    </row>
    <row r="118" ht="15.75" customHeight="1">
      <c r="A118" s="307"/>
      <c r="B118" s="269">
        <f t="array" ref="B118">+XLOOKUP(C118,'Base de datos'!C:C,'Base de datos'!A:A,"",FALSE)</f>
        <v>29</v>
      </c>
      <c r="C118" s="270" t="s">
        <v>54</v>
      </c>
      <c r="D118" s="275" t="s">
        <v>20</v>
      </c>
      <c r="E118" s="256">
        <f t="array" ref="E118">+XLOOKUP(B118,'Base de datos'!A:A,'Base de datos'!H:H,0)</f>
        <v>0.1946</v>
      </c>
      <c r="F118" s="271">
        <v>1.0</v>
      </c>
      <c r="G118" s="271"/>
      <c r="H118" s="258">
        <f t="shared" si="15"/>
        <v>1</v>
      </c>
      <c r="I118" s="256">
        <f t="shared" si="16"/>
        <v>0.1946</v>
      </c>
      <c r="J118" s="241"/>
      <c r="K118" s="282" t="s">
        <v>330</v>
      </c>
      <c r="L118" s="283">
        <f>100-L117</f>
        <v>71.0982</v>
      </c>
      <c r="M118" s="284" t="s">
        <v>329</v>
      </c>
      <c r="O118" s="285" t="s">
        <v>330</v>
      </c>
      <c r="P118" s="286">
        <f>P115-P113</f>
        <v>5.049918182</v>
      </c>
      <c r="Q118" s="287" t="s">
        <v>331</v>
      </c>
    </row>
    <row r="119" ht="15.75" customHeight="1">
      <c r="A119" s="307"/>
      <c r="B119" s="269">
        <f t="array" ref="B119">+XLOOKUP(C119,'Base de datos'!C:C,'Base de datos'!A:A,"",FALSE)</f>
        <v>93</v>
      </c>
      <c r="C119" s="270" t="s">
        <v>114</v>
      </c>
      <c r="D119" s="275" t="s">
        <v>20</v>
      </c>
      <c r="E119" s="256">
        <f t="array" ref="E119">+XLOOKUP(B119,'Base de datos'!A:A,'Base de datos'!H:H,0)</f>
        <v>0.0277</v>
      </c>
      <c r="F119" s="271">
        <v>2.0</v>
      </c>
      <c r="G119" s="271"/>
      <c r="H119" s="258">
        <f t="shared" si="15"/>
        <v>1</v>
      </c>
      <c r="I119" s="256">
        <f t="shared" si="16"/>
        <v>0.0554</v>
      </c>
      <c r="J119" s="241"/>
      <c r="L119" s="288"/>
      <c r="O119" s="289" t="s">
        <v>332</v>
      </c>
      <c r="P119" s="290">
        <f>P115-P113-(P114*0.2)</f>
        <v>3.649918182</v>
      </c>
      <c r="Q119" s="291" t="s">
        <v>331</v>
      </c>
    </row>
    <row r="120" ht="15.75" customHeight="1">
      <c r="A120" s="307"/>
      <c r="B120" s="269">
        <f t="array" ref="B120">+XLOOKUP(C120,'Base de datos'!C:C,'Base de datos'!A:A,"",FALSE)</f>
        <v>96</v>
      </c>
      <c r="C120" s="270" t="s">
        <v>118</v>
      </c>
      <c r="D120" s="255" t="s">
        <v>14</v>
      </c>
      <c r="E120" s="256">
        <f t="array" ref="E120">+XLOOKUP(B120,'Base de datos'!A:A,'Base de datos'!H:H,0)</f>
        <v>1.8</v>
      </c>
      <c r="F120" s="271">
        <v>0.01</v>
      </c>
      <c r="G120" s="257"/>
      <c r="H120" s="258"/>
      <c r="I120" s="256">
        <f t="shared" si="16"/>
        <v>0.018</v>
      </c>
      <c r="J120" s="241"/>
      <c r="O120" s="289" t="s">
        <v>332</v>
      </c>
      <c r="P120" s="292">
        <f>P119/P115</f>
        <v>0.5735585714</v>
      </c>
      <c r="Q120" s="291" t="s">
        <v>329</v>
      </c>
    </row>
    <row r="121" ht="15.75" customHeight="1">
      <c r="A121" s="307"/>
      <c r="B121" s="269">
        <f t="array" ref="B121">+XLOOKUP(C121,'Base de datos'!C:C,'Base de datos'!A:A,"",FALSE)</f>
        <v>39</v>
      </c>
      <c r="C121" s="270" t="s">
        <v>69</v>
      </c>
      <c r="D121" s="255" t="s">
        <v>14</v>
      </c>
      <c r="E121" s="256">
        <f t="array" ref="E121">+XLOOKUP(B121,'Base de datos'!A:A,'Base de datos'!H:H,0)</f>
        <v>1.04</v>
      </c>
      <c r="F121" s="271">
        <v>0.01</v>
      </c>
      <c r="G121" s="257"/>
      <c r="H121" s="258"/>
      <c r="I121" s="256">
        <f t="shared" si="16"/>
        <v>0.0104</v>
      </c>
      <c r="J121" s="241"/>
    </row>
    <row r="122" ht="15.75" customHeight="1">
      <c r="A122" s="307"/>
      <c r="B122" s="253" t="str">
        <f t="array" ref="B122">+XLOOKUP(C122,'Base de datos'!C:C,'Base de datos'!A:A,"",FALSE)</f>
        <v/>
      </c>
      <c r="C122" s="254"/>
      <c r="D122" s="255" t="s">
        <v>14</v>
      </c>
      <c r="E122" s="256">
        <f t="array" ref="E122">+XLOOKUP(B122,'Base de datos'!A:A,'Base de datos'!H:H,0)</f>
        <v>0</v>
      </c>
      <c r="F122" s="257"/>
      <c r="G122" s="257"/>
      <c r="H122" s="258"/>
      <c r="I122" s="256">
        <f t="shared" si="16"/>
        <v>0</v>
      </c>
      <c r="J122" s="241"/>
    </row>
    <row r="123" ht="15.75" customHeight="1">
      <c r="A123" s="307"/>
      <c r="B123" s="253" t="str">
        <f t="array" ref="B123">+XLOOKUP(C123,'Base de datos'!C:C,'Base de datos'!A:A,"",FALSE)</f>
        <v/>
      </c>
      <c r="C123" s="254"/>
      <c r="D123" s="255" t="s">
        <v>14</v>
      </c>
      <c r="E123" s="256">
        <f t="array" ref="E123">+XLOOKUP(B123,'Base de datos'!A:A,'Base de datos'!H:H,0)</f>
        <v>0</v>
      </c>
      <c r="F123" s="257"/>
      <c r="G123" s="257"/>
      <c r="H123" s="258"/>
      <c r="I123" s="256">
        <f t="shared" si="16"/>
        <v>0</v>
      </c>
      <c r="J123" s="241"/>
    </row>
    <row r="124" ht="15.75" customHeight="1">
      <c r="A124" s="307"/>
      <c r="B124" s="253" t="str">
        <f t="array" ref="B124">+XLOOKUP(C124,'Base de datos'!C:C,'Base de datos'!A:A,"",FALSE)</f>
        <v/>
      </c>
      <c r="C124" s="254"/>
      <c r="D124" s="255" t="s">
        <v>14</v>
      </c>
      <c r="E124" s="256">
        <f t="array" ref="E124">+XLOOKUP(B124,'Base de datos'!A:A,'Base de datos'!H:H,0)</f>
        <v>0</v>
      </c>
      <c r="F124" s="257"/>
      <c r="G124" s="257"/>
      <c r="H124" s="258" t="str">
        <f>IFERROR(1-G124/F124,"")</f>
        <v/>
      </c>
      <c r="I124" s="256">
        <f t="shared" si="16"/>
        <v>0</v>
      </c>
      <c r="J124" s="241"/>
    </row>
    <row r="125" ht="15.75" customHeight="1">
      <c r="A125" s="307"/>
      <c r="B125" s="240"/>
      <c r="C125" s="241"/>
      <c r="D125" s="242"/>
      <c r="E125" s="243"/>
      <c r="F125" s="244"/>
      <c r="G125" s="244"/>
      <c r="H125" s="241"/>
      <c r="I125" s="241"/>
      <c r="J125" s="241"/>
    </row>
    <row r="126" ht="15.75" customHeight="1">
      <c r="A126" s="307"/>
      <c r="B126" s="230"/>
      <c r="C126" s="230"/>
      <c r="D126" s="230"/>
      <c r="E126" s="231"/>
      <c r="F126" s="232"/>
      <c r="G126" s="232"/>
      <c r="H126" s="230"/>
      <c r="I126" s="230"/>
      <c r="J126" s="230"/>
      <c r="K126" s="230"/>
      <c r="L126" s="230"/>
      <c r="M126" s="233"/>
    </row>
    <row r="127" ht="15.75" customHeight="1">
      <c r="A127" s="307"/>
      <c r="B127" s="234"/>
      <c r="C127" s="235" t="s">
        <v>313</v>
      </c>
      <c r="D127" s="236" t="s">
        <v>230</v>
      </c>
      <c r="E127" s="237"/>
      <c r="F127" s="237"/>
      <c r="G127" s="237"/>
      <c r="H127" s="237"/>
      <c r="I127" s="237"/>
      <c r="J127" s="238"/>
      <c r="K127" s="231"/>
      <c r="L127" s="230"/>
      <c r="M127" s="233"/>
    </row>
    <row r="128" ht="15.75" customHeight="1">
      <c r="A128" s="307"/>
      <c r="B128" s="239"/>
      <c r="C128" s="230"/>
      <c r="D128" s="230"/>
      <c r="E128" s="231"/>
      <c r="F128" s="232"/>
      <c r="G128" s="232"/>
      <c r="H128" s="230"/>
      <c r="I128" s="230"/>
      <c r="J128" s="230"/>
      <c r="K128" s="230"/>
      <c r="L128" s="230"/>
      <c r="M128" s="233"/>
    </row>
    <row r="129" ht="15.75" customHeight="1">
      <c r="A129" s="307"/>
      <c r="B129" s="240"/>
      <c r="C129" s="241"/>
      <c r="D129" s="242"/>
      <c r="E129" s="243"/>
      <c r="F129" s="244"/>
      <c r="G129" s="244"/>
      <c r="H129" s="241"/>
      <c r="I129" s="241"/>
      <c r="J129" s="241"/>
      <c r="K129" s="241"/>
      <c r="L129" s="241"/>
    </row>
    <row r="130" ht="15.75" customHeight="1">
      <c r="A130" s="307"/>
      <c r="B130" s="246" t="s">
        <v>0</v>
      </c>
      <c r="C130" s="246" t="s">
        <v>315</v>
      </c>
      <c r="D130" s="246" t="s">
        <v>316</v>
      </c>
      <c r="E130" s="247" t="s">
        <v>317</v>
      </c>
      <c r="F130" s="248" t="s">
        <v>318</v>
      </c>
      <c r="G130" s="248" t="s">
        <v>319</v>
      </c>
      <c r="H130" s="246" t="s">
        <v>320</v>
      </c>
      <c r="I130" s="246" t="s">
        <v>321</v>
      </c>
      <c r="J130" s="249"/>
      <c r="K130" s="250" t="s">
        <v>322</v>
      </c>
      <c r="L130" s="251"/>
      <c r="M130" s="251"/>
    </row>
    <row r="131" ht="15.75" customHeight="1">
      <c r="A131" s="307"/>
      <c r="B131" s="253" t="str">
        <f t="array" ref="B131">+XLOOKUP(C131,'Base de datos'!C:C,'Base de datos'!A:A,"",FALSE)</f>
        <v/>
      </c>
      <c r="C131" s="254"/>
      <c r="D131" s="255" t="s">
        <v>14</v>
      </c>
      <c r="E131" s="256">
        <f t="array" ref="E131">+XLOOKUP(B131,'Base de datos'!A:A,'Base de datos'!H:H,0)</f>
        <v>0</v>
      </c>
      <c r="F131" s="257"/>
      <c r="G131" s="257"/>
      <c r="H131" s="258" t="str">
        <f t="shared" ref="H131:H137" si="17">IFERROR(1-G131/F131,"")</f>
        <v/>
      </c>
      <c r="I131" s="256">
        <f t="shared" ref="I131:I139" si="18">IFERROR(E131*F131,"")</f>
        <v>0</v>
      </c>
      <c r="J131" s="241"/>
      <c r="K131" s="259" t="s">
        <v>324</v>
      </c>
      <c r="L131" s="260">
        <f>SUM(I131:I139)</f>
        <v>1.715318182</v>
      </c>
      <c r="M131" s="261"/>
    </row>
    <row r="132" ht="15.75" customHeight="1">
      <c r="A132" s="307"/>
      <c r="B132" s="262" t="str">
        <f>BARBARA!K29</f>
        <v>#REF!</v>
      </c>
      <c r="C132" s="262" t="str">
        <f>BARBARA!C29</f>
        <v>#REF!</v>
      </c>
      <c r="D132" s="263" t="s">
        <v>14</v>
      </c>
      <c r="E132" s="264" t="str">
        <f>BARBARA!K35</f>
        <v>#REF!</v>
      </c>
      <c r="F132" s="265"/>
      <c r="G132" s="265"/>
      <c r="H132" s="266" t="str">
        <f t="shared" si="17"/>
        <v/>
      </c>
      <c r="I132" s="264" t="str">
        <f t="shared" si="18"/>
        <v/>
      </c>
      <c r="J132" s="241"/>
      <c r="K132" s="267" t="s">
        <v>325</v>
      </c>
      <c r="L132" s="268">
        <v>5.0</v>
      </c>
      <c r="M132" s="261"/>
    </row>
    <row r="133" ht="15.75" customHeight="1">
      <c r="A133" s="307"/>
      <c r="B133" s="269">
        <f t="array" ref="B133">+XLOOKUP(C133,'Base de datos'!C:C,'Base de datos'!A:A,"",FALSE)</f>
        <v>63</v>
      </c>
      <c r="C133" s="270" t="s">
        <v>89</v>
      </c>
      <c r="D133" s="255" t="s">
        <v>14</v>
      </c>
      <c r="E133" s="256">
        <f t="array" ref="E133">+XLOOKUP(B133,'Base de datos'!A:A,'Base de datos'!H:H,0)</f>
        <v>6.15</v>
      </c>
      <c r="F133" s="271">
        <v>0.1</v>
      </c>
      <c r="G133" s="271"/>
      <c r="H133" s="258">
        <f t="shared" si="17"/>
        <v>1</v>
      </c>
      <c r="I133" s="256">
        <f t="shared" si="18"/>
        <v>0.615</v>
      </c>
      <c r="J133" s="241"/>
      <c r="K133" s="272" t="s">
        <v>326</v>
      </c>
      <c r="L133" s="273">
        <f>L132/1.1</f>
        <v>4.545454545</v>
      </c>
      <c r="M133" s="274"/>
    </row>
    <row r="134" ht="15.75" customHeight="1">
      <c r="A134" s="307"/>
      <c r="B134" s="269">
        <f t="array" ref="B134">+XLOOKUP(C134,'Base de datos'!C:C,'Base de datos'!A:A,"",FALSE)</f>
        <v>110</v>
      </c>
      <c r="C134" s="270" t="s">
        <v>134</v>
      </c>
      <c r="D134" s="275" t="s">
        <v>20</v>
      </c>
      <c r="E134" s="256">
        <f t="array" ref="E134">+XLOOKUP(B134,'Base de datos'!A:A,'Base de datos'!H:H,0)</f>
        <v>0.2818181818</v>
      </c>
      <c r="F134" s="271">
        <v>1.0</v>
      </c>
      <c r="G134" s="271"/>
      <c r="H134" s="258">
        <f t="shared" si="17"/>
        <v>1</v>
      </c>
      <c r="I134" s="256">
        <f t="shared" si="18"/>
        <v>0.2818181818</v>
      </c>
      <c r="J134" s="241"/>
      <c r="K134" s="276" t="s">
        <v>327</v>
      </c>
      <c r="L134" s="277">
        <v>0.1</v>
      </c>
      <c r="M134" s="278"/>
    </row>
    <row r="135" ht="15.75" customHeight="1">
      <c r="A135" s="307"/>
      <c r="B135" s="269">
        <f t="array" ref="B135">+XLOOKUP(C135,'Base de datos'!C:C,'Base de datos'!A:A,"",FALSE)</f>
        <v>58</v>
      </c>
      <c r="C135" s="270" t="s">
        <v>85</v>
      </c>
      <c r="D135" s="275" t="s">
        <v>14</v>
      </c>
      <c r="E135" s="256">
        <f t="array" ref="E135">+XLOOKUP(B135,'Base de datos'!A:A,'Base de datos'!H:H,0)</f>
        <v>2.15</v>
      </c>
      <c r="F135" s="271">
        <v>0.09</v>
      </c>
      <c r="G135" s="271"/>
      <c r="H135" s="258">
        <f t="shared" si="17"/>
        <v>1</v>
      </c>
      <c r="I135" s="256">
        <f t="shared" si="18"/>
        <v>0.1935</v>
      </c>
      <c r="J135" s="241"/>
      <c r="K135" s="279" t="s">
        <v>328</v>
      </c>
      <c r="L135" s="280">
        <f>L131/L133*100</f>
        <v>37.737</v>
      </c>
      <c r="M135" s="281" t="s">
        <v>329</v>
      </c>
    </row>
    <row r="136" ht="15.75" customHeight="1">
      <c r="A136" s="307"/>
      <c r="B136" s="269">
        <f t="array" ref="B136">+XLOOKUP(C136,'Base de datos'!C:C,'Base de datos'!A:A,"",FALSE)</f>
        <v>29</v>
      </c>
      <c r="C136" s="270" t="s">
        <v>54</v>
      </c>
      <c r="D136" s="275" t="s">
        <v>20</v>
      </c>
      <c r="E136" s="256">
        <f t="array" ref="E136">+XLOOKUP(B136,'Base de datos'!A:A,'Base de datos'!H:H,0)</f>
        <v>0.1946</v>
      </c>
      <c r="F136" s="271">
        <v>1.0</v>
      </c>
      <c r="G136" s="271"/>
      <c r="H136" s="258">
        <f t="shared" si="17"/>
        <v>1</v>
      </c>
      <c r="I136" s="256">
        <f t="shared" si="18"/>
        <v>0.1946</v>
      </c>
      <c r="J136" s="241"/>
      <c r="K136" s="282" t="s">
        <v>330</v>
      </c>
      <c r="L136" s="283">
        <f>100-L135</f>
        <v>62.263</v>
      </c>
      <c r="M136" s="284" t="s">
        <v>329</v>
      </c>
    </row>
    <row r="137" ht="15.75" customHeight="1">
      <c r="A137" s="307"/>
      <c r="B137" s="269">
        <f t="array" ref="B137">+XLOOKUP(C137,'Base de datos'!C:C,'Base de datos'!A:A,"",FALSE)</f>
        <v>93</v>
      </c>
      <c r="C137" s="270" t="s">
        <v>114</v>
      </c>
      <c r="D137" s="275" t="s">
        <v>20</v>
      </c>
      <c r="E137" s="256">
        <f t="array" ref="E137">+XLOOKUP(B137,'Base de datos'!A:A,'Base de datos'!H:H,0)</f>
        <v>0.0277</v>
      </c>
      <c r="F137" s="271">
        <v>2.0</v>
      </c>
      <c r="G137" s="271"/>
      <c r="H137" s="258">
        <f t="shared" si="17"/>
        <v>1</v>
      </c>
      <c r="I137" s="256">
        <f t="shared" si="18"/>
        <v>0.0554</v>
      </c>
      <c r="J137" s="241"/>
      <c r="L137" s="288"/>
    </row>
    <row r="138" ht="15.75" customHeight="1">
      <c r="A138" s="307"/>
      <c r="B138" s="269">
        <f t="array" ref="B138">+XLOOKUP(C138,'Base de datos'!C:C,'Base de datos'!A:A,"",FALSE)</f>
        <v>34</v>
      </c>
      <c r="C138" s="270" t="s">
        <v>63</v>
      </c>
      <c r="D138" s="255" t="s">
        <v>14</v>
      </c>
      <c r="E138" s="256">
        <f t="array" ref="E138">+XLOOKUP(B138,'Base de datos'!A:A,'Base de datos'!H:H,0)</f>
        <v>3.75</v>
      </c>
      <c r="F138" s="271">
        <v>0.1</v>
      </c>
      <c r="G138" s="257"/>
      <c r="H138" s="258"/>
      <c r="I138" s="256">
        <f t="shared" si="18"/>
        <v>0.375</v>
      </c>
      <c r="J138" s="241"/>
      <c r="L138" s="288"/>
    </row>
    <row r="139" ht="15.75" customHeight="1">
      <c r="A139" s="307"/>
      <c r="B139" s="253" t="str">
        <f t="array" ref="B139">+XLOOKUP(C139,'Base de datos'!C:C,'Base de datos'!A:A,"",FALSE)</f>
        <v/>
      </c>
      <c r="C139" s="254"/>
      <c r="D139" s="255" t="s">
        <v>14</v>
      </c>
      <c r="E139" s="256">
        <f t="array" ref="E139">+XLOOKUP(B139,'Base de datos'!A:A,'Base de datos'!H:H,0)</f>
        <v>0</v>
      </c>
      <c r="F139" s="257"/>
      <c r="G139" s="257"/>
      <c r="H139" s="258"/>
      <c r="I139" s="256">
        <f t="shared" si="18"/>
        <v>0</v>
      </c>
      <c r="J139" s="241"/>
      <c r="L139" s="288"/>
    </row>
    <row r="140" ht="15.75" customHeight="1">
      <c r="A140" s="307"/>
      <c r="B140" s="307"/>
      <c r="D140" s="308"/>
      <c r="E140" s="309"/>
    </row>
    <row r="141" ht="15.75" customHeight="1">
      <c r="A141" s="307"/>
      <c r="B141" s="307"/>
      <c r="D141" s="308"/>
      <c r="E141" s="309"/>
    </row>
    <row r="142" ht="15.75" customHeight="1">
      <c r="A142" s="307"/>
      <c r="B142" s="230"/>
      <c r="C142" s="230"/>
      <c r="D142" s="230"/>
      <c r="E142" s="231"/>
      <c r="F142" s="232"/>
      <c r="G142" s="232"/>
      <c r="H142" s="230"/>
      <c r="I142" s="230"/>
      <c r="J142" s="230"/>
      <c r="K142" s="230"/>
      <c r="L142" s="230"/>
      <c r="M142" s="233"/>
    </row>
    <row r="143" ht="15.75" customHeight="1">
      <c r="A143" s="307"/>
      <c r="B143" s="234"/>
      <c r="C143" s="235" t="s">
        <v>313</v>
      </c>
      <c r="D143" s="236" t="s">
        <v>231</v>
      </c>
      <c r="E143" s="237"/>
      <c r="F143" s="237"/>
      <c r="G143" s="237"/>
      <c r="H143" s="237"/>
      <c r="I143" s="237"/>
      <c r="J143" s="238"/>
      <c r="K143" s="231"/>
      <c r="L143" s="230"/>
      <c r="M143" s="233"/>
    </row>
    <row r="144" ht="15.75" customHeight="1">
      <c r="A144" s="307"/>
      <c r="B144" s="239"/>
      <c r="C144" s="230"/>
      <c r="D144" s="230"/>
      <c r="E144" s="231"/>
      <c r="F144" s="232"/>
      <c r="G144" s="232"/>
      <c r="H144" s="230"/>
      <c r="I144" s="230"/>
      <c r="J144" s="230"/>
      <c r="K144" s="230"/>
      <c r="L144" s="230"/>
      <c r="M144" s="233"/>
    </row>
    <row r="145" ht="15.75" customHeight="1">
      <c r="A145" s="307"/>
      <c r="B145" s="240"/>
      <c r="C145" s="241"/>
      <c r="D145" s="242"/>
      <c r="E145" s="243"/>
      <c r="F145" s="244"/>
      <c r="G145" s="244"/>
      <c r="H145" s="241"/>
      <c r="I145" s="241"/>
      <c r="J145" s="241"/>
      <c r="K145" s="241"/>
      <c r="L145" s="241"/>
    </row>
    <row r="146" ht="15.75" customHeight="1">
      <c r="A146" s="307"/>
      <c r="B146" s="246" t="s">
        <v>0</v>
      </c>
      <c r="C146" s="246" t="s">
        <v>315</v>
      </c>
      <c r="D146" s="246" t="s">
        <v>316</v>
      </c>
      <c r="E146" s="247" t="s">
        <v>317</v>
      </c>
      <c r="F146" s="248" t="s">
        <v>318</v>
      </c>
      <c r="G146" s="248" t="s">
        <v>319</v>
      </c>
      <c r="H146" s="246" t="s">
        <v>320</v>
      </c>
      <c r="I146" s="246" t="s">
        <v>321</v>
      </c>
      <c r="J146" s="249"/>
      <c r="K146" s="250" t="s">
        <v>322</v>
      </c>
      <c r="L146" s="251"/>
      <c r="M146" s="251"/>
      <c r="O146" s="250" t="s">
        <v>323</v>
      </c>
      <c r="P146" s="251"/>
      <c r="Q146" s="251"/>
    </row>
    <row r="147" ht="15.75" customHeight="1">
      <c r="A147" s="307"/>
      <c r="B147" s="253" t="str">
        <f t="array" ref="B147">+XLOOKUP(C147,'Base de datos'!C:C,'Base de datos'!A:A,"",FALSE)</f>
        <v/>
      </c>
      <c r="C147" s="254"/>
      <c r="D147" s="255" t="s">
        <v>14</v>
      </c>
      <c r="E147" s="256">
        <f t="array" ref="E147">+XLOOKUP(B147,'Base de datos'!A:A,'Base de datos'!H:H,0)</f>
        <v>0</v>
      </c>
      <c r="F147" s="257"/>
      <c r="G147" s="257"/>
      <c r="H147" s="258" t="str">
        <f t="shared" ref="H147:H150" si="19">IFERROR(1-G147/F147,"")</f>
        <v/>
      </c>
      <c r="I147" s="256">
        <f t="shared" ref="I147:I152" si="20">IFERROR(E147*F147,"")</f>
        <v>0</v>
      </c>
      <c r="J147" s="241"/>
      <c r="K147" s="259" t="s">
        <v>324</v>
      </c>
      <c r="L147" s="260">
        <f>SUM(I147:I158)</f>
        <v>1.523848182</v>
      </c>
      <c r="M147" s="261"/>
      <c r="O147" s="259" t="s">
        <v>324</v>
      </c>
      <c r="P147" s="260">
        <f>L147</f>
        <v>1.523848182</v>
      </c>
      <c r="Q147" s="261"/>
    </row>
    <row r="148" ht="15.75" customHeight="1">
      <c r="A148" s="307"/>
      <c r="B148" s="262" t="str">
        <f>CRISTIAN!K29</f>
        <v>#REF!</v>
      </c>
      <c r="C148" s="262" t="str">
        <f>CRISTIAN!C29</f>
        <v>#REF!</v>
      </c>
      <c r="D148" s="263" t="s">
        <v>14</v>
      </c>
      <c r="E148" s="264" t="str">
        <f>CRISTIAN!K35</f>
        <v>#REF!</v>
      </c>
      <c r="F148" s="265"/>
      <c r="G148" s="265"/>
      <c r="H148" s="266" t="str">
        <f t="shared" si="19"/>
        <v/>
      </c>
      <c r="I148" s="264" t="str">
        <f t="shared" si="20"/>
        <v/>
      </c>
      <c r="J148" s="241"/>
      <c r="K148" s="267" t="s">
        <v>325</v>
      </c>
      <c r="L148" s="268">
        <v>7.0</v>
      </c>
      <c r="M148" s="261"/>
      <c r="O148" s="267" t="s">
        <v>325</v>
      </c>
      <c r="P148" s="268"/>
      <c r="Q148" s="261"/>
    </row>
    <row r="149" ht="15.75" customHeight="1">
      <c r="A149" s="307"/>
      <c r="B149" s="269">
        <f t="array" ref="B149">+XLOOKUP(C149,'Base de datos'!C:C,'Base de datos'!A:A,"",FALSE)</f>
        <v>62</v>
      </c>
      <c r="C149" s="270" t="s">
        <v>87</v>
      </c>
      <c r="D149" s="255" t="s">
        <v>14</v>
      </c>
      <c r="E149" s="256">
        <f t="array" ref="E149">+XLOOKUP(B149,'Base de datos'!A:A,'Base de datos'!H:H,0)</f>
        <v>5.6</v>
      </c>
      <c r="F149" s="271">
        <v>0.1</v>
      </c>
      <c r="G149" s="271"/>
      <c r="H149" s="258">
        <f t="shared" si="19"/>
        <v>1</v>
      </c>
      <c r="I149" s="256">
        <f t="shared" si="20"/>
        <v>0.56</v>
      </c>
      <c r="J149" s="241"/>
      <c r="K149" s="272" t="s">
        <v>326</v>
      </c>
      <c r="L149" s="273">
        <f>L148/1.1</f>
        <v>6.363636364</v>
      </c>
      <c r="M149" s="274"/>
      <c r="O149" s="272" t="s">
        <v>326</v>
      </c>
      <c r="P149" s="273">
        <f>P148/1.1</f>
        <v>0</v>
      </c>
      <c r="Q149" s="274"/>
    </row>
    <row r="150" ht="15.75" customHeight="1">
      <c r="A150" s="307"/>
      <c r="B150" s="269">
        <f t="array" ref="B150">+XLOOKUP(C150,'Base de datos'!C:C,'Base de datos'!A:A,"",FALSE)</f>
        <v>110</v>
      </c>
      <c r="C150" s="270" t="s">
        <v>134</v>
      </c>
      <c r="D150" s="275" t="s">
        <v>20</v>
      </c>
      <c r="E150" s="256">
        <f t="array" ref="E150">+XLOOKUP(B150,'Base de datos'!A:A,'Base de datos'!H:H,0)</f>
        <v>0.2818181818</v>
      </c>
      <c r="F150" s="271">
        <v>1.0</v>
      </c>
      <c r="G150" s="271"/>
      <c r="H150" s="258">
        <f t="shared" si="19"/>
        <v>1</v>
      </c>
      <c r="I150" s="256">
        <f t="shared" si="20"/>
        <v>0.2818181818</v>
      </c>
      <c r="J150" s="241"/>
      <c r="K150" s="276" t="s">
        <v>327</v>
      </c>
      <c r="L150" s="277">
        <v>0.1</v>
      </c>
      <c r="M150" s="278"/>
      <c r="O150" s="276" t="s">
        <v>327</v>
      </c>
      <c r="P150" s="277">
        <v>0.1</v>
      </c>
      <c r="Q150" s="278"/>
    </row>
    <row r="151" ht="15.75" customHeight="1">
      <c r="A151" s="307"/>
      <c r="B151" s="269">
        <f t="array" ref="B151">+XLOOKUP(C151,'Base de datos'!C:C,'Base de datos'!A:A,"",FALSE)</f>
        <v>22</v>
      </c>
      <c r="C151" s="270" t="s">
        <v>45</v>
      </c>
      <c r="D151" s="255" t="s">
        <v>14</v>
      </c>
      <c r="E151" s="256">
        <f t="array" ref="E151">+XLOOKUP(B151,'Base de datos'!A:A,'Base de datos'!H:H,0)</f>
        <v>7.11</v>
      </c>
      <c r="F151" s="271">
        <v>0.02</v>
      </c>
      <c r="G151" s="257"/>
      <c r="H151" s="258"/>
      <c r="I151" s="256">
        <f t="shared" si="20"/>
        <v>0.1422</v>
      </c>
      <c r="J151" s="241"/>
      <c r="K151" s="279" t="s">
        <v>328</v>
      </c>
      <c r="L151" s="280">
        <f>L147/L149*100</f>
        <v>23.94618571</v>
      </c>
      <c r="M151" s="281" t="s">
        <v>329</v>
      </c>
      <c r="O151" s="279" t="s">
        <v>328</v>
      </c>
      <c r="P151" s="280" t="str">
        <f>P147/P149*100</f>
        <v>#DIV/0!</v>
      </c>
      <c r="Q151" s="281" t="s">
        <v>329</v>
      </c>
    </row>
    <row r="152" ht="15.75" customHeight="1">
      <c r="A152" s="307"/>
      <c r="B152" s="269">
        <f t="array" ref="B152">+XLOOKUP(C152,'Base de datos'!C:C,'Base de datos'!A:A,"",FALSE)</f>
        <v>4</v>
      </c>
      <c r="C152" s="270" t="s">
        <v>16</v>
      </c>
      <c r="D152" s="255" t="s">
        <v>14</v>
      </c>
      <c r="E152" s="256">
        <f t="array" ref="E152">+XLOOKUP(B152,'Base de datos'!A:A,'Base de datos'!H:H,0)</f>
        <v>4.8165</v>
      </c>
      <c r="F152" s="271">
        <v>0.02</v>
      </c>
      <c r="G152" s="257"/>
      <c r="H152" s="258"/>
      <c r="I152" s="256">
        <f t="shared" si="20"/>
        <v>0.09633</v>
      </c>
      <c r="J152" s="241"/>
      <c r="K152" s="282" t="s">
        <v>330</v>
      </c>
      <c r="L152" s="283">
        <f>100-L151</f>
        <v>76.05381429</v>
      </c>
      <c r="M152" s="284" t="s">
        <v>329</v>
      </c>
      <c r="O152" s="285" t="s">
        <v>330</v>
      </c>
      <c r="P152" s="286">
        <f>P149-P147</f>
        <v>-1.523848182</v>
      </c>
      <c r="Q152" s="287" t="s">
        <v>331</v>
      </c>
    </row>
    <row r="153" ht="15.75" customHeight="1">
      <c r="A153" s="307"/>
      <c r="B153" s="253"/>
      <c r="C153" s="270"/>
      <c r="D153" s="255"/>
      <c r="E153" s="256"/>
      <c r="F153" s="271"/>
      <c r="G153" s="257"/>
      <c r="H153" s="258"/>
      <c r="I153" s="256"/>
      <c r="J153" s="241"/>
      <c r="L153" s="288"/>
      <c r="O153" s="289" t="s">
        <v>332</v>
      </c>
      <c r="P153" s="290">
        <f>P149-P147-(P148*0.2)</f>
        <v>-1.523848182</v>
      </c>
      <c r="Q153" s="291" t="s">
        <v>331</v>
      </c>
    </row>
    <row r="154" ht="15.75" customHeight="1">
      <c r="A154" s="307"/>
      <c r="B154" s="253"/>
      <c r="C154" s="270"/>
      <c r="D154" s="255"/>
      <c r="E154" s="256"/>
      <c r="F154" s="271"/>
      <c r="G154" s="257"/>
      <c r="H154" s="258"/>
      <c r="I154" s="256"/>
      <c r="J154" s="241"/>
      <c r="O154" s="289" t="s">
        <v>332</v>
      </c>
      <c r="P154" s="292" t="str">
        <f>P153/P149</f>
        <v>#DIV/0!</v>
      </c>
      <c r="Q154" s="291" t="s">
        <v>329</v>
      </c>
    </row>
    <row r="155" ht="15.75" customHeight="1">
      <c r="A155" s="307"/>
      <c r="B155" s="253"/>
      <c r="C155" s="270"/>
      <c r="D155" s="255"/>
      <c r="E155" s="256"/>
      <c r="F155" s="271"/>
      <c r="G155" s="257"/>
      <c r="H155" s="258"/>
      <c r="I155" s="256"/>
      <c r="J155" s="241"/>
    </row>
    <row r="156" ht="15.75" customHeight="1">
      <c r="A156" s="307"/>
      <c r="B156" s="269">
        <f t="array" ref="B156">+XLOOKUP(C156,'Base de datos'!C:C,'Base de datos'!A:A,"",FALSE)</f>
        <v>58</v>
      </c>
      <c r="C156" s="270" t="s">
        <v>85</v>
      </c>
      <c r="D156" s="275" t="s">
        <v>14</v>
      </c>
      <c r="E156" s="256">
        <f t="array" ref="E156">+XLOOKUP(B156,'Base de datos'!A:A,'Base de datos'!H:H,0)</f>
        <v>2.15</v>
      </c>
      <c r="F156" s="271">
        <v>0.09</v>
      </c>
      <c r="G156" s="271"/>
      <c r="H156" s="258">
        <f t="shared" ref="H156:H158" si="21">IFERROR(1-G156/F156,"")</f>
        <v>1</v>
      </c>
      <c r="I156" s="256">
        <f t="shared" ref="I156:I158" si="22">IFERROR(E156*F156,"")</f>
        <v>0.1935</v>
      </c>
      <c r="J156" s="241"/>
    </row>
    <row r="157" ht="15.75" customHeight="1">
      <c r="A157" s="307"/>
      <c r="B157" s="269">
        <f t="array" ref="B157">+XLOOKUP(C157,'Base de datos'!C:C,'Base de datos'!A:A,"",FALSE)</f>
        <v>29</v>
      </c>
      <c r="C157" s="270" t="s">
        <v>54</v>
      </c>
      <c r="D157" s="275" t="s">
        <v>20</v>
      </c>
      <c r="E157" s="256">
        <f t="array" ref="E157">+XLOOKUP(B157,'Base de datos'!A:A,'Base de datos'!H:H,0)</f>
        <v>0.1946</v>
      </c>
      <c r="F157" s="271">
        <v>1.0</v>
      </c>
      <c r="G157" s="271"/>
      <c r="H157" s="258">
        <f t="shared" si="21"/>
        <v>1</v>
      </c>
      <c r="I157" s="256">
        <f t="shared" si="22"/>
        <v>0.1946</v>
      </c>
      <c r="J157" s="241"/>
    </row>
    <row r="158" ht="15.75" customHeight="1">
      <c r="A158" s="307"/>
      <c r="B158" s="269">
        <f t="array" ref="B158">+XLOOKUP(C158,'Base de datos'!C:C,'Base de datos'!A:A,"",FALSE)</f>
        <v>93</v>
      </c>
      <c r="C158" s="270" t="s">
        <v>114</v>
      </c>
      <c r="D158" s="275" t="s">
        <v>20</v>
      </c>
      <c r="E158" s="256">
        <f t="array" ref="E158">+XLOOKUP(B158,'Base de datos'!A:A,'Base de datos'!H:H,0)</f>
        <v>0.0277</v>
      </c>
      <c r="F158" s="271">
        <v>2.0</v>
      </c>
      <c r="G158" s="271"/>
      <c r="H158" s="258">
        <f t="shared" si="21"/>
        <v>1</v>
      </c>
      <c r="I158" s="256">
        <f t="shared" si="22"/>
        <v>0.0554</v>
      </c>
      <c r="J158" s="241"/>
    </row>
    <row r="159" ht="15.75" customHeight="1">
      <c r="A159" s="307"/>
      <c r="B159" s="240"/>
      <c r="C159" s="241"/>
      <c r="D159" s="242"/>
      <c r="E159" s="243"/>
      <c r="F159" s="244"/>
      <c r="G159" s="244"/>
      <c r="H159" s="241"/>
      <c r="I159" s="241"/>
      <c r="J159" s="241"/>
    </row>
    <row r="160" ht="15.75" customHeight="1">
      <c r="A160" s="307"/>
      <c r="B160" s="307"/>
      <c r="D160" s="308"/>
      <c r="E160" s="309"/>
    </row>
    <row r="161" ht="15.75" customHeight="1">
      <c r="A161" s="307"/>
      <c r="B161" s="230"/>
      <c r="C161" s="230"/>
      <c r="D161" s="230"/>
      <c r="E161" s="231"/>
      <c r="F161" s="232"/>
      <c r="G161" s="232"/>
      <c r="H161" s="230"/>
      <c r="I161" s="230"/>
      <c r="J161" s="230"/>
      <c r="K161" s="230"/>
      <c r="L161" s="230"/>
      <c r="M161" s="233"/>
    </row>
    <row r="162" ht="15.75" customHeight="1">
      <c r="A162" s="307"/>
      <c r="B162" s="234"/>
      <c r="C162" s="235" t="s">
        <v>313</v>
      </c>
      <c r="D162" s="236" t="s">
        <v>233</v>
      </c>
      <c r="E162" s="237"/>
      <c r="F162" s="237"/>
      <c r="G162" s="237"/>
      <c r="H162" s="237"/>
      <c r="I162" s="237"/>
      <c r="J162" s="238"/>
      <c r="K162" s="231"/>
      <c r="L162" s="230"/>
      <c r="M162" s="233"/>
    </row>
    <row r="163" ht="15.75" customHeight="1">
      <c r="A163" s="307"/>
      <c r="B163" s="239"/>
      <c r="C163" s="230"/>
      <c r="D163" s="230"/>
      <c r="E163" s="231"/>
      <c r="F163" s="232"/>
      <c r="G163" s="232"/>
      <c r="H163" s="230"/>
      <c r="I163" s="230"/>
      <c r="J163" s="230"/>
      <c r="K163" s="230"/>
      <c r="L163" s="230"/>
      <c r="M163" s="233"/>
    </row>
    <row r="164" ht="15.75" customHeight="1">
      <c r="A164" s="307"/>
      <c r="B164" s="240"/>
      <c r="C164" s="241"/>
      <c r="D164" s="242"/>
      <c r="E164" s="243"/>
      <c r="F164" s="244"/>
      <c r="G164" s="244"/>
      <c r="H164" s="241"/>
      <c r="I164" s="241"/>
      <c r="J164" s="241"/>
      <c r="K164" s="241"/>
      <c r="L164" s="241"/>
    </row>
    <row r="165" ht="15.75" customHeight="1">
      <c r="A165" s="307"/>
      <c r="B165" s="246" t="s">
        <v>0</v>
      </c>
      <c r="C165" s="246" t="s">
        <v>315</v>
      </c>
      <c r="D165" s="246" t="s">
        <v>316</v>
      </c>
      <c r="E165" s="247" t="s">
        <v>317</v>
      </c>
      <c r="F165" s="248" t="s">
        <v>318</v>
      </c>
      <c r="G165" s="248" t="s">
        <v>319</v>
      </c>
      <c r="H165" s="246" t="s">
        <v>320</v>
      </c>
      <c r="I165" s="246" t="s">
        <v>321</v>
      </c>
      <c r="J165" s="249"/>
      <c r="K165" s="250" t="s">
        <v>322</v>
      </c>
      <c r="L165" s="251"/>
      <c r="M165" s="251"/>
      <c r="O165" s="250" t="s">
        <v>323</v>
      </c>
      <c r="P165" s="251"/>
      <c r="Q165" s="251"/>
    </row>
    <row r="166" ht="15.75" customHeight="1">
      <c r="A166" s="307"/>
      <c r="B166" s="253" t="str">
        <f t="array" ref="B166">+XLOOKUP(C166,'Base de datos'!C:C,'Base de datos'!A:A,"",FALSE)</f>
        <v/>
      </c>
      <c r="C166" s="254"/>
      <c r="D166" s="255" t="s">
        <v>14</v>
      </c>
      <c r="E166" s="256">
        <f t="array" ref="E166">+XLOOKUP(B166,'Base de datos'!A:A,'Base de datos'!H:H,0)</f>
        <v>0</v>
      </c>
      <c r="F166" s="257"/>
      <c r="G166" s="257"/>
      <c r="H166" s="258" t="str">
        <f t="shared" ref="H166:H172" si="23">IFERROR(1-G166/F166,"")</f>
        <v/>
      </c>
      <c r="I166" s="256">
        <f t="shared" ref="I166:I177" si="24">IFERROR(E166*F166,"")</f>
        <v>0</v>
      </c>
      <c r="J166" s="241"/>
      <c r="K166" s="259" t="s">
        <v>324</v>
      </c>
      <c r="L166" s="260">
        <f>SUM(I166:I177)</f>
        <v>1.510648182</v>
      </c>
      <c r="M166" s="261"/>
      <c r="O166" s="259" t="s">
        <v>324</v>
      </c>
      <c r="P166" s="260">
        <f>L166</f>
        <v>1.510648182</v>
      </c>
      <c r="Q166" s="261"/>
    </row>
    <row r="167" ht="15.75" customHeight="1">
      <c r="A167" s="307"/>
      <c r="B167" s="262" t="str">
        <f>GUARRITO!K29</f>
        <v>#REF!</v>
      </c>
      <c r="C167" s="262" t="str">
        <f>GUARRITO!C29</f>
        <v>#REF!</v>
      </c>
      <c r="D167" s="263" t="s">
        <v>14</v>
      </c>
      <c r="E167" s="264" t="str">
        <f>GUARRITO!K35</f>
        <v>#REF!</v>
      </c>
      <c r="F167" s="265"/>
      <c r="G167" s="265"/>
      <c r="H167" s="266" t="str">
        <f t="shared" si="23"/>
        <v/>
      </c>
      <c r="I167" s="264" t="str">
        <f t="shared" si="24"/>
        <v/>
      </c>
      <c r="J167" s="241"/>
      <c r="K167" s="267" t="s">
        <v>325</v>
      </c>
      <c r="L167" s="268">
        <v>7.0</v>
      </c>
      <c r="M167" s="261"/>
      <c r="O167" s="267" t="s">
        <v>325</v>
      </c>
      <c r="P167" s="268">
        <v>8.9</v>
      </c>
      <c r="Q167" s="261"/>
    </row>
    <row r="168" ht="15.75" customHeight="1">
      <c r="A168" s="307"/>
      <c r="B168" s="269">
        <f t="array" ref="B168">+XLOOKUP(C168,'Base de datos'!C:C,'Base de datos'!A:A,"",FALSE)</f>
        <v>116</v>
      </c>
      <c r="C168" s="270" t="s">
        <v>141</v>
      </c>
      <c r="D168" s="255" t="s">
        <v>14</v>
      </c>
      <c r="E168" s="256">
        <f t="array" ref="E168">+XLOOKUP(B168,'Base de datos'!A:A,'Base de datos'!H:H,0)</f>
        <v>5.49</v>
      </c>
      <c r="F168" s="271">
        <v>0.1</v>
      </c>
      <c r="G168" s="271"/>
      <c r="H168" s="258">
        <f t="shared" si="23"/>
        <v>1</v>
      </c>
      <c r="I168" s="256">
        <f t="shared" si="24"/>
        <v>0.549</v>
      </c>
      <c r="J168" s="241"/>
      <c r="K168" s="272" t="s">
        <v>326</v>
      </c>
      <c r="L168" s="273">
        <f>L167/1.1</f>
        <v>6.363636364</v>
      </c>
      <c r="M168" s="274"/>
      <c r="O168" s="272" t="s">
        <v>326</v>
      </c>
      <c r="P168" s="273">
        <f>P167/1.1</f>
        <v>8.090909091</v>
      </c>
      <c r="Q168" s="274"/>
    </row>
    <row r="169" ht="15.75" customHeight="1">
      <c r="A169" s="307"/>
      <c r="B169" s="269">
        <f t="array" ref="B169">+XLOOKUP(C169,'Base de datos'!C:C,'Base de datos'!A:A,"",FALSE)</f>
        <v>110</v>
      </c>
      <c r="C169" s="270" t="s">
        <v>134</v>
      </c>
      <c r="D169" s="275" t="s">
        <v>20</v>
      </c>
      <c r="E169" s="256">
        <f t="array" ref="E169">+XLOOKUP(B169,'Base de datos'!A:A,'Base de datos'!H:H,0)</f>
        <v>0.2818181818</v>
      </c>
      <c r="F169" s="271">
        <v>1.0</v>
      </c>
      <c r="G169" s="271"/>
      <c r="H169" s="258">
        <f t="shared" si="23"/>
        <v>1</v>
      </c>
      <c r="I169" s="256">
        <f t="shared" si="24"/>
        <v>0.2818181818</v>
      </c>
      <c r="J169" s="241"/>
      <c r="K169" s="276" t="s">
        <v>327</v>
      </c>
      <c r="L169" s="277">
        <v>0.1</v>
      </c>
      <c r="M169" s="278"/>
      <c r="O169" s="276" t="s">
        <v>327</v>
      </c>
      <c r="P169" s="277">
        <v>0.1</v>
      </c>
      <c r="Q169" s="278"/>
    </row>
    <row r="170" ht="15.75" customHeight="1">
      <c r="A170" s="307"/>
      <c r="B170" s="269">
        <f t="array" ref="B170">+XLOOKUP(C170,'Base de datos'!C:C,'Base de datos'!A:A,"",FALSE)</f>
        <v>58</v>
      </c>
      <c r="C170" s="270" t="s">
        <v>85</v>
      </c>
      <c r="D170" s="275" t="s">
        <v>14</v>
      </c>
      <c r="E170" s="256">
        <f t="array" ref="E170">+XLOOKUP(B170,'Base de datos'!A:A,'Base de datos'!H:H,0)</f>
        <v>2.15</v>
      </c>
      <c r="F170" s="271">
        <v>0.09</v>
      </c>
      <c r="G170" s="271"/>
      <c r="H170" s="258">
        <f t="shared" si="23"/>
        <v>1</v>
      </c>
      <c r="I170" s="256">
        <f t="shared" si="24"/>
        <v>0.1935</v>
      </c>
      <c r="J170" s="241"/>
      <c r="K170" s="279" t="s">
        <v>328</v>
      </c>
      <c r="L170" s="280">
        <f>L166/L168*100</f>
        <v>23.73875714</v>
      </c>
      <c r="M170" s="281" t="s">
        <v>329</v>
      </c>
      <c r="O170" s="279" t="s">
        <v>328</v>
      </c>
      <c r="P170" s="280">
        <f>P166/P168*100</f>
        <v>18.67093258</v>
      </c>
      <c r="Q170" s="281" t="s">
        <v>329</v>
      </c>
    </row>
    <row r="171" ht="15.75" customHeight="1">
      <c r="A171" s="307"/>
      <c r="B171" s="269">
        <f t="array" ref="B171">+XLOOKUP(C171,'Base de datos'!C:C,'Base de datos'!A:A,"",FALSE)</f>
        <v>29</v>
      </c>
      <c r="C171" s="270" t="s">
        <v>54</v>
      </c>
      <c r="D171" s="275" t="s">
        <v>20</v>
      </c>
      <c r="E171" s="256">
        <f t="array" ref="E171">+XLOOKUP(B171,'Base de datos'!A:A,'Base de datos'!H:H,0)</f>
        <v>0.1946</v>
      </c>
      <c r="F171" s="271">
        <v>1.0</v>
      </c>
      <c r="G171" s="271"/>
      <c r="H171" s="258">
        <f t="shared" si="23"/>
        <v>1</v>
      </c>
      <c r="I171" s="256">
        <f t="shared" si="24"/>
        <v>0.1946</v>
      </c>
      <c r="J171" s="241"/>
      <c r="K171" s="282" t="s">
        <v>330</v>
      </c>
      <c r="L171" s="283">
        <f>100-L170</f>
        <v>76.26124286</v>
      </c>
      <c r="M171" s="284" t="s">
        <v>329</v>
      </c>
      <c r="O171" s="285" t="s">
        <v>330</v>
      </c>
      <c r="P171" s="286">
        <f>P168-P166</f>
        <v>6.580260909</v>
      </c>
      <c r="Q171" s="287" t="s">
        <v>331</v>
      </c>
    </row>
    <row r="172" ht="15.75" customHeight="1">
      <c r="A172" s="307"/>
      <c r="B172" s="269">
        <f t="array" ref="B172">+XLOOKUP(C172,'Base de datos'!C:C,'Base de datos'!A:A,"",FALSE)</f>
        <v>93</v>
      </c>
      <c r="C172" s="270" t="s">
        <v>114</v>
      </c>
      <c r="D172" s="275" t="s">
        <v>20</v>
      </c>
      <c r="E172" s="256">
        <f t="array" ref="E172">+XLOOKUP(B172,'Base de datos'!A:A,'Base de datos'!H:H,0)</f>
        <v>0.0277</v>
      </c>
      <c r="F172" s="271">
        <v>2.0</v>
      </c>
      <c r="G172" s="271"/>
      <c r="H172" s="258">
        <f t="shared" si="23"/>
        <v>1</v>
      </c>
      <c r="I172" s="256">
        <f t="shared" si="24"/>
        <v>0.0554</v>
      </c>
      <c r="J172" s="241"/>
      <c r="L172" s="288"/>
      <c r="O172" s="289" t="s">
        <v>332</v>
      </c>
      <c r="P172" s="290">
        <f>P168-P166-(P167*0.2)</f>
        <v>4.800260909</v>
      </c>
      <c r="Q172" s="291" t="s">
        <v>331</v>
      </c>
    </row>
    <row r="173" ht="15.75" customHeight="1">
      <c r="A173" s="307"/>
      <c r="B173" s="269">
        <f t="array" ref="B173">+XLOOKUP(C173,'Base de datos'!C:C,'Base de datos'!A:A,"",FALSE)</f>
        <v>37</v>
      </c>
      <c r="C173" s="270" t="s">
        <v>66</v>
      </c>
      <c r="D173" s="255" t="s">
        <v>14</v>
      </c>
      <c r="E173" s="256">
        <f t="array" ref="E173">+XLOOKUP(B173,'Base de datos'!A:A,'Base de datos'!H:H,0)</f>
        <v>7</v>
      </c>
      <c r="F173" s="271">
        <v>0.02</v>
      </c>
      <c r="G173" s="257"/>
      <c r="H173" s="258"/>
      <c r="I173" s="256">
        <f t="shared" si="24"/>
        <v>0.14</v>
      </c>
      <c r="J173" s="241"/>
      <c r="O173" s="289" t="s">
        <v>332</v>
      </c>
      <c r="P173" s="292">
        <f>P172/P168</f>
        <v>0.5932906742</v>
      </c>
      <c r="Q173" s="291" t="s">
        <v>329</v>
      </c>
    </row>
    <row r="174" ht="15.75" customHeight="1">
      <c r="A174" s="307"/>
      <c r="B174" s="269">
        <f t="array" ref="B174">+XLOOKUP(C174,'Base de datos'!C:C,'Base de datos'!A:A,"",FALSE)</f>
        <v>4</v>
      </c>
      <c r="C174" s="270" t="s">
        <v>16</v>
      </c>
      <c r="D174" s="255" t="s">
        <v>14</v>
      </c>
      <c r="E174" s="256">
        <f t="array" ref="E174">+XLOOKUP(B174,'Base de datos'!A:A,'Base de datos'!H:H,0)</f>
        <v>4.8165</v>
      </c>
      <c r="F174" s="271">
        <v>0.02</v>
      </c>
      <c r="G174" s="257"/>
      <c r="H174" s="258"/>
      <c r="I174" s="256">
        <f t="shared" si="24"/>
        <v>0.09633</v>
      </c>
      <c r="J174" s="241"/>
    </row>
    <row r="175" ht="15.75" customHeight="1">
      <c r="A175" s="307"/>
      <c r="B175" s="253" t="str">
        <f t="array" ref="B175">+XLOOKUP(C175,'Base de datos'!C:C,'Base de datos'!A:A,"",FALSE)</f>
        <v/>
      </c>
      <c r="C175" s="254"/>
      <c r="D175" s="255" t="s">
        <v>14</v>
      </c>
      <c r="E175" s="256">
        <f t="array" ref="E175">+XLOOKUP(B175,'Base de datos'!A:A,'Base de datos'!H:H,0)</f>
        <v>0</v>
      </c>
      <c r="F175" s="257"/>
      <c r="G175" s="257"/>
      <c r="H175" s="258"/>
      <c r="I175" s="256">
        <f t="shared" si="24"/>
        <v>0</v>
      </c>
      <c r="J175" s="241"/>
    </row>
    <row r="176" ht="15.75" customHeight="1">
      <c r="A176" s="307"/>
      <c r="B176" s="253" t="str">
        <f t="array" ref="B176">+XLOOKUP(C176,'Base de datos'!C:C,'Base de datos'!A:A,"",FALSE)</f>
        <v/>
      </c>
      <c r="C176" s="254"/>
      <c r="D176" s="255" t="s">
        <v>14</v>
      </c>
      <c r="E176" s="256">
        <f t="array" ref="E176">+XLOOKUP(B176,'Base de datos'!A:A,'Base de datos'!H:H,0)</f>
        <v>0</v>
      </c>
      <c r="F176" s="257"/>
      <c r="G176" s="257"/>
      <c r="H176" s="258"/>
      <c r="I176" s="256">
        <f t="shared" si="24"/>
        <v>0</v>
      </c>
      <c r="J176" s="241"/>
    </row>
    <row r="177" ht="15.75" customHeight="1">
      <c r="A177" s="307"/>
      <c r="B177" s="253" t="str">
        <f t="array" ref="B177">+XLOOKUP(C177,'Base de datos'!C:C,'Base de datos'!A:A,"",FALSE)</f>
        <v/>
      </c>
      <c r="C177" s="254"/>
      <c r="D177" s="255" t="s">
        <v>14</v>
      </c>
      <c r="E177" s="256">
        <f t="array" ref="E177">+XLOOKUP(B177,'Base de datos'!A:A,'Base de datos'!H:H,0)</f>
        <v>0</v>
      </c>
      <c r="F177" s="257"/>
      <c r="G177" s="257"/>
      <c r="H177" s="258" t="str">
        <f>IFERROR(1-G177/F177,"")</f>
        <v/>
      </c>
      <c r="I177" s="256">
        <f t="shared" si="24"/>
        <v>0</v>
      </c>
      <c r="J177" s="241"/>
    </row>
    <row r="178" ht="15.75" customHeight="1">
      <c r="A178" s="307"/>
      <c r="B178" s="240"/>
      <c r="C178" s="241"/>
      <c r="D178" s="242"/>
      <c r="E178" s="243"/>
      <c r="F178" s="244"/>
      <c r="G178" s="244"/>
      <c r="H178" s="241"/>
      <c r="I178" s="241"/>
      <c r="J178" s="241"/>
    </row>
    <row r="179" ht="15.75" customHeight="1">
      <c r="A179" s="307"/>
      <c r="B179" s="307"/>
      <c r="D179" s="308"/>
      <c r="E179" s="309"/>
    </row>
    <row r="180" ht="15.75" customHeight="1">
      <c r="A180" s="307"/>
      <c r="B180" s="230"/>
      <c r="C180" s="230"/>
      <c r="D180" s="230"/>
      <c r="E180" s="231"/>
      <c r="F180" s="232"/>
      <c r="G180" s="232"/>
      <c r="H180" s="230"/>
      <c r="I180" s="230"/>
      <c r="J180" s="230"/>
      <c r="K180" s="230"/>
      <c r="L180" s="230"/>
      <c r="M180" s="233"/>
    </row>
    <row r="181" ht="15.75" customHeight="1">
      <c r="A181" s="307"/>
      <c r="B181" s="234"/>
      <c r="C181" s="235" t="s">
        <v>313</v>
      </c>
      <c r="D181" s="236" t="s">
        <v>232</v>
      </c>
      <c r="E181" s="237"/>
      <c r="F181" s="237"/>
      <c r="G181" s="237"/>
      <c r="H181" s="237"/>
      <c r="I181" s="237"/>
      <c r="J181" s="238"/>
      <c r="K181" s="231"/>
      <c r="L181" s="230"/>
      <c r="M181" s="233"/>
    </row>
    <row r="182" ht="15.75" customHeight="1">
      <c r="A182" s="307"/>
      <c r="B182" s="239"/>
      <c r="C182" s="230"/>
      <c r="D182" s="230"/>
      <c r="E182" s="231"/>
      <c r="F182" s="232"/>
      <c r="G182" s="232"/>
      <c r="H182" s="230"/>
      <c r="I182" s="230"/>
      <c r="J182" s="230"/>
      <c r="K182" s="230"/>
      <c r="L182" s="230"/>
      <c r="M182" s="233"/>
    </row>
    <row r="183" ht="15.75" customHeight="1">
      <c r="A183" s="307"/>
      <c r="B183" s="240"/>
      <c r="C183" s="241"/>
      <c r="D183" s="242"/>
      <c r="E183" s="243"/>
      <c r="F183" s="244"/>
      <c r="G183" s="244"/>
      <c r="H183" s="241"/>
      <c r="I183" s="241"/>
      <c r="J183" s="241"/>
      <c r="K183" s="241"/>
      <c r="L183" s="241"/>
    </row>
    <row r="184" ht="15.75" customHeight="1">
      <c r="A184" s="307"/>
      <c r="B184" s="246" t="s">
        <v>0</v>
      </c>
      <c r="C184" s="246" t="s">
        <v>315</v>
      </c>
      <c r="D184" s="246" t="s">
        <v>316</v>
      </c>
      <c r="E184" s="247" t="s">
        <v>317</v>
      </c>
      <c r="F184" s="248" t="s">
        <v>318</v>
      </c>
      <c r="G184" s="248" t="s">
        <v>319</v>
      </c>
      <c r="H184" s="246" t="s">
        <v>320</v>
      </c>
      <c r="I184" s="246" t="s">
        <v>321</v>
      </c>
      <c r="J184" s="249"/>
      <c r="K184" s="250" t="s">
        <v>322</v>
      </c>
      <c r="L184" s="251"/>
      <c r="M184" s="251"/>
      <c r="O184" s="250" t="s">
        <v>323</v>
      </c>
      <c r="P184" s="251"/>
      <c r="Q184" s="251"/>
    </row>
    <row r="185" ht="15.75" customHeight="1">
      <c r="A185" s="307"/>
      <c r="B185" s="253" t="str">
        <f t="array" ref="B185">+XLOOKUP(C185,'Base de datos'!C:C,'Base de datos'!A:A,"",FALSE)</f>
        <v/>
      </c>
      <c r="C185" s="254"/>
      <c r="D185" s="255" t="s">
        <v>14</v>
      </c>
      <c r="E185" s="256">
        <f t="array" ref="E185">+XLOOKUP(B185,'Base de datos'!A:A,'Base de datos'!H:H,0)</f>
        <v>0</v>
      </c>
      <c r="F185" s="257"/>
      <c r="G185" s="257"/>
      <c r="H185" s="258" t="str">
        <f t="shared" ref="H185:H188" si="25">IFERROR(1-G185/F185,"")</f>
        <v/>
      </c>
      <c r="I185" s="256">
        <f t="shared" ref="I185:I195" si="26">IFERROR(E185*F185,"")</f>
        <v>0</v>
      </c>
      <c r="J185" s="241"/>
      <c r="K185" s="259" t="s">
        <v>324</v>
      </c>
      <c r="L185" s="260">
        <f>SUM(I185:I195)</f>
        <v>1.819048182</v>
      </c>
      <c r="M185" s="261"/>
      <c r="O185" s="259" t="s">
        <v>324</v>
      </c>
      <c r="P185" s="260">
        <f>L185</f>
        <v>1.819048182</v>
      </c>
      <c r="Q185" s="261"/>
    </row>
    <row r="186" ht="15.75" customHeight="1">
      <c r="A186" s="307"/>
      <c r="B186" s="262" t="str">
        <f>'JAKINIÑO'!K33</f>
        <v>#REF!</v>
      </c>
      <c r="C186" s="262" t="str">
        <f>'JAKINIÑO'!C33</f>
        <v>#REF!</v>
      </c>
      <c r="D186" s="263" t="s">
        <v>14</v>
      </c>
      <c r="E186" s="264" t="str">
        <f>'JAKINIÑO'!K39</f>
        <v>#REF!</v>
      </c>
      <c r="F186" s="265"/>
      <c r="G186" s="265"/>
      <c r="H186" s="266" t="str">
        <f t="shared" si="25"/>
        <v/>
      </c>
      <c r="I186" s="264" t="str">
        <f t="shared" si="26"/>
        <v/>
      </c>
      <c r="J186" s="241"/>
      <c r="K186" s="267" t="s">
        <v>325</v>
      </c>
      <c r="L186" s="268">
        <v>8.0</v>
      </c>
      <c r="M186" s="261"/>
      <c r="O186" s="267" t="s">
        <v>325</v>
      </c>
      <c r="P186" s="268">
        <v>9.0</v>
      </c>
      <c r="Q186" s="261"/>
    </row>
    <row r="187" ht="15.75" customHeight="1">
      <c r="A187" s="307"/>
      <c r="B187" s="269">
        <f t="array" ref="B187">+XLOOKUP(C187,'Base de datos'!C:C,'Base de datos'!A:A,"",FALSE)</f>
        <v>62</v>
      </c>
      <c r="C187" s="270" t="s">
        <v>87</v>
      </c>
      <c r="D187" s="255" t="s">
        <v>14</v>
      </c>
      <c r="E187" s="256">
        <f t="array" ref="E187">+XLOOKUP(B187,'Base de datos'!A:A,'Base de datos'!H:H,0)</f>
        <v>5.6</v>
      </c>
      <c r="F187" s="271">
        <v>0.1</v>
      </c>
      <c r="G187" s="271"/>
      <c r="H187" s="258">
        <f t="shared" si="25"/>
        <v>1</v>
      </c>
      <c r="I187" s="256">
        <f t="shared" si="26"/>
        <v>0.56</v>
      </c>
      <c r="J187" s="241"/>
      <c r="K187" s="272" t="s">
        <v>326</v>
      </c>
      <c r="L187" s="273">
        <f>L186/1.1</f>
        <v>7.272727273</v>
      </c>
      <c r="M187" s="274"/>
      <c r="O187" s="272" t="s">
        <v>326</v>
      </c>
      <c r="P187" s="273">
        <f>P186/1.1</f>
        <v>8.181818182</v>
      </c>
      <c r="Q187" s="274"/>
    </row>
    <row r="188" ht="15.75" customHeight="1">
      <c r="A188" s="307"/>
      <c r="B188" s="269">
        <f t="array" ref="B188">+XLOOKUP(C188,'Base de datos'!C:C,'Base de datos'!A:A,"",FALSE)</f>
        <v>110</v>
      </c>
      <c r="C188" s="270" t="s">
        <v>134</v>
      </c>
      <c r="D188" s="275" t="s">
        <v>20</v>
      </c>
      <c r="E188" s="256">
        <f t="array" ref="E188">+XLOOKUP(B188,'Base de datos'!A:A,'Base de datos'!H:H,0)</f>
        <v>0.2818181818</v>
      </c>
      <c r="F188" s="271">
        <v>1.0</v>
      </c>
      <c r="G188" s="271"/>
      <c r="H188" s="258">
        <f t="shared" si="25"/>
        <v>1</v>
      </c>
      <c r="I188" s="256">
        <f t="shared" si="26"/>
        <v>0.2818181818</v>
      </c>
      <c r="J188" s="241"/>
      <c r="K188" s="276" t="s">
        <v>327</v>
      </c>
      <c r="L188" s="277">
        <v>0.1</v>
      </c>
      <c r="M188" s="278"/>
      <c r="O188" s="276" t="s">
        <v>327</v>
      </c>
      <c r="P188" s="277">
        <v>0.1</v>
      </c>
      <c r="Q188" s="278"/>
    </row>
    <row r="189" ht="15.75" customHeight="1">
      <c r="A189" s="307"/>
      <c r="B189" s="269">
        <f t="array" ref="B189">+XLOOKUP(C189,'Base de datos'!C:C,'Base de datos'!A:A,"",FALSE)</f>
        <v>22</v>
      </c>
      <c r="C189" s="270" t="s">
        <v>45</v>
      </c>
      <c r="D189" s="255" t="s">
        <v>14</v>
      </c>
      <c r="E189" s="256">
        <f t="array" ref="E189">+XLOOKUP(B189,'Base de datos'!A:A,'Base de datos'!H:H,0)</f>
        <v>7.11</v>
      </c>
      <c r="F189" s="271">
        <v>0.02</v>
      </c>
      <c r="G189" s="257"/>
      <c r="H189" s="258"/>
      <c r="I189" s="256">
        <f t="shared" si="26"/>
        <v>0.1422</v>
      </c>
      <c r="J189" s="241"/>
      <c r="K189" s="279" t="s">
        <v>328</v>
      </c>
      <c r="L189" s="280">
        <f>L185/L187*100</f>
        <v>25.0119125</v>
      </c>
      <c r="M189" s="281" t="s">
        <v>329</v>
      </c>
      <c r="O189" s="279" t="s">
        <v>328</v>
      </c>
      <c r="P189" s="280">
        <f>P185/P187*100</f>
        <v>22.23281111</v>
      </c>
      <c r="Q189" s="281" t="s">
        <v>329</v>
      </c>
    </row>
    <row r="190" ht="15.75" customHeight="1">
      <c r="A190" s="307"/>
      <c r="B190" s="269">
        <f t="array" ref="B190">+XLOOKUP(C190,'Base de datos'!C:C,'Base de datos'!A:A,"",FALSE)</f>
        <v>4</v>
      </c>
      <c r="C190" s="270" t="s">
        <v>16</v>
      </c>
      <c r="D190" s="255" t="s">
        <v>14</v>
      </c>
      <c r="E190" s="256">
        <f t="array" ref="E190">+XLOOKUP(B190,'Base de datos'!A:A,'Base de datos'!H:H,0)</f>
        <v>4.8165</v>
      </c>
      <c r="F190" s="271">
        <v>0.02</v>
      </c>
      <c r="G190" s="257"/>
      <c r="H190" s="258"/>
      <c r="I190" s="256">
        <f t="shared" si="26"/>
        <v>0.09633</v>
      </c>
      <c r="J190" s="241"/>
      <c r="K190" s="282" t="s">
        <v>330</v>
      </c>
      <c r="L190" s="283">
        <f>100-L189</f>
        <v>74.9880875</v>
      </c>
      <c r="M190" s="284" t="s">
        <v>329</v>
      </c>
      <c r="O190" s="285" t="s">
        <v>330</v>
      </c>
      <c r="P190" s="286">
        <f>P187-P185</f>
        <v>6.36277</v>
      </c>
      <c r="Q190" s="287" t="s">
        <v>331</v>
      </c>
    </row>
    <row r="191" ht="15.75" customHeight="1">
      <c r="A191" s="307"/>
      <c r="B191" s="269">
        <f t="array" ref="B191">+XLOOKUP(C191,'Base de datos'!C:C,'Base de datos'!A:A,"",FALSE)</f>
        <v>117</v>
      </c>
      <c r="C191" s="270" t="s">
        <v>142</v>
      </c>
      <c r="D191" s="255" t="s">
        <v>14</v>
      </c>
      <c r="E191" s="256">
        <f t="array" ref="E191">+XLOOKUP(B191,'Base de datos'!A:A,'Base de datos'!H:H,0)</f>
        <v>6.2</v>
      </c>
      <c r="F191" s="271">
        <v>0.02</v>
      </c>
      <c r="G191" s="257"/>
      <c r="H191" s="258"/>
      <c r="I191" s="256">
        <f t="shared" si="26"/>
        <v>0.124</v>
      </c>
      <c r="J191" s="241"/>
      <c r="L191" s="288"/>
      <c r="O191" s="289" t="s">
        <v>332</v>
      </c>
      <c r="P191" s="290">
        <f>P187-P185-(P186*0.2)</f>
        <v>4.56277</v>
      </c>
      <c r="Q191" s="291" t="s">
        <v>331</v>
      </c>
    </row>
    <row r="192" ht="15.75" customHeight="1">
      <c r="A192" s="307"/>
      <c r="B192" s="269">
        <f t="array" ref="B192">+XLOOKUP(C192,'Base de datos'!C:C,'Base de datos'!A:A,"",FALSE)</f>
        <v>21</v>
      </c>
      <c r="C192" s="270" t="s">
        <v>44</v>
      </c>
      <c r="D192" s="255" t="s">
        <v>14</v>
      </c>
      <c r="E192" s="256">
        <f t="array" ref="E192">+XLOOKUP(B192,'Base de datos'!A:A,'Base de datos'!H:H,0)</f>
        <v>8.56</v>
      </c>
      <c r="F192" s="271">
        <v>0.02</v>
      </c>
      <c r="G192" s="257"/>
      <c r="H192" s="258"/>
      <c r="I192" s="256">
        <f t="shared" si="26"/>
        <v>0.1712</v>
      </c>
      <c r="J192" s="241"/>
      <c r="O192" s="289" t="s">
        <v>332</v>
      </c>
      <c r="P192" s="292">
        <f>P191/P187</f>
        <v>0.5576718889</v>
      </c>
      <c r="Q192" s="291" t="s">
        <v>329</v>
      </c>
    </row>
    <row r="193" ht="15.75" customHeight="1">
      <c r="A193" s="307"/>
      <c r="B193" s="269">
        <f t="array" ref="B193">+XLOOKUP(C193,'Base de datos'!C:C,'Base de datos'!A:A,"",FALSE)</f>
        <v>58</v>
      </c>
      <c r="C193" s="270" t="s">
        <v>85</v>
      </c>
      <c r="D193" s="275" t="s">
        <v>14</v>
      </c>
      <c r="E193" s="256">
        <f t="array" ref="E193">+XLOOKUP(B193,'Base de datos'!A:A,'Base de datos'!H:H,0)</f>
        <v>2.15</v>
      </c>
      <c r="F193" s="271">
        <v>0.09</v>
      </c>
      <c r="G193" s="271"/>
      <c r="H193" s="258">
        <f t="shared" ref="H193:H195" si="27">IFERROR(1-G193/F193,"")</f>
        <v>1</v>
      </c>
      <c r="I193" s="256">
        <f t="shared" si="26"/>
        <v>0.1935</v>
      </c>
      <c r="J193" s="241"/>
    </row>
    <row r="194" ht="15.75" customHeight="1">
      <c r="A194" s="307"/>
      <c r="B194" s="269">
        <f t="array" ref="B194">+XLOOKUP(C194,'Base de datos'!C:C,'Base de datos'!A:A,"",FALSE)</f>
        <v>29</v>
      </c>
      <c r="C194" s="270" t="s">
        <v>54</v>
      </c>
      <c r="D194" s="275" t="s">
        <v>20</v>
      </c>
      <c r="E194" s="256">
        <f t="array" ref="E194">+XLOOKUP(B194,'Base de datos'!A:A,'Base de datos'!H:H,0)</f>
        <v>0.1946</v>
      </c>
      <c r="F194" s="271">
        <v>1.0</v>
      </c>
      <c r="G194" s="271"/>
      <c r="H194" s="258">
        <f t="shared" si="27"/>
        <v>1</v>
      </c>
      <c r="I194" s="256">
        <f t="shared" si="26"/>
        <v>0.1946</v>
      </c>
      <c r="J194" s="241"/>
    </row>
    <row r="195" ht="15.75" customHeight="1">
      <c r="A195" s="307"/>
      <c r="B195" s="269">
        <f t="array" ref="B195">+XLOOKUP(C195,'Base de datos'!C:C,'Base de datos'!A:A,"",FALSE)</f>
        <v>93</v>
      </c>
      <c r="C195" s="270" t="s">
        <v>114</v>
      </c>
      <c r="D195" s="275" t="s">
        <v>20</v>
      </c>
      <c r="E195" s="256">
        <f t="array" ref="E195">+XLOOKUP(B195,'Base de datos'!A:A,'Base de datos'!H:H,0)</f>
        <v>0.0277</v>
      </c>
      <c r="F195" s="271">
        <v>2.0</v>
      </c>
      <c r="G195" s="271"/>
      <c r="H195" s="258">
        <f t="shared" si="27"/>
        <v>1</v>
      </c>
      <c r="I195" s="256">
        <f t="shared" si="26"/>
        <v>0.0554</v>
      </c>
      <c r="J195" s="241"/>
    </row>
    <row r="196" ht="15.75" customHeight="1">
      <c r="A196" s="307"/>
      <c r="J196" s="241"/>
    </row>
    <row r="197" ht="15.75" customHeight="1">
      <c r="A197" s="307"/>
      <c r="J197" s="241"/>
    </row>
    <row r="198" ht="15.75" customHeight="1">
      <c r="A198" s="307"/>
      <c r="J198" s="241"/>
    </row>
    <row r="199" ht="15.75" customHeight="1">
      <c r="A199" s="307"/>
    </row>
    <row r="200" ht="15.75" customHeight="1">
      <c r="A200" s="307"/>
    </row>
    <row r="201" ht="15.75" customHeight="1">
      <c r="A201" s="307"/>
    </row>
    <row r="202" ht="15.75" customHeight="1">
      <c r="A202" s="307"/>
    </row>
    <row r="203" ht="15.75" customHeight="1">
      <c r="A203" s="307"/>
    </row>
    <row r="204" ht="15.75" customHeight="1">
      <c r="A204" s="307"/>
    </row>
    <row r="205" ht="15.75" customHeight="1">
      <c r="A205" s="307"/>
    </row>
    <row r="206" ht="15.75" customHeight="1">
      <c r="A206" s="307"/>
    </row>
    <row r="207" ht="15.75" customHeight="1">
      <c r="A207" s="307"/>
    </row>
    <row r="208" ht="15.75" customHeight="1">
      <c r="A208" s="307"/>
    </row>
    <row r="209" ht="15.75" customHeight="1">
      <c r="A209" s="307"/>
    </row>
    <row r="210" ht="15.75" customHeight="1">
      <c r="A210" s="307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80">
    <mergeCell ref="P114:Q114"/>
    <mergeCell ref="P115:Q115"/>
    <mergeCell ref="L98:M98"/>
    <mergeCell ref="P98:Q98"/>
    <mergeCell ref="D109:I109"/>
    <mergeCell ref="L113:M113"/>
    <mergeCell ref="P113:Q113"/>
    <mergeCell ref="L114:M114"/>
    <mergeCell ref="L115:M115"/>
    <mergeCell ref="L134:M134"/>
    <mergeCell ref="L147:M147"/>
    <mergeCell ref="L148:M148"/>
    <mergeCell ref="L116:M116"/>
    <mergeCell ref="P116:Q116"/>
    <mergeCell ref="D127:I127"/>
    <mergeCell ref="L131:M131"/>
    <mergeCell ref="L132:M132"/>
    <mergeCell ref="L133:M133"/>
    <mergeCell ref="D143:I143"/>
    <mergeCell ref="L166:M166"/>
    <mergeCell ref="P166:Q166"/>
    <mergeCell ref="L167:M167"/>
    <mergeCell ref="P167:Q167"/>
    <mergeCell ref="L168:M168"/>
    <mergeCell ref="P168:Q168"/>
    <mergeCell ref="P169:Q169"/>
    <mergeCell ref="L187:M187"/>
    <mergeCell ref="L188:M188"/>
    <mergeCell ref="P188:Q188"/>
    <mergeCell ref="L169:M169"/>
    <mergeCell ref="D181:I181"/>
    <mergeCell ref="L185:M185"/>
    <mergeCell ref="P185:Q185"/>
    <mergeCell ref="L186:M186"/>
    <mergeCell ref="P186:Q186"/>
    <mergeCell ref="P187:Q187"/>
    <mergeCell ref="D2:I2"/>
    <mergeCell ref="L6:M6"/>
    <mergeCell ref="L7:M7"/>
    <mergeCell ref="L8:M8"/>
    <mergeCell ref="L9:M9"/>
    <mergeCell ref="D16:I16"/>
    <mergeCell ref="L20:M20"/>
    <mergeCell ref="L21:M21"/>
    <mergeCell ref="L22:M22"/>
    <mergeCell ref="L23:M23"/>
    <mergeCell ref="D30:I30"/>
    <mergeCell ref="L34:M34"/>
    <mergeCell ref="L35:M35"/>
    <mergeCell ref="L36:M36"/>
    <mergeCell ref="L37:M37"/>
    <mergeCell ref="D44:I44"/>
    <mergeCell ref="L48:M48"/>
    <mergeCell ref="L49:M49"/>
    <mergeCell ref="L50:M50"/>
    <mergeCell ref="L51:M51"/>
    <mergeCell ref="D59:I59"/>
    <mergeCell ref="L63:M63"/>
    <mergeCell ref="L64:M64"/>
    <mergeCell ref="L65:M65"/>
    <mergeCell ref="L66:M66"/>
    <mergeCell ref="D75:I75"/>
    <mergeCell ref="L79:M79"/>
    <mergeCell ref="L80:M80"/>
    <mergeCell ref="P96:Q96"/>
    <mergeCell ref="P97:Q97"/>
    <mergeCell ref="L81:M81"/>
    <mergeCell ref="L82:M82"/>
    <mergeCell ref="D91:I91"/>
    <mergeCell ref="L95:M95"/>
    <mergeCell ref="P95:Q95"/>
    <mergeCell ref="L96:M96"/>
    <mergeCell ref="L97:M97"/>
    <mergeCell ref="P147:Q147"/>
    <mergeCell ref="P148:Q148"/>
    <mergeCell ref="L149:M149"/>
    <mergeCell ref="P149:Q149"/>
    <mergeCell ref="L150:M150"/>
    <mergeCell ref="P150:Q150"/>
    <mergeCell ref="D162:I162"/>
  </mergeCells>
  <dataValidations>
    <dataValidation type="list" allowBlank="1" showErrorMessage="1" sqref="D6:D13 D20:D27 D34:D41 D48:D56 D63:D72 D79:D88 D95:D106 D113:D124 D131:D139 D147:D158 D166:D177 D185:D195">
      <formula1>'Hoja 2'!$A$2:$A$4</formula1>
    </dataValidation>
    <dataValidation type="list" allowBlank="1" showErrorMessage="1" sqref="C6 C8:C13 C20 C22:C27 C34 C36:C41 C48 C50:C56 C63 C65:C72 C79 C81:C88 C95 C97:C106 C113 C115:C124 C131 C133:C139 C147 C149:C158 C166 C168:C177 C185 C187:C195">
      <formula1>'Base de datos'!$C$2:$C$133</formula1>
    </dataValidation>
  </dataValidations>
  <hyperlinks>
    <hyperlink display="INDICE" location="'INDICE 25'!A1" ref="K5"/>
    <hyperlink display="INDICE" location="'INDICE 25'!A1" ref="K19"/>
    <hyperlink display="RESUMEN " location="'RESUMEN DE COSTES'!A1" ref="N19"/>
    <hyperlink display="INDICE" location="'INDICE 25'!A1" ref="K33"/>
    <hyperlink display="RESUMEN " location="'RESUMEN DE COSTES'!A1" ref="N33"/>
    <hyperlink display="INDICE" location="'INDICE 25'!A1" ref="K47"/>
    <hyperlink display="RESUMEN " location="'RESUMEN DE COSTES'!A1" ref="N47"/>
    <hyperlink display="INDICE" location="'INDICE 25'!A1" ref="K62"/>
    <hyperlink display="RESUMEN " location="'RESUMEN DE COSTES'!A1" ref="N62"/>
    <hyperlink display="INDICE" location="'INDICE 25'!A1" ref="K78"/>
    <hyperlink display="RESUMEN " location="'RESUMEN DE COSTES'!A1" ref="N78"/>
    <hyperlink display="INDICE" location="'INDICE 25'!A1" ref="K94"/>
    <hyperlink display="RESUMEN " location="'RESUMEN DE COSTES'!A1" ref="L94"/>
    <hyperlink display="INDICE UBER " location="'INDICE UBER'!A1" ref="O94"/>
    <hyperlink display="INDICE" location="'INDICE 25'!A1" ref="K112"/>
    <hyperlink display="INDICE UBER " location="'INDICE UBER'!A1" ref="O112"/>
    <hyperlink display="INDICE" location="'INDICE 25'!A1" ref="K130"/>
    <hyperlink display="INDICE" location="'INDICE 25'!A1" ref="K146"/>
    <hyperlink display="INDICE UBER " location="'INDICE UBER'!A1" ref="O146"/>
    <hyperlink display="INDICE" location="'INDICE 25'!A1" ref="K165"/>
    <hyperlink display="INDICE UBER " location="'INDICE UBER'!A1" ref="O165"/>
    <hyperlink display="INDICE" location="'INDICE 25'!A1" ref="K184"/>
    <hyperlink display="INDICE UBER " location="'INDICE UBER'!A1" ref="O18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  <col customWidth="1" min="14" max="14" width="5.0"/>
    <col customWidth="1" min="15" max="15" width="20.0"/>
    <col customWidth="1" min="16" max="16" width="9.13"/>
    <col customWidth="1" min="17" max="17" width="4.5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244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18" si="1">IFERROR(1-G6/F6,"")</f>
        <v/>
      </c>
      <c r="I6" s="256">
        <f t="shared" ref="I6:I18" si="2">IFERROR(E6*F6,"")</f>
        <v>0</v>
      </c>
      <c r="J6" s="241"/>
      <c r="K6" s="259" t="s">
        <v>324</v>
      </c>
      <c r="L6" s="260">
        <f>SUM(I6:I17)</f>
        <v>1.973200175</v>
      </c>
      <c r="M6" s="261"/>
    </row>
    <row r="7" ht="15.75" customHeight="1">
      <c r="A7" s="252"/>
      <c r="B7" s="262" t="str">
        <f>K30</f>
        <v/>
      </c>
      <c r="C7" s="262" t="str">
        <f>C30</f>
        <v/>
      </c>
      <c r="D7" s="263" t="s">
        <v>14</v>
      </c>
      <c r="E7" s="264" t="str">
        <f>K36</f>
        <v>PVP</v>
      </c>
      <c r="F7" s="265"/>
      <c r="G7" s="265"/>
      <c r="H7" s="266" t="str">
        <f t="shared" si="1"/>
        <v/>
      </c>
      <c r="I7" s="264" t="str">
        <f t="shared" si="2"/>
        <v/>
      </c>
      <c r="J7" s="241"/>
      <c r="K7" s="267" t="s">
        <v>325</v>
      </c>
      <c r="L7" s="268">
        <v>8.0</v>
      </c>
      <c r="M7" s="261"/>
    </row>
    <row r="8" ht="15.75" customHeight="1">
      <c r="A8" s="252"/>
      <c r="B8" s="269">
        <f t="array" ref="B8">+XLOOKUP(C8,'Base de datos'!C:C,'Base de datos'!A:A,"",FALSE)</f>
        <v>77</v>
      </c>
      <c r="C8" s="270" t="s">
        <v>98</v>
      </c>
      <c r="D8" s="255" t="s">
        <v>14</v>
      </c>
      <c r="E8" s="256">
        <f t="array" ref="E8">+XLOOKUP(B8,'Base de datos'!A:A,'Base de datos'!H:H,0)</f>
        <v>6</v>
      </c>
      <c r="F8" s="271">
        <v>0.125</v>
      </c>
      <c r="G8" s="271">
        <v>0.12</v>
      </c>
      <c r="H8" s="258">
        <f t="shared" si="1"/>
        <v>0.04</v>
      </c>
      <c r="I8" s="256">
        <f t="shared" si="2"/>
        <v>0.75</v>
      </c>
      <c r="J8" s="241"/>
      <c r="K8" s="272" t="s">
        <v>326</v>
      </c>
      <c r="L8" s="273">
        <f>L7/1.1</f>
        <v>7.272727273</v>
      </c>
      <c r="M8" s="274"/>
    </row>
    <row r="9" ht="15.75" customHeight="1">
      <c r="A9" s="252"/>
      <c r="B9" s="269">
        <f t="array" ref="B9">+XLOOKUP(C9,'Base de datos'!C:C,'Base de datos'!A:A,"",FALSE)</f>
        <v>47</v>
      </c>
      <c r="C9" s="270" t="s">
        <v>79</v>
      </c>
      <c r="D9" s="275" t="s">
        <v>20</v>
      </c>
      <c r="E9" s="256">
        <f t="array" ref="E9">+XLOOKUP(B9,'Base de datos'!A:A,'Base de datos'!H:H,0)</f>
        <v>0.5605</v>
      </c>
      <c r="F9" s="271">
        <v>1.0</v>
      </c>
      <c r="G9" s="271">
        <v>1.0</v>
      </c>
      <c r="H9" s="258">
        <f t="shared" si="1"/>
        <v>0</v>
      </c>
      <c r="I9" s="256">
        <f t="shared" si="2"/>
        <v>0.5605</v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269">
        <f t="array" ref="B10">+XLOOKUP(C10,'Base de datos'!C:C,'Base de datos'!A:A,"",FALSE)</f>
        <v>67</v>
      </c>
      <c r="C10" s="270" t="s">
        <v>90</v>
      </c>
      <c r="D10" s="275" t="s">
        <v>14</v>
      </c>
      <c r="E10" s="256">
        <f t="array" ref="E10">+XLOOKUP(B10,'Base de datos'!A:A,'Base de datos'!H:H,0)</f>
        <v>6.047368421</v>
      </c>
      <c r="F10" s="271">
        <v>0.005</v>
      </c>
      <c r="G10" s="271">
        <v>0.005</v>
      </c>
      <c r="H10" s="258">
        <f t="shared" si="1"/>
        <v>0</v>
      </c>
      <c r="I10" s="256">
        <f t="shared" si="2"/>
        <v>0.03023684211</v>
      </c>
      <c r="J10" s="241"/>
      <c r="K10" s="279" t="s">
        <v>328</v>
      </c>
      <c r="L10" s="280">
        <f>L6/L8*100</f>
        <v>27.13150241</v>
      </c>
      <c r="M10" s="281" t="s">
        <v>329</v>
      </c>
    </row>
    <row r="11" ht="15.75" customHeight="1">
      <c r="A11" s="252"/>
      <c r="B11" s="269">
        <f t="array" ref="B11">+XLOOKUP(C11,'Base de datos'!C:C,'Base de datos'!A:A,"",FALSE)</f>
        <v>4</v>
      </c>
      <c r="C11" s="270" t="s">
        <v>16</v>
      </c>
      <c r="D11" s="275" t="s">
        <v>14</v>
      </c>
      <c r="E11" s="256">
        <f t="array" ref="E11">+XLOOKUP(B11,'Base de datos'!A:A,'Base de datos'!H:H,0)</f>
        <v>4.8165</v>
      </c>
      <c r="F11" s="271">
        <v>0.02</v>
      </c>
      <c r="G11" s="271">
        <v>0.02</v>
      </c>
      <c r="H11" s="258">
        <f t="shared" si="1"/>
        <v>0</v>
      </c>
      <c r="I11" s="256">
        <f t="shared" si="2"/>
        <v>0.09633</v>
      </c>
      <c r="J11" s="241"/>
      <c r="K11" s="282" t="s">
        <v>330</v>
      </c>
      <c r="L11" s="283">
        <f>100-L10</f>
        <v>72.86849759</v>
      </c>
      <c r="M11" s="284" t="s">
        <v>329</v>
      </c>
    </row>
    <row r="12" ht="15.75" customHeight="1">
      <c r="A12" s="252"/>
      <c r="B12" s="269">
        <f t="array" ref="B12">+XLOOKUP(C12,'Base de datos'!C:C,'Base de datos'!A:A,"",FALSE)</f>
        <v>20</v>
      </c>
      <c r="C12" s="270" t="s">
        <v>42</v>
      </c>
      <c r="D12" s="255" t="s">
        <v>14</v>
      </c>
      <c r="E12" s="256">
        <f t="array" ref="E12">+XLOOKUP(B12,'Base de datos'!A:A,'Base de datos'!H:H,0)</f>
        <v>6.016666667</v>
      </c>
      <c r="F12" s="271">
        <v>0.02</v>
      </c>
      <c r="G12" s="271">
        <v>0.01</v>
      </c>
      <c r="H12" s="258">
        <f t="shared" si="1"/>
        <v>0.5</v>
      </c>
      <c r="I12" s="256">
        <f t="shared" si="2"/>
        <v>0.1203333333</v>
      </c>
      <c r="J12" s="241"/>
      <c r="L12" s="288"/>
    </row>
    <row r="13" ht="15.75" customHeight="1">
      <c r="A13" s="252"/>
      <c r="B13" s="253" t="str">
        <f t="array" ref="B13">+XLOOKUP(C13,'Base de datos'!C:C,'Base de datos'!A:A,"",FALSE)</f>
        <v/>
      </c>
      <c r="C13" s="270"/>
      <c r="D13" s="275" t="s">
        <v>14</v>
      </c>
      <c r="E13" s="256">
        <f t="array" ref="E13">+XLOOKUP(B13,'Base de datos'!A:A,'Base de datos'!H:H,0)</f>
        <v>0</v>
      </c>
      <c r="F13" s="271">
        <v>0.01</v>
      </c>
      <c r="G13" s="271">
        <v>0.01</v>
      </c>
      <c r="H13" s="258">
        <f t="shared" si="1"/>
        <v>0</v>
      </c>
      <c r="I13" s="256">
        <f t="shared" si="2"/>
        <v>0</v>
      </c>
      <c r="J13" s="241"/>
      <c r="K13" s="250" t="s">
        <v>323</v>
      </c>
      <c r="L13" s="251"/>
      <c r="M13" s="251"/>
    </row>
    <row r="14" ht="15.75" customHeight="1">
      <c r="A14" s="252"/>
      <c r="B14" s="253" t="str">
        <f t="array" ref="B14">+XLOOKUP(C14,'Base de datos'!C:C,'Base de datos'!A:A,"",FALSE)</f>
        <v/>
      </c>
      <c r="C14" s="270"/>
      <c r="D14" s="255" t="s">
        <v>14</v>
      </c>
      <c r="E14" s="256">
        <f t="array" ref="E14">+XLOOKUP(B14,'Base de datos'!A:A,'Base de datos'!H:H,0)</f>
        <v>0</v>
      </c>
      <c r="F14" s="271">
        <v>0.012</v>
      </c>
      <c r="G14" s="271">
        <v>0.012</v>
      </c>
      <c r="H14" s="258">
        <f t="shared" si="1"/>
        <v>0</v>
      </c>
      <c r="I14" s="256">
        <f t="shared" si="2"/>
        <v>0</v>
      </c>
      <c r="J14" s="241"/>
      <c r="K14" s="259" t="s">
        <v>324</v>
      </c>
      <c r="L14" s="260">
        <f>L6</f>
        <v>1.973200175</v>
      </c>
      <c r="M14" s="261"/>
    </row>
    <row r="15" ht="15.75" customHeight="1">
      <c r="A15" s="252"/>
      <c r="B15" s="269">
        <f t="array" ref="B15">+XLOOKUP(C15,'Base de datos'!C:C,'Base de datos'!A:A,"",FALSE)</f>
        <v>93</v>
      </c>
      <c r="C15" s="270" t="s">
        <v>114</v>
      </c>
      <c r="D15" s="275" t="s">
        <v>20</v>
      </c>
      <c r="E15" s="256">
        <f t="array" ref="E15">+XLOOKUP(B15,'Base de datos'!A:A,'Base de datos'!H:H,0)</f>
        <v>0.0277</v>
      </c>
      <c r="F15" s="271">
        <v>1.0</v>
      </c>
      <c r="G15" s="271">
        <v>1.0</v>
      </c>
      <c r="H15" s="258">
        <f t="shared" si="1"/>
        <v>0</v>
      </c>
      <c r="I15" s="256">
        <f t="shared" si="2"/>
        <v>0.0277</v>
      </c>
      <c r="J15" s="241"/>
      <c r="K15" s="267" t="s">
        <v>325</v>
      </c>
      <c r="L15" s="268">
        <v>8.5</v>
      </c>
      <c r="M15" s="261"/>
    </row>
    <row r="16" ht="15.75" customHeight="1">
      <c r="A16" s="252"/>
      <c r="B16" s="269">
        <f t="array" ref="B16">+XLOOKUP(C16,'Base de datos'!C:C,'Base de datos'!A:A,"",FALSE)</f>
        <v>29</v>
      </c>
      <c r="C16" s="270" t="s">
        <v>54</v>
      </c>
      <c r="D16" s="275" t="s">
        <v>20</v>
      </c>
      <c r="E16" s="256">
        <f t="array" ref="E16">+XLOOKUP(B16,'Base de datos'!A:A,'Base de datos'!H:H,0)</f>
        <v>0.1946</v>
      </c>
      <c r="F16" s="271">
        <v>1.0</v>
      </c>
      <c r="G16" s="271">
        <v>1.0</v>
      </c>
      <c r="H16" s="258">
        <f t="shared" si="1"/>
        <v>0</v>
      </c>
      <c r="I16" s="256">
        <f t="shared" si="2"/>
        <v>0.1946</v>
      </c>
      <c r="J16" s="241"/>
      <c r="K16" s="272" t="s">
        <v>326</v>
      </c>
      <c r="L16" s="273">
        <f>L15/1.1</f>
        <v>7.727272727</v>
      </c>
      <c r="M16" s="274"/>
    </row>
    <row r="17" ht="15.75" customHeight="1">
      <c r="A17" s="252"/>
      <c r="B17" s="269">
        <f t="array" ref="B17">+XLOOKUP(C17,'Base de datos'!C:C,'Base de datos'!A:A,"",FALSE)</f>
        <v>58</v>
      </c>
      <c r="C17" s="270" t="s">
        <v>85</v>
      </c>
      <c r="D17" s="255" t="s">
        <v>14</v>
      </c>
      <c r="E17" s="256">
        <f t="array" ref="E17">+XLOOKUP(B17,'Base de datos'!A:A,'Base de datos'!H:H,0)</f>
        <v>2.15</v>
      </c>
      <c r="F17" s="271">
        <v>0.09</v>
      </c>
      <c r="G17" s="257"/>
      <c r="H17" s="258">
        <f t="shared" si="1"/>
        <v>1</v>
      </c>
      <c r="I17" s="256">
        <f t="shared" si="2"/>
        <v>0.1935</v>
      </c>
      <c r="J17" s="241"/>
      <c r="K17" s="276" t="s">
        <v>327</v>
      </c>
      <c r="L17" s="277">
        <v>0.1</v>
      </c>
      <c r="M17" s="278"/>
    </row>
    <row r="18" ht="15.75" customHeight="1">
      <c r="A18" s="252"/>
      <c r="B18" s="269">
        <f t="array" ref="B18">+XLOOKUP(C18,'Base de datos'!C:C,'Base de datos'!A:A,"",FALSE)</f>
        <v>69</v>
      </c>
      <c r="C18" s="469" t="s">
        <v>91</v>
      </c>
      <c r="D18" s="470" t="s">
        <v>20</v>
      </c>
      <c r="E18" s="471">
        <f t="array" ref="E18">+XLOOKUP(B18,'Base de datos'!A:A,'Base de datos'!H:H,0)</f>
        <v>0.07054166667</v>
      </c>
      <c r="F18" s="472">
        <v>1.0</v>
      </c>
      <c r="G18" s="473"/>
      <c r="H18" s="474">
        <f t="shared" si="1"/>
        <v>1</v>
      </c>
      <c r="I18" s="471">
        <f t="shared" si="2"/>
        <v>0.07054166667</v>
      </c>
      <c r="J18" s="241"/>
      <c r="K18" s="279" t="s">
        <v>328</v>
      </c>
      <c r="L18" s="280">
        <f>L14/L16*100</f>
        <v>25.53553168</v>
      </c>
      <c r="M18" s="281" t="s">
        <v>329</v>
      </c>
    </row>
    <row r="19" ht="15.75" customHeight="1">
      <c r="A19" s="240"/>
      <c r="B19" s="240"/>
      <c r="C19" s="241"/>
      <c r="D19" s="242"/>
      <c r="E19" s="243"/>
      <c r="F19" s="244"/>
      <c r="G19" s="244"/>
      <c r="H19" s="241"/>
      <c r="I19" s="241"/>
      <c r="J19" s="241"/>
      <c r="K19" s="285" t="s">
        <v>330</v>
      </c>
      <c r="L19" s="286">
        <f>L16-L14</f>
        <v>5.754072552</v>
      </c>
      <c r="M19" s="287" t="s">
        <v>331</v>
      </c>
    </row>
    <row r="20" ht="15.75" customHeight="1">
      <c r="A20" s="295"/>
      <c r="B20" s="295"/>
      <c r="C20" s="296" t="s">
        <v>337</v>
      </c>
      <c r="D20" s="297"/>
      <c r="E20" s="297"/>
      <c r="F20" s="297"/>
      <c r="G20" s="297"/>
      <c r="H20" s="297"/>
      <c r="I20" s="298"/>
      <c r="J20" s="241"/>
      <c r="K20" s="289" t="s">
        <v>332</v>
      </c>
      <c r="L20" s="290">
        <f>L16-L14-(L15*0.2)</f>
        <v>4.054072552</v>
      </c>
      <c r="M20" s="291" t="s">
        <v>331</v>
      </c>
    </row>
    <row r="21" ht="15.75" customHeight="1">
      <c r="A21" s="299"/>
      <c r="B21" s="299"/>
      <c r="C21" s="300"/>
      <c r="D21" s="297"/>
      <c r="E21" s="297"/>
      <c r="F21" s="297"/>
      <c r="G21" s="297"/>
      <c r="H21" s="297"/>
      <c r="I21" s="298"/>
      <c r="J21" s="241"/>
      <c r="K21" s="289" t="s">
        <v>332</v>
      </c>
      <c r="L21" s="292">
        <f>L20/L16</f>
        <v>0.5246446832</v>
      </c>
      <c r="M21" s="291" t="s">
        <v>329</v>
      </c>
    </row>
    <row r="22" ht="15.75" customHeight="1">
      <c r="A22" s="301"/>
      <c r="B22" s="301"/>
      <c r="C22" s="302"/>
      <c r="I22" s="278"/>
      <c r="J22" s="241"/>
      <c r="K22" s="241"/>
      <c r="L22" s="241"/>
    </row>
    <row r="23" ht="15.75" customHeight="1">
      <c r="A23" s="301"/>
      <c r="B23" s="301"/>
      <c r="C23" s="302"/>
      <c r="I23" s="278"/>
      <c r="J23" s="241"/>
      <c r="K23" s="241"/>
      <c r="L23" s="241"/>
    </row>
    <row r="24" ht="15.75" customHeight="1">
      <c r="A24" s="301"/>
      <c r="B24" s="301"/>
      <c r="C24" s="302"/>
      <c r="I24" s="278"/>
      <c r="J24" s="241"/>
      <c r="K24" s="241"/>
      <c r="L24" s="241"/>
    </row>
    <row r="25" ht="15.75" customHeight="1">
      <c r="A25" s="301"/>
      <c r="B25" s="301"/>
      <c r="C25" s="302"/>
      <c r="I25" s="278"/>
      <c r="J25" s="241"/>
      <c r="K25" s="241"/>
      <c r="L25" s="241"/>
    </row>
    <row r="26" ht="15.75" customHeight="1">
      <c r="A26" s="301"/>
      <c r="B26" s="301"/>
      <c r="C26" s="302"/>
      <c r="I26" s="278"/>
      <c r="J26" s="241"/>
      <c r="K26" s="241"/>
      <c r="L26" s="241"/>
    </row>
    <row r="27" ht="15.75" customHeight="1">
      <c r="A27" s="301"/>
      <c r="B27" s="301"/>
      <c r="C27" s="302"/>
      <c r="I27" s="278"/>
      <c r="J27" s="241"/>
      <c r="K27" s="241"/>
      <c r="L27" s="241"/>
    </row>
    <row r="28" ht="15.75" customHeight="1">
      <c r="A28" s="301"/>
      <c r="B28" s="301"/>
      <c r="C28" s="304"/>
      <c r="D28" s="305"/>
      <c r="E28" s="305"/>
      <c r="F28" s="305"/>
      <c r="G28" s="305"/>
      <c r="H28" s="305"/>
      <c r="I28" s="274"/>
      <c r="J28" s="241"/>
      <c r="K28" s="241"/>
      <c r="L28" s="241"/>
    </row>
    <row r="29" ht="15.75" customHeight="1">
      <c r="A29" s="240"/>
      <c r="B29" s="240"/>
      <c r="C29" s="241"/>
      <c r="D29" s="242"/>
      <c r="E29" s="243"/>
      <c r="F29" s="244"/>
      <c r="G29" s="244"/>
      <c r="H29" s="241"/>
      <c r="I29" s="241"/>
      <c r="J29" s="241"/>
      <c r="K29" s="241"/>
      <c r="L29" s="241"/>
    </row>
    <row r="30" ht="15.75" customHeight="1">
      <c r="A30" s="360"/>
      <c r="B30" s="230"/>
      <c r="C30" s="230"/>
      <c r="D30" s="230"/>
      <c r="E30" s="231"/>
      <c r="F30" s="232"/>
      <c r="G30" s="232"/>
      <c r="H30" s="230"/>
      <c r="I30" s="230"/>
      <c r="J30" s="230"/>
      <c r="K30" s="230"/>
      <c r="L30" s="230"/>
      <c r="M30" s="23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</row>
    <row r="31" ht="15.75" customHeight="1">
      <c r="A31" s="301"/>
      <c r="B31" s="234"/>
      <c r="C31" s="235" t="s">
        <v>313</v>
      </c>
      <c r="D31" s="236" t="s">
        <v>743</v>
      </c>
      <c r="E31" s="237"/>
      <c r="F31" s="237"/>
      <c r="G31" s="237"/>
      <c r="H31" s="237"/>
      <c r="I31" s="237"/>
      <c r="J31" s="238"/>
      <c r="K31" s="231"/>
      <c r="L31" s="230"/>
      <c r="M31" s="233"/>
    </row>
    <row r="32" ht="15.75" customHeight="1">
      <c r="A32" s="301"/>
      <c r="B32" s="239"/>
      <c r="C32" s="230"/>
      <c r="D32" s="230"/>
      <c r="E32" s="231"/>
      <c r="F32" s="232"/>
      <c r="G32" s="232"/>
      <c r="H32" s="230"/>
      <c r="I32" s="230"/>
      <c r="J32" s="230"/>
      <c r="K32" s="230"/>
      <c r="L32" s="230"/>
      <c r="M32" s="233"/>
    </row>
    <row r="33" ht="15.75" customHeight="1">
      <c r="A33" s="301"/>
      <c r="B33" s="240"/>
      <c r="C33" s="241"/>
      <c r="D33" s="242"/>
      <c r="E33" s="243"/>
      <c r="F33" s="244"/>
      <c r="G33" s="244"/>
      <c r="H33" s="241"/>
      <c r="I33" s="241"/>
      <c r="J33" s="241"/>
      <c r="K33" s="241"/>
      <c r="L33" s="241"/>
    </row>
    <row r="34" ht="15.75" customHeight="1">
      <c r="A34" s="301"/>
      <c r="B34" s="246" t="s">
        <v>0</v>
      </c>
      <c r="C34" s="246" t="s">
        <v>315</v>
      </c>
      <c r="D34" s="246" t="s">
        <v>316</v>
      </c>
      <c r="E34" s="247" t="s">
        <v>317</v>
      </c>
      <c r="F34" s="248" t="s">
        <v>318</v>
      </c>
      <c r="G34" s="248" t="s">
        <v>319</v>
      </c>
      <c r="H34" s="246" t="s">
        <v>320</v>
      </c>
      <c r="I34" s="246" t="s">
        <v>321</v>
      </c>
      <c r="J34" s="249"/>
      <c r="K34" s="250" t="s">
        <v>322</v>
      </c>
      <c r="L34" s="251"/>
      <c r="M34" s="251"/>
    </row>
    <row r="35" ht="15.75" customHeight="1">
      <c r="A35" s="301"/>
      <c r="B35" s="253" t="str">
        <f t="array" ref="B35">+XLOOKUP(C35,'Base de datos'!C:C,'Base de datos'!A:A,"",FALSE)</f>
        <v/>
      </c>
      <c r="C35" s="254"/>
      <c r="D35" s="255" t="s">
        <v>14</v>
      </c>
      <c r="E35" s="256">
        <f t="array" ref="E35">+XLOOKUP(B35,'Base de datos'!A:A,'Base de datos'!H:H,0)</f>
        <v>0</v>
      </c>
      <c r="F35" s="257"/>
      <c r="G35" s="257"/>
      <c r="H35" s="258" t="str">
        <f t="shared" ref="H35:H47" si="3">IFERROR(1-G35/F35,"")</f>
        <v/>
      </c>
      <c r="I35" s="256">
        <f t="shared" ref="I35:I47" si="4">IFERROR(E35*F35,"")</f>
        <v>0</v>
      </c>
      <c r="J35" s="241"/>
      <c r="K35" s="259" t="s">
        <v>324</v>
      </c>
      <c r="L35" s="260">
        <f>SUM(I35:I46)</f>
        <v>2.367697917</v>
      </c>
      <c r="M35" s="261"/>
    </row>
    <row r="36" ht="15.75" customHeight="1">
      <c r="A36" s="301"/>
      <c r="B36" s="262" t="str">
        <f>'CHEESE STEAK'!K30</f>
        <v>#REF!</v>
      </c>
      <c r="C36" s="262" t="str">
        <f>'CHEESE STEAK'!C30</f>
        <v>#REF!</v>
      </c>
      <c r="D36" s="263" t="s">
        <v>14</v>
      </c>
      <c r="E36" s="264" t="str">
        <f>'CHEESE STEAK'!K36</f>
        <v>#REF!</v>
      </c>
      <c r="F36" s="265"/>
      <c r="G36" s="265"/>
      <c r="H36" s="266" t="str">
        <f t="shared" si="3"/>
        <v/>
      </c>
      <c r="I36" s="264" t="str">
        <f t="shared" si="4"/>
        <v/>
      </c>
      <c r="J36" s="241"/>
      <c r="K36" s="267" t="s">
        <v>325</v>
      </c>
      <c r="L36" s="268">
        <v>8.0</v>
      </c>
      <c r="M36" s="261"/>
    </row>
    <row r="37" ht="15.75" customHeight="1">
      <c r="A37" s="301"/>
      <c r="B37" s="269">
        <f t="array" ref="B37">+XLOOKUP(C37,'Base de datos'!C:C,'Base de datos'!A:A,"",FALSE)</f>
        <v>78</v>
      </c>
      <c r="C37" s="270" t="s">
        <v>99</v>
      </c>
      <c r="D37" s="255" t="s">
        <v>14</v>
      </c>
      <c r="E37" s="256">
        <f t="array" ref="E37">+XLOOKUP(B37,'Base de datos'!A:A,'Base de datos'!H:H,0)</f>
        <v>8.321583333</v>
      </c>
      <c r="F37" s="271">
        <v>0.125</v>
      </c>
      <c r="G37" s="271">
        <v>0.12</v>
      </c>
      <c r="H37" s="258">
        <f t="shared" si="3"/>
        <v>0.04</v>
      </c>
      <c r="I37" s="256">
        <f t="shared" si="4"/>
        <v>1.040197917</v>
      </c>
      <c r="J37" s="241"/>
      <c r="K37" s="272" t="s">
        <v>326</v>
      </c>
      <c r="L37" s="273">
        <f>L36/1.1</f>
        <v>7.272727273</v>
      </c>
      <c r="M37" s="274"/>
    </row>
    <row r="38" ht="15.75" customHeight="1">
      <c r="A38" s="301"/>
      <c r="B38" s="269">
        <f t="array" ref="B38">+XLOOKUP(C38,'Base de datos'!C:C,'Base de datos'!A:A,"",FALSE)</f>
        <v>47</v>
      </c>
      <c r="C38" s="270" t="s">
        <v>79</v>
      </c>
      <c r="D38" s="275" t="s">
        <v>20</v>
      </c>
      <c r="E38" s="256">
        <f t="array" ref="E38">+XLOOKUP(B38,'Base de datos'!A:A,'Base de datos'!H:H,0)</f>
        <v>0.5605</v>
      </c>
      <c r="F38" s="271">
        <v>1.0</v>
      </c>
      <c r="G38" s="271">
        <v>1.0</v>
      </c>
      <c r="H38" s="258">
        <f t="shared" si="3"/>
        <v>0</v>
      </c>
      <c r="I38" s="256">
        <f t="shared" si="4"/>
        <v>0.5605</v>
      </c>
      <c r="J38" s="241"/>
      <c r="K38" s="276" t="s">
        <v>327</v>
      </c>
      <c r="L38" s="277">
        <v>0.1</v>
      </c>
      <c r="M38" s="278"/>
    </row>
    <row r="39" ht="15.75" customHeight="1">
      <c r="A39" s="301"/>
      <c r="B39" s="253" t="str">
        <f t="array" ref="B39">+XLOOKUP(C39,'Base de datos'!C:C,'Base de datos'!A:A,"",FALSE)</f>
        <v/>
      </c>
      <c r="C39" s="270"/>
      <c r="D39" s="275" t="s">
        <v>14</v>
      </c>
      <c r="E39" s="256">
        <f t="array" ref="E39">+XLOOKUP(B39,'Base de datos'!A:A,'Base de datos'!H:H,0)</f>
        <v>0</v>
      </c>
      <c r="F39" s="271">
        <v>0.005</v>
      </c>
      <c r="G39" s="271">
        <v>0.01</v>
      </c>
      <c r="H39" s="258">
        <f t="shared" si="3"/>
        <v>-1</v>
      </c>
      <c r="I39" s="256">
        <f t="shared" si="4"/>
        <v>0</v>
      </c>
      <c r="J39" s="241"/>
      <c r="K39" s="279" t="s">
        <v>328</v>
      </c>
      <c r="L39" s="280">
        <f>L35/L37*100</f>
        <v>32.55584635</v>
      </c>
      <c r="M39" s="281" t="s">
        <v>329</v>
      </c>
    </row>
    <row r="40" ht="15.75" customHeight="1">
      <c r="A40" s="301"/>
      <c r="B40" s="253" t="str">
        <f t="array" ref="B40">+XLOOKUP(C40,'Base de datos'!C:C,'Base de datos'!A:A,"",FALSE)</f>
        <v/>
      </c>
      <c r="C40" s="270"/>
      <c r="D40" s="275" t="s">
        <v>14</v>
      </c>
      <c r="E40" s="256">
        <f t="array" ref="E40">+XLOOKUP(B40,'Base de datos'!A:A,'Base de datos'!H:H,0)</f>
        <v>0</v>
      </c>
      <c r="F40" s="271">
        <v>0.02</v>
      </c>
      <c r="G40" s="271">
        <v>0.02</v>
      </c>
      <c r="H40" s="258">
        <f t="shared" si="3"/>
        <v>0</v>
      </c>
      <c r="I40" s="256">
        <f t="shared" si="4"/>
        <v>0</v>
      </c>
      <c r="J40" s="241"/>
      <c r="K40" s="282" t="s">
        <v>330</v>
      </c>
      <c r="L40" s="283">
        <f>100-L39</f>
        <v>67.44415365</v>
      </c>
      <c r="M40" s="284" t="s">
        <v>329</v>
      </c>
    </row>
    <row r="41" ht="15.75" customHeight="1">
      <c r="A41" s="240"/>
      <c r="B41" s="269">
        <f t="array" ref="B41">+XLOOKUP(C41,'Base de datos'!C:C,'Base de datos'!A:A,"",FALSE)</f>
        <v>23</v>
      </c>
      <c r="C41" s="270" t="s">
        <v>46</v>
      </c>
      <c r="D41" s="255" t="s">
        <v>14</v>
      </c>
      <c r="E41" s="256">
        <f t="array" ref="E41">+XLOOKUP(B41,'Base de datos'!A:A,'Base de datos'!H:H,0)</f>
        <v>4.39</v>
      </c>
      <c r="F41" s="271">
        <v>0.08</v>
      </c>
      <c r="G41" s="271">
        <v>0.08</v>
      </c>
      <c r="H41" s="258">
        <f t="shared" si="3"/>
        <v>0</v>
      </c>
      <c r="I41" s="256">
        <f t="shared" si="4"/>
        <v>0.3512</v>
      </c>
      <c r="J41" s="241"/>
      <c r="L41" s="288"/>
    </row>
    <row r="42" ht="15.75" customHeight="1">
      <c r="A42" s="295"/>
      <c r="B42" s="253" t="str">
        <f t="array" ref="B42">+XLOOKUP(C42,'Base de datos'!C:C,'Base de datos'!A:A,"",FALSE)</f>
        <v/>
      </c>
      <c r="C42" s="270"/>
      <c r="D42" s="275" t="s">
        <v>14</v>
      </c>
      <c r="E42" s="256">
        <f t="array" ref="E42">+XLOOKUP(B42,'Base de datos'!A:A,'Base de datos'!H:H,0)</f>
        <v>0</v>
      </c>
      <c r="F42" s="271">
        <v>0.01</v>
      </c>
      <c r="G42" s="271">
        <v>0.01</v>
      </c>
      <c r="H42" s="258">
        <f t="shared" si="3"/>
        <v>0</v>
      </c>
      <c r="I42" s="256">
        <f t="shared" si="4"/>
        <v>0</v>
      </c>
      <c r="J42" s="241"/>
      <c r="L42" s="288"/>
    </row>
    <row r="43" ht="15.75" customHeight="1">
      <c r="A43" s="299"/>
      <c r="B43" s="253" t="str">
        <f t="array" ref="B43">+XLOOKUP(C43,'Base de datos'!C:C,'Base de datos'!A:A,"",FALSE)</f>
        <v/>
      </c>
      <c r="C43" s="270"/>
      <c r="D43" s="255" t="s">
        <v>14</v>
      </c>
      <c r="E43" s="256">
        <f t="array" ref="E43">+XLOOKUP(B43,'Base de datos'!A:A,'Base de datos'!H:H,0)</f>
        <v>0</v>
      </c>
      <c r="F43" s="271">
        <v>0.012</v>
      </c>
      <c r="G43" s="271">
        <v>0.012</v>
      </c>
      <c r="H43" s="258">
        <f t="shared" si="3"/>
        <v>0</v>
      </c>
      <c r="I43" s="256">
        <f t="shared" si="4"/>
        <v>0</v>
      </c>
      <c r="J43" s="241"/>
      <c r="L43" s="288"/>
    </row>
    <row r="44" ht="15.75" customHeight="1">
      <c r="A44" s="301"/>
      <c r="B44" s="269">
        <f t="array" ref="B44">+XLOOKUP(C44,'Base de datos'!C:C,'Base de datos'!A:A,"",FALSE)</f>
        <v>93</v>
      </c>
      <c r="C44" s="270" t="s">
        <v>114</v>
      </c>
      <c r="D44" s="275" t="s">
        <v>20</v>
      </c>
      <c r="E44" s="256">
        <f t="array" ref="E44">+XLOOKUP(B44,'Base de datos'!A:A,'Base de datos'!H:H,0)</f>
        <v>0.0277</v>
      </c>
      <c r="F44" s="271">
        <v>1.0</v>
      </c>
      <c r="G44" s="271">
        <v>1.0</v>
      </c>
      <c r="H44" s="258">
        <f t="shared" si="3"/>
        <v>0</v>
      </c>
      <c r="I44" s="256">
        <f t="shared" si="4"/>
        <v>0.0277</v>
      </c>
      <c r="J44" s="241"/>
      <c r="L44" s="288"/>
    </row>
    <row r="45" ht="15.75" customHeight="1">
      <c r="A45" s="301"/>
      <c r="B45" s="269">
        <f t="array" ref="B45">+XLOOKUP(C45,'Base de datos'!C:C,'Base de datos'!A:A,"",FALSE)</f>
        <v>29</v>
      </c>
      <c r="C45" s="270" t="s">
        <v>54</v>
      </c>
      <c r="D45" s="275" t="s">
        <v>20</v>
      </c>
      <c r="E45" s="256">
        <f t="array" ref="E45">+XLOOKUP(B45,'Base de datos'!A:A,'Base de datos'!H:H,0)</f>
        <v>0.1946</v>
      </c>
      <c r="F45" s="271">
        <v>1.0</v>
      </c>
      <c r="G45" s="271">
        <v>1.0</v>
      </c>
      <c r="H45" s="258">
        <f t="shared" si="3"/>
        <v>0</v>
      </c>
      <c r="I45" s="256">
        <f t="shared" si="4"/>
        <v>0.1946</v>
      </c>
      <c r="J45" s="241"/>
      <c r="L45" s="288"/>
    </row>
    <row r="46" ht="15.75" customHeight="1">
      <c r="A46" s="301"/>
      <c r="B46" s="269">
        <f t="array" ref="B46">+XLOOKUP(C46,'Base de datos'!C:C,'Base de datos'!A:A,"",FALSE)</f>
        <v>58</v>
      </c>
      <c r="C46" s="270" t="s">
        <v>85</v>
      </c>
      <c r="D46" s="255" t="s">
        <v>14</v>
      </c>
      <c r="E46" s="256">
        <f t="array" ref="E46">+XLOOKUP(B46,'Base de datos'!A:A,'Base de datos'!H:H,0)</f>
        <v>2.15</v>
      </c>
      <c r="F46" s="271">
        <v>0.09</v>
      </c>
      <c r="G46" s="257"/>
      <c r="H46" s="258">
        <f t="shared" si="3"/>
        <v>1</v>
      </c>
      <c r="I46" s="256">
        <f t="shared" si="4"/>
        <v>0.1935</v>
      </c>
      <c r="J46" s="241"/>
      <c r="L46" s="288"/>
    </row>
    <row r="47" ht="15.75" customHeight="1">
      <c r="A47" s="301"/>
      <c r="B47" s="269">
        <f t="array" ref="B47">+XLOOKUP(C47,'Base de datos'!C:C,'Base de datos'!A:A,"",FALSE)</f>
        <v>69</v>
      </c>
      <c r="C47" s="469" t="s">
        <v>91</v>
      </c>
      <c r="D47" s="470" t="s">
        <v>20</v>
      </c>
      <c r="E47" s="471">
        <f t="array" ref="E47">+XLOOKUP(B47,'Base de datos'!A:A,'Base de datos'!H:H,0)</f>
        <v>0.07054166667</v>
      </c>
      <c r="F47" s="472">
        <v>1.0</v>
      </c>
      <c r="G47" s="473"/>
      <c r="H47" s="474">
        <f t="shared" si="3"/>
        <v>1</v>
      </c>
      <c r="I47" s="471">
        <f t="shared" si="4"/>
        <v>0.07054166667</v>
      </c>
      <c r="J47" s="241"/>
      <c r="L47" s="288"/>
    </row>
    <row r="48" ht="15.75" customHeight="1">
      <c r="A48" s="301"/>
      <c r="B48" s="240"/>
      <c r="C48" s="241"/>
      <c r="D48" s="242"/>
      <c r="E48" s="243"/>
      <c r="F48" s="244"/>
      <c r="G48" s="244"/>
      <c r="H48" s="241"/>
      <c r="I48" s="241"/>
      <c r="J48" s="241"/>
      <c r="K48" s="241"/>
      <c r="L48" s="241"/>
    </row>
    <row r="49" ht="15.75" customHeight="1">
      <c r="A49" s="307"/>
      <c r="B49" s="295"/>
      <c r="C49" s="296" t="s">
        <v>337</v>
      </c>
      <c r="D49" s="297"/>
      <c r="E49" s="297"/>
      <c r="F49" s="297"/>
      <c r="G49" s="297"/>
      <c r="H49" s="297"/>
      <c r="I49" s="298"/>
      <c r="J49" s="241"/>
      <c r="K49" s="241"/>
      <c r="L49" s="241"/>
    </row>
    <row r="50" ht="15.75" customHeight="1">
      <c r="A50" s="307"/>
      <c r="B50" s="299"/>
      <c r="C50" s="300"/>
      <c r="D50" s="297"/>
      <c r="E50" s="297"/>
      <c r="F50" s="297"/>
      <c r="G50" s="297"/>
      <c r="H50" s="297"/>
      <c r="I50" s="298"/>
      <c r="J50" s="241"/>
      <c r="K50" s="241"/>
      <c r="L50" s="241"/>
    </row>
    <row r="51" ht="15.75" customHeight="1">
      <c r="A51" s="307"/>
      <c r="B51" s="301"/>
      <c r="C51" s="302"/>
      <c r="I51" s="278"/>
      <c r="J51" s="241"/>
      <c r="K51" s="241"/>
      <c r="L51" s="241"/>
    </row>
    <row r="52" ht="15.75" customHeight="1">
      <c r="A52" s="307"/>
      <c r="B52" s="301"/>
      <c r="C52" s="302"/>
      <c r="I52" s="278"/>
      <c r="J52" s="241"/>
      <c r="K52" s="241"/>
      <c r="L52" s="241"/>
    </row>
    <row r="53" ht="15.75" customHeight="1">
      <c r="A53" s="307"/>
      <c r="B53" s="301"/>
      <c r="C53" s="302"/>
      <c r="I53" s="278"/>
      <c r="J53" s="241"/>
      <c r="K53" s="241"/>
      <c r="L53" s="241"/>
    </row>
    <row r="54" ht="15.75" customHeight="1">
      <c r="A54" s="307"/>
      <c r="B54" s="301"/>
      <c r="C54" s="302"/>
      <c r="I54" s="278"/>
      <c r="J54" s="241"/>
      <c r="K54" s="241"/>
      <c r="L54" s="241"/>
    </row>
    <row r="55" ht="15.75" customHeight="1">
      <c r="A55" s="307"/>
      <c r="B55" s="301"/>
      <c r="C55" s="302"/>
      <c r="I55" s="278"/>
      <c r="J55" s="241"/>
      <c r="K55" s="241"/>
      <c r="L55" s="241"/>
    </row>
    <row r="56" ht="15.75" customHeight="1">
      <c r="A56" s="307"/>
      <c r="B56" s="301"/>
      <c r="C56" s="302"/>
      <c r="I56" s="278"/>
      <c r="J56" s="241"/>
      <c r="K56" s="241"/>
      <c r="L56" s="241"/>
    </row>
    <row r="57" ht="15.75" customHeight="1">
      <c r="A57" s="307"/>
      <c r="B57" s="301"/>
      <c r="C57" s="304"/>
      <c r="D57" s="305"/>
      <c r="E57" s="305"/>
      <c r="F57" s="305"/>
      <c r="G57" s="305"/>
      <c r="H57" s="305"/>
      <c r="I57" s="274"/>
      <c r="J57" s="241"/>
      <c r="K57" s="241"/>
      <c r="L57" s="241"/>
    </row>
    <row r="58" ht="15.75" customHeight="1">
      <c r="A58" s="307"/>
      <c r="B58" s="307"/>
      <c r="D58" s="308"/>
      <c r="E58" s="309"/>
    </row>
    <row r="59" ht="15.75" customHeight="1">
      <c r="A59" s="307"/>
      <c r="B59" s="230"/>
      <c r="C59" s="230"/>
      <c r="D59" s="230"/>
      <c r="E59" s="231"/>
      <c r="F59" s="232"/>
      <c r="G59" s="232"/>
      <c r="H59" s="230"/>
      <c r="I59" s="230"/>
      <c r="J59" s="230"/>
      <c r="K59" s="230"/>
      <c r="L59" s="230"/>
      <c r="M59" s="233"/>
    </row>
    <row r="60" ht="15.75" customHeight="1">
      <c r="A60" s="307"/>
      <c r="B60" s="234"/>
      <c r="C60" s="235" t="s">
        <v>313</v>
      </c>
      <c r="D60" s="236" t="s">
        <v>744</v>
      </c>
      <c r="E60" s="237"/>
      <c r="F60" s="237"/>
      <c r="G60" s="237"/>
      <c r="H60" s="237"/>
      <c r="I60" s="237"/>
      <c r="J60" s="238"/>
      <c r="K60" s="231"/>
      <c r="L60" s="230"/>
      <c r="M60" s="233"/>
    </row>
    <row r="61" ht="15.75" customHeight="1">
      <c r="A61" s="307"/>
      <c r="B61" s="239"/>
      <c r="C61" s="230"/>
      <c r="D61" s="230"/>
      <c r="E61" s="231"/>
      <c r="F61" s="232"/>
      <c r="G61" s="232"/>
      <c r="H61" s="230"/>
      <c r="I61" s="230"/>
      <c r="J61" s="230"/>
      <c r="K61" s="230"/>
      <c r="L61" s="230"/>
      <c r="M61" s="233"/>
    </row>
    <row r="62" ht="15.75" customHeight="1">
      <c r="A62" s="307"/>
      <c r="B62" s="240"/>
      <c r="C62" s="241"/>
      <c r="D62" s="242"/>
      <c r="E62" s="243"/>
      <c r="F62" s="244"/>
      <c r="G62" s="244"/>
      <c r="H62" s="241"/>
      <c r="I62" s="241"/>
      <c r="J62" s="241"/>
      <c r="K62" s="241"/>
      <c r="L62" s="241"/>
    </row>
    <row r="63" ht="15.75" customHeight="1">
      <c r="A63" s="307"/>
      <c r="B63" s="246" t="s">
        <v>0</v>
      </c>
      <c r="C63" s="246" t="s">
        <v>315</v>
      </c>
      <c r="D63" s="246" t="s">
        <v>316</v>
      </c>
      <c r="E63" s="247" t="s">
        <v>317</v>
      </c>
      <c r="F63" s="248" t="s">
        <v>318</v>
      </c>
      <c r="G63" s="248" t="s">
        <v>319</v>
      </c>
      <c r="H63" s="246" t="s">
        <v>320</v>
      </c>
      <c r="I63" s="246" t="s">
        <v>321</v>
      </c>
      <c r="J63" s="249"/>
      <c r="K63" s="250" t="s">
        <v>322</v>
      </c>
      <c r="L63" s="251"/>
      <c r="M63" s="251"/>
    </row>
    <row r="64" ht="15.75" customHeight="1">
      <c r="A64" s="307"/>
      <c r="B64" s="253" t="str">
        <f t="array" ref="B64">+XLOOKUP(C64,'Base de datos'!C:C,'Base de datos'!A:A,"",FALSE)</f>
        <v/>
      </c>
      <c r="C64" s="254"/>
      <c r="D64" s="255" t="s">
        <v>14</v>
      </c>
      <c r="E64" s="256">
        <f t="array" ref="E64">+XLOOKUP(B64,'Base de datos'!A:A,'Base de datos'!H:H,0)</f>
        <v>0</v>
      </c>
      <c r="F64" s="257"/>
      <c r="G64" s="257"/>
      <c r="H64" s="258" t="str">
        <f t="shared" ref="H64:H76" si="5">IFERROR(1-G64/F64,"")</f>
        <v/>
      </c>
      <c r="I64" s="256">
        <f t="shared" ref="I64:I76" si="6">IFERROR(E64*F64,"")</f>
        <v>0</v>
      </c>
      <c r="J64" s="241"/>
      <c r="K64" s="259" t="s">
        <v>324</v>
      </c>
      <c r="L64" s="260">
        <f>SUM(I64:I75)</f>
        <v>1.959666671</v>
      </c>
      <c r="M64" s="261"/>
    </row>
    <row r="65" ht="15.75" customHeight="1">
      <c r="A65" s="307"/>
      <c r="B65" s="262" t="str">
        <f>GYPSI!K30</f>
        <v>#REF!</v>
      </c>
      <c r="C65" s="262" t="str">
        <f>GYPSI!C30</f>
        <v>#REF!</v>
      </c>
      <c r="D65" s="263" t="s">
        <v>14</v>
      </c>
      <c r="E65" s="264" t="str">
        <f>GYPSI!K36</f>
        <v>#REF!</v>
      </c>
      <c r="F65" s="265"/>
      <c r="G65" s="265"/>
      <c r="H65" s="266" t="str">
        <f t="shared" si="5"/>
        <v/>
      </c>
      <c r="I65" s="264" t="str">
        <f t="shared" si="6"/>
        <v/>
      </c>
      <c r="J65" s="241"/>
      <c r="K65" s="267" t="s">
        <v>325</v>
      </c>
      <c r="L65" s="268">
        <v>8.0</v>
      </c>
      <c r="M65" s="261"/>
    </row>
    <row r="66" ht="15.75" customHeight="1">
      <c r="A66" s="307"/>
      <c r="B66" s="269">
        <f t="array" ref="B66">+XLOOKUP(C66,'Base de datos'!C:C,'Base de datos'!A:A,"",FALSE)</f>
        <v>12</v>
      </c>
      <c r="C66" s="270" t="s">
        <v>30</v>
      </c>
      <c r="D66" s="255" t="s">
        <v>14</v>
      </c>
      <c r="E66" s="256">
        <f t="array" ref="E66">+XLOOKUP(B66,'Base de datos'!A:A,'Base de datos'!H:H,0)</f>
        <v>8.181818182</v>
      </c>
      <c r="F66" s="271">
        <v>0.08</v>
      </c>
      <c r="G66" s="271"/>
      <c r="H66" s="258">
        <f t="shared" si="5"/>
        <v>1</v>
      </c>
      <c r="I66" s="256">
        <f t="shared" si="6"/>
        <v>0.6545454545</v>
      </c>
      <c r="J66" s="241"/>
      <c r="K66" s="272" t="s">
        <v>326</v>
      </c>
      <c r="L66" s="273">
        <f>L65/1.1</f>
        <v>7.272727273</v>
      </c>
      <c r="M66" s="274"/>
    </row>
    <row r="67" ht="15.75" customHeight="1">
      <c r="A67" s="307"/>
      <c r="B67" s="269">
        <f t="array" ref="B67">+XLOOKUP(C67,'Base de datos'!C:C,'Base de datos'!A:A,"",FALSE)</f>
        <v>47</v>
      </c>
      <c r="C67" s="270" t="s">
        <v>79</v>
      </c>
      <c r="D67" s="275" t="s">
        <v>20</v>
      </c>
      <c r="E67" s="256">
        <f t="array" ref="E67">+XLOOKUP(B67,'Base de datos'!A:A,'Base de datos'!H:H,0)</f>
        <v>0.5605</v>
      </c>
      <c r="F67" s="271">
        <v>1.0</v>
      </c>
      <c r="G67" s="271">
        <v>1.0</v>
      </c>
      <c r="H67" s="258">
        <f t="shared" si="5"/>
        <v>0</v>
      </c>
      <c r="I67" s="256">
        <f t="shared" si="6"/>
        <v>0.5605</v>
      </c>
      <c r="J67" s="241"/>
      <c r="K67" s="276" t="s">
        <v>327</v>
      </c>
      <c r="L67" s="277">
        <v>0.1</v>
      </c>
      <c r="M67" s="278"/>
    </row>
    <row r="68" ht="15.75" customHeight="1">
      <c r="A68" s="307"/>
      <c r="B68" s="269">
        <f t="array" ref="B68">+XLOOKUP(C68,'Base de datos'!C:C,'Base de datos'!A:A,"",FALSE)</f>
        <v>78</v>
      </c>
      <c r="C68" s="270" t="s">
        <v>99</v>
      </c>
      <c r="D68" s="275" t="s">
        <v>14</v>
      </c>
      <c r="E68" s="256">
        <f t="array" ref="E68">+XLOOKUP(B68,'Base de datos'!A:A,'Base de datos'!H:H,0)</f>
        <v>8.321583333</v>
      </c>
      <c r="F68" s="271">
        <v>0.005</v>
      </c>
      <c r="G68" s="271">
        <v>0.01</v>
      </c>
      <c r="H68" s="258">
        <f t="shared" si="5"/>
        <v>-1</v>
      </c>
      <c r="I68" s="256">
        <f t="shared" si="6"/>
        <v>0.04160791667</v>
      </c>
      <c r="J68" s="241"/>
      <c r="K68" s="279" t="s">
        <v>328</v>
      </c>
      <c r="L68" s="280">
        <f>L64/L66*100</f>
        <v>26.94541672</v>
      </c>
      <c r="M68" s="281" t="s">
        <v>329</v>
      </c>
    </row>
    <row r="69" ht="15.75" customHeight="1">
      <c r="A69" s="307"/>
      <c r="B69" s="269">
        <f t="array" ref="B69">+XLOOKUP(C69,'Base de datos'!C:C,'Base de datos'!A:A,"",FALSE)</f>
        <v>136</v>
      </c>
      <c r="C69" s="270" t="s">
        <v>163</v>
      </c>
      <c r="D69" s="275" t="s">
        <v>14</v>
      </c>
      <c r="E69" s="256">
        <f t="array" ref="E69">+XLOOKUP(B69,'Base de datos'!A:A,'Base de datos'!H:H,0)</f>
        <v>4.763324889</v>
      </c>
      <c r="F69" s="271">
        <v>0.02</v>
      </c>
      <c r="G69" s="271">
        <v>0.02</v>
      </c>
      <c r="H69" s="258">
        <f t="shared" si="5"/>
        <v>0</v>
      </c>
      <c r="I69" s="256">
        <f t="shared" si="6"/>
        <v>0.09526649778</v>
      </c>
      <c r="J69" s="241"/>
      <c r="K69" s="282" t="s">
        <v>330</v>
      </c>
      <c r="L69" s="283">
        <f>100-L68</f>
        <v>73.05458328</v>
      </c>
      <c r="M69" s="284" t="s">
        <v>329</v>
      </c>
    </row>
    <row r="70" ht="15.75" customHeight="1">
      <c r="A70" s="307"/>
      <c r="B70" s="269">
        <f t="array" ref="B70">+XLOOKUP(C70,'Base de datos'!C:C,'Base de datos'!A:A,"",FALSE)</f>
        <v>139</v>
      </c>
      <c r="C70" s="270" t="s">
        <v>166</v>
      </c>
      <c r="D70" s="255" t="s">
        <v>14</v>
      </c>
      <c r="E70" s="256">
        <f t="array" ref="E70">+XLOOKUP(B70,'Base de datos'!A:A,'Base de datos'!H:H,0)</f>
        <v>2.399335022</v>
      </c>
      <c r="F70" s="271">
        <v>0.08</v>
      </c>
      <c r="G70" s="271">
        <v>0.08</v>
      </c>
      <c r="H70" s="258">
        <f t="shared" si="5"/>
        <v>0</v>
      </c>
      <c r="I70" s="256">
        <f t="shared" si="6"/>
        <v>0.1919468017</v>
      </c>
      <c r="J70" s="241"/>
      <c r="L70" s="288"/>
    </row>
    <row r="71" ht="15.75" customHeight="1">
      <c r="A71" s="307"/>
      <c r="B71" s="253" t="str">
        <f t="array" ref="B71">+XLOOKUP(C71,'Base de datos'!C:C,'Base de datos'!A:A,"",FALSE)</f>
        <v/>
      </c>
      <c r="C71" s="270"/>
      <c r="D71" s="275" t="s">
        <v>14</v>
      </c>
      <c r="E71" s="256">
        <f t="array" ref="E71">+XLOOKUP(B71,'Base de datos'!A:A,'Base de datos'!H:H,0)</f>
        <v>0</v>
      </c>
      <c r="F71" s="271">
        <v>0.01</v>
      </c>
      <c r="G71" s="271">
        <v>0.01</v>
      </c>
      <c r="H71" s="258">
        <f t="shared" si="5"/>
        <v>0</v>
      </c>
      <c r="I71" s="256">
        <f t="shared" si="6"/>
        <v>0</v>
      </c>
      <c r="J71" s="241"/>
      <c r="K71" s="250" t="s">
        <v>323</v>
      </c>
      <c r="L71" s="251"/>
      <c r="M71" s="251"/>
    </row>
    <row r="72" ht="15.75" customHeight="1">
      <c r="A72" s="307"/>
      <c r="B72" s="253" t="str">
        <f t="array" ref="B72">+XLOOKUP(C72,'Base de datos'!C:C,'Base de datos'!A:A,"",FALSE)</f>
        <v/>
      </c>
      <c r="C72" s="270"/>
      <c r="D72" s="255" t="s">
        <v>14</v>
      </c>
      <c r="E72" s="256">
        <f t="array" ref="E72">+XLOOKUP(B72,'Base de datos'!A:A,'Base de datos'!H:H,0)</f>
        <v>0</v>
      </c>
      <c r="F72" s="271">
        <v>0.012</v>
      </c>
      <c r="G72" s="271">
        <v>0.012</v>
      </c>
      <c r="H72" s="258">
        <f t="shared" si="5"/>
        <v>0</v>
      </c>
      <c r="I72" s="256">
        <f t="shared" si="6"/>
        <v>0</v>
      </c>
      <c r="J72" s="241"/>
      <c r="K72" s="259" t="s">
        <v>324</v>
      </c>
      <c r="L72" s="260">
        <f>L64</f>
        <v>1.959666671</v>
      </c>
      <c r="M72" s="261"/>
    </row>
    <row r="73" ht="15.75" customHeight="1">
      <c r="A73" s="307"/>
      <c r="B73" s="269">
        <f t="array" ref="B73">+XLOOKUP(C73,'Base de datos'!C:C,'Base de datos'!A:A,"",FALSE)</f>
        <v>93</v>
      </c>
      <c r="C73" s="270" t="s">
        <v>114</v>
      </c>
      <c r="D73" s="275" t="s">
        <v>20</v>
      </c>
      <c r="E73" s="256">
        <f t="array" ref="E73">+XLOOKUP(B73,'Base de datos'!A:A,'Base de datos'!H:H,0)</f>
        <v>0.0277</v>
      </c>
      <c r="F73" s="271">
        <v>1.0</v>
      </c>
      <c r="G73" s="271">
        <v>1.0</v>
      </c>
      <c r="H73" s="258">
        <f t="shared" si="5"/>
        <v>0</v>
      </c>
      <c r="I73" s="256">
        <f t="shared" si="6"/>
        <v>0.0277</v>
      </c>
      <c r="J73" s="241"/>
      <c r="K73" s="267" t="s">
        <v>325</v>
      </c>
      <c r="L73" s="268">
        <v>9.9</v>
      </c>
      <c r="M73" s="261"/>
    </row>
    <row r="74" ht="15.75" customHeight="1">
      <c r="A74" s="307"/>
      <c r="B74" s="269">
        <f t="array" ref="B74">+XLOOKUP(C74,'Base de datos'!C:C,'Base de datos'!A:A,"",FALSE)</f>
        <v>29</v>
      </c>
      <c r="C74" s="270" t="s">
        <v>54</v>
      </c>
      <c r="D74" s="275" t="s">
        <v>20</v>
      </c>
      <c r="E74" s="256">
        <f t="array" ref="E74">+XLOOKUP(B74,'Base de datos'!A:A,'Base de datos'!H:H,0)</f>
        <v>0.1946</v>
      </c>
      <c r="F74" s="271">
        <v>1.0</v>
      </c>
      <c r="G74" s="271">
        <v>1.0</v>
      </c>
      <c r="H74" s="258">
        <f t="shared" si="5"/>
        <v>0</v>
      </c>
      <c r="I74" s="256">
        <f t="shared" si="6"/>
        <v>0.1946</v>
      </c>
      <c r="J74" s="241"/>
      <c r="K74" s="272" t="s">
        <v>326</v>
      </c>
      <c r="L74" s="273">
        <f>L73/1.1</f>
        <v>9</v>
      </c>
      <c r="M74" s="274"/>
    </row>
    <row r="75" ht="15.75" customHeight="1">
      <c r="A75" s="307"/>
      <c r="B75" s="269">
        <f t="array" ref="B75">+XLOOKUP(C75,'Base de datos'!C:C,'Base de datos'!A:A,"",FALSE)</f>
        <v>58</v>
      </c>
      <c r="C75" s="270" t="s">
        <v>85</v>
      </c>
      <c r="D75" s="255" t="s">
        <v>14</v>
      </c>
      <c r="E75" s="256">
        <f t="array" ref="E75">+XLOOKUP(B75,'Base de datos'!A:A,'Base de datos'!H:H,0)</f>
        <v>2.15</v>
      </c>
      <c r="F75" s="271">
        <v>0.09</v>
      </c>
      <c r="G75" s="257"/>
      <c r="H75" s="258">
        <f t="shared" si="5"/>
        <v>1</v>
      </c>
      <c r="I75" s="256">
        <f t="shared" si="6"/>
        <v>0.1935</v>
      </c>
      <c r="J75" s="241"/>
      <c r="K75" s="276" t="s">
        <v>327</v>
      </c>
      <c r="L75" s="277">
        <v>0.1</v>
      </c>
      <c r="M75" s="278"/>
    </row>
    <row r="76" ht="15.75" customHeight="1">
      <c r="A76" s="307"/>
      <c r="B76" s="269">
        <f t="array" ref="B76">+XLOOKUP(C76,'Base de datos'!C:C,'Base de datos'!A:A,"",FALSE)</f>
        <v>69</v>
      </c>
      <c r="C76" s="270" t="s">
        <v>91</v>
      </c>
      <c r="D76" s="275" t="s">
        <v>20</v>
      </c>
      <c r="E76" s="256">
        <f t="array" ref="E76">+XLOOKUP(B76,'Base de datos'!A:A,'Base de datos'!H:H,0)</f>
        <v>0.07054166667</v>
      </c>
      <c r="F76" s="271">
        <v>1.0</v>
      </c>
      <c r="G76" s="257"/>
      <c r="H76" s="258">
        <f t="shared" si="5"/>
        <v>1</v>
      </c>
      <c r="I76" s="256">
        <f t="shared" si="6"/>
        <v>0.07054166667</v>
      </c>
      <c r="J76" s="241"/>
      <c r="K76" s="279" t="s">
        <v>328</v>
      </c>
      <c r="L76" s="280">
        <f>L72/L74*100</f>
        <v>21.77407412</v>
      </c>
      <c r="M76" s="281" t="s">
        <v>329</v>
      </c>
    </row>
    <row r="77" ht="15.75" customHeight="1">
      <c r="A77" s="307"/>
      <c r="B77" s="240"/>
      <c r="C77" s="241"/>
      <c r="D77" s="242"/>
      <c r="E77" s="243"/>
      <c r="F77" s="244"/>
      <c r="G77" s="244"/>
      <c r="H77" s="241"/>
      <c r="I77" s="241"/>
      <c r="J77" s="241"/>
      <c r="K77" s="285" t="s">
        <v>330</v>
      </c>
      <c r="L77" s="286">
        <f>L74-L72</f>
        <v>7.040333329</v>
      </c>
      <c r="M77" s="287" t="s">
        <v>331</v>
      </c>
    </row>
    <row r="78" ht="15.75" customHeight="1">
      <c r="A78" s="307"/>
      <c r="B78" s="295"/>
      <c r="C78" s="296" t="s">
        <v>337</v>
      </c>
      <c r="D78" s="297"/>
      <c r="E78" s="297"/>
      <c r="F78" s="297"/>
      <c r="G78" s="297"/>
      <c r="H78" s="297"/>
      <c r="I78" s="298"/>
      <c r="J78" s="241"/>
      <c r="K78" s="289" t="s">
        <v>332</v>
      </c>
      <c r="L78" s="290">
        <f>L74-L72-(L73*0.2)</f>
        <v>5.060333329</v>
      </c>
      <c r="M78" s="291" t="s">
        <v>331</v>
      </c>
    </row>
    <row r="79" ht="15.75" customHeight="1">
      <c r="A79" s="307"/>
      <c r="B79" s="299"/>
      <c r="C79" s="300"/>
      <c r="D79" s="297"/>
      <c r="E79" s="297"/>
      <c r="F79" s="297"/>
      <c r="G79" s="297"/>
      <c r="H79" s="297"/>
      <c r="I79" s="298"/>
      <c r="J79" s="241"/>
      <c r="K79" s="289" t="s">
        <v>332</v>
      </c>
      <c r="L79" s="292">
        <f>L78/L74</f>
        <v>0.5622592588</v>
      </c>
      <c r="M79" s="291" t="s">
        <v>329</v>
      </c>
    </row>
    <row r="80" ht="15.75" customHeight="1">
      <c r="A80" s="307"/>
      <c r="B80" s="301"/>
      <c r="C80" s="302"/>
      <c r="I80" s="278"/>
      <c r="J80" s="241"/>
      <c r="K80" s="241"/>
      <c r="L80" s="241"/>
    </row>
    <row r="81" ht="15.75" customHeight="1">
      <c r="A81" s="307"/>
      <c r="B81" s="301"/>
      <c r="C81" s="302"/>
      <c r="I81" s="278"/>
      <c r="J81" s="241"/>
      <c r="K81" s="241"/>
      <c r="L81" s="241"/>
    </row>
    <row r="82" ht="15.75" customHeight="1">
      <c r="A82" s="307"/>
      <c r="B82" s="301"/>
      <c r="C82" s="302"/>
      <c r="I82" s="278"/>
      <c r="J82" s="241"/>
      <c r="K82" s="241"/>
      <c r="L82" s="241"/>
    </row>
    <row r="83" ht="15.75" customHeight="1">
      <c r="A83" s="307"/>
      <c r="B83" s="301"/>
      <c r="C83" s="302"/>
      <c r="I83" s="278"/>
      <c r="J83" s="241"/>
      <c r="K83" s="241"/>
      <c r="L83" s="241"/>
    </row>
    <row r="84" ht="15.75" customHeight="1">
      <c r="A84" s="307"/>
      <c r="B84" s="301"/>
      <c r="C84" s="302"/>
      <c r="I84" s="278"/>
      <c r="J84" s="241"/>
      <c r="K84" s="241"/>
      <c r="L84" s="241"/>
    </row>
    <row r="85" ht="15.75" customHeight="1">
      <c r="A85" s="307"/>
      <c r="B85" s="301"/>
      <c r="C85" s="302"/>
      <c r="I85" s="278"/>
      <c r="J85" s="241"/>
      <c r="K85" s="241"/>
      <c r="L85" s="241"/>
    </row>
    <row r="86" ht="15.75" customHeight="1">
      <c r="A86" s="307"/>
      <c r="B86" s="301"/>
      <c r="C86" s="304"/>
      <c r="D86" s="305"/>
      <c r="E86" s="305"/>
      <c r="F86" s="305"/>
      <c r="G86" s="305"/>
      <c r="H86" s="305"/>
      <c r="I86" s="274"/>
      <c r="J86" s="241"/>
      <c r="K86" s="241"/>
      <c r="L86" s="241"/>
    </row>
    <row r="87" ht="15.75" customHeight="1">
      <c r="A87" s="307"/>
      <c r="B87" s="307"/>
      <c r="D87" s="308"/>
      <c r="E87" s="309"/>
    </row>
    <row r="88" ht="15.75" customHeight="1">
      <c r="A88" s="307"/>
      <c r="B88" s="230"/>
      <c r="C88" s="230"/>
      <c r="D88" s="230"/>
      <c r="E88" s="231"/>
      <c r="F88" s="232"/>
      <c r="G88" s="232"/>
      <c r="H88" s="230"/>
      <c r="I88" s="230"/>
      <c r="J88" s="230"/>
      <c r="K88" s="230"/>
      <c r="L88" s="230"/>
      <c r="M88" s="233"/>
    </row>
    <row r="89" ht="15.75" customHeight="1">
      <c r="A89" s="307"/>
      <c r="B89" s="234"/>
      <c r="C89" s="235" t="s">
        <v>313</v>
      </c>
      <c r="D89" s="236" t="s">
        <v>246</v>
      </c>
      <c r="E89" s="237"/>
      <c r="F89" s="237"/>
      <c r="G89" s="237"/>
      <c r="H89" s="237"/>
      <c r="I89" s="237"/>
      <c r="J89" s="238"/>
      <c r="K89" s="231"/>
      <c r="L89" s="230"/>
      <c r="M89" s="233"/>
    </row>
    <row r="90" ht="15.75" customHeight="1">
      <c r="A90" s="307"/>
      <c r="B90" s="239"/>
      <c r="C90" s="230"/>
      <c r="D90" s="230"/>
      <c r="E90" s="231"/>
      <c r="F90" s="232"/>
      <c r="G90" s="232"/>
      <c r="H90" s="230"/>
      <c r="I90" s="230"/>
      <c r="J90" s="230"/>
      <c r="K90" s="230"/>
      <c r="L90" s="230"/>
      <c r="M90" s="233"/>
    </row>
    <row r="91" ht="15.75" customHeight="1">
      <c r="A91" s="307"/>
      <c r="B91" s="240"/>
      <c r="C91" s="241"/>
      <c r="D91" s="242"/>
      <c r="E91" s="243"/>
      <c r="F91" s="244"/>
      <c r="G91" s="244"/>
      <c r="H91" s="241"/>
      <c r="I91" s="241"/>
      <c r="J91" s="241"/>
      <c r="K91" s="241"/>
      <c r="L91" s="241"/>
    </row>
    <row r="92" ht="15.75" customHeight="1">
      <c r="A92" s="307"/>
      <c r="B92" s="246" t="s">
        <v>0</v>
      </c>
      <c r="C92" s="246" t="s">
        <v>315</v>
      </c>
      <c r="D92" s="246" t="s">
        <v>316</v>
      </c>
      <c r="E92" s="247" t="s">
        <v>317</v>
      </c>
      <c r="F92" s="248" t="s">
        <v>318</v>
      </c>
      <c r="G92" s="248" t="s">
        <v>319</v>
      </c>
      <c r="H92" s="246" t="s">
        <v>320</v>
      </c>
      <c r="I92" s="246" t="s">
        <v>321</v>
      </c>
      <c r="J92" s="249"/>
      <c r="K92" s="250" t="s">
        <v>322</v>
      </c>
      <c r="L92" s="475" t="s">
        <v>745</v>
      </c>
      <c r="M92" s="251"/>
    </row>
    <row r="93" ht="15.75" customHeight="1">
      <c r="A93" s="307"/>
      <c r="B93" s="253" t="str">
        <f t="array" ref="B93">+XLOOKUP(C93,'Base de datos'!C:C,'Base de datos'!A:A,"",FALSE)</f>
        <v/>
      </c>
      <c r="C93" s="254"/>
      <c r="D93" s="255" t="s">
        <v>14</v>
      </c>
      <c r="E93" s="256">
        <f t="array" ref="E93">+XLOOKUP(B93,'Base de datos'!A:A,'Base de datos'!H:H,0)</f>
        <v>0</v>
      </c>
      <c r="F93" s="257"/>
      <c r="G93" s="257"/>
      <c r="H93" s="258" t="str">
        <f t="shared" ref="H93:H100" si="7">IFERROR(1-G93/F93,"")</f>
        <v/>
      </c>
      <c r="I93" s="256">
        <f t="shared" ref="I93:I104" si="8">IFERROR(E93*F93,"")</f>
        <v>0</v>
      </c>
      <c r="J93" s="241"/>
      <c r="K93" s="259" t="s">
        <v>324</v>
      </c>
      <c r="L93" s="260">
        <f>SUM(I93:I104)</f>
        <v>1.980045455</v>
      </c>
      <c r="M93" s="261"/>
    </row>
    <row r="94" ht="15.75" customHeight="1">
      <c r="A94" s="307"/>
      <c r="B94" s="262" t="str">
        <f>'SMASH SERRANITO'!K29</f>
        <v>#REF!</v>
      </c>
      <c r="C94" s="262" t="str">
        <f>'SMASH SERRANITO'!C29</f>
        <v>#REF!</v>
      </c>
      <c r="D94" s="263" t="s">
        <v>14</v>
      </c>
      <c r="E94" s="264" t="str">
        <f>'SMASH SERRANITO'!K35</f>
        <v>#REF!</v>
      </c>
      <c r="F94" s="265"/>
      <c r="G94" s="265"/>
      <c r="H94" s="266" t="str">
        <f t="shared" si="7"/>
        <v/>
      </c>
      <c r="I94" s="264" t="str">
        <f t="shared" si="8"/>
        <v/>
      </c>
      <c r="J94" s="241"/>
      <c r="K94" s="267" t="s">
        <v>325</v>
      </c>
      <c r="L94" s="268">
        <v>8.0</v>
      </c>
      <c r="M94" s="261"/>
    </row>
    <row r="95" ht="15.75" customHeight="1">
      <c r="A95" s="307"/>
      <c r="B95" s="269">
        <f t="array" ref="B95">+XLOOKUP(C95,'Base de datos'!C:C,'Base de datos'!A:A,"",FALSE)</f>
        <v>12</v>
      </c>
      <c r="C95" s="270" t="s">
        <v>30</v>
      </c>
      <c r="D95" s="255" t="s">
        <v>14</v>
      </c>
      <c r="E95" s="256">
        <f t="array" ref="E95">+XLOOKUP(B95,'Base de datos'!A:A,'Base de datos'!H:H,0)</f>
        <v>8.181818182</v>
      </c>
      <c r="F95" s="271">
        <v>0.08</v>
      </c>
      <c r="G95" s="271">
        <v>0.08</v>
      </c>
      <c r="H95" s="258">
        <f t="shared" si="7"/>
        <v>0</v>
      </c>
      <c r="I95" s="256">
        <f t="shared" si="8"/>
        <v>0.6545454545</v>
      </c>
      <c r="J95" s="241"/>
      <c r="K95" s="272" t="s">
        <v>326</v>
      </c>
      <c r="L95" s="273">
        <f>L94/1.1</f>
        <v>7.272727273</v>
      </c>
      <c r="M95" s="274"/>
    </row>
    <row r="96" ht="15.75" customHeight="1">
      <c r="A96" s="307"/>
      <c r="B96" s="269">
        <f t="array" ref="B96">+XLOOKUP(C96,'Base de datos'!C:C,'Base de datos'!A:A,"",FALSE)</f>
        <v>47</v>
      </c>
      <c r="C96" s="270" t="s">
        <v>79</v>
      </c>
      <c r="D96" s="275" t="s">
        <v>20</v>
      </c>
      <c r="E96" s="256">
        <f t="array" ref="E96">+XLOOKUP(B96,'Base de datos'!A:A,'Base de datos'!H:H,0)</f>
        <v>0.5605</v>
      </c>
      <c r="F96" s="271">
        <v>1.0</v>
      </c>
      <c r="G96" s="271">
        <v>1.0</v>
      </c>
      <c r="H96" s="258">
        <f t="shared" si="7"/>
        <v>0</v>
      </c>
      <c r="I96" s="256">
        <f t="shared" si="8"/>
        <v>0.5605</v>
      </c>
      <c r="J96" s="241"/>
      <c r="K96" s="276" t="s">
        <v>327</v>
      </c>
      <c r="L96" s="277">
        <v>0.1</v>
      </c>
      <c r="M96" s="278"/>
    </row>
    <row r="97" ht="15.75" customHeight="1">
      <c r="A97" s="307"/>
      <c r="B97" s="269">
        <f t="array" ref="B97">+XLOOKUP(C97,'Base de datos'!C:C,'Base de datos'!A:A,"",FALSE)</f>
        <v>96</v>
      </c>
      <c r="C97" s="270" t="s">
        <v>118</v>
      </c>
      <c r="D97" s="275" t="s">
        <v>14</v>
      </c>
      <c r="E97" s="256">
        <f t="array" ref="E97">+XLOOKUP(B97,'Base de datos'!A:A,'Base de datos'!H:H,0)</f>
        <v>1.8</v>
      </c>
      <c r="F97" s="271">
        <v>0.01</v>
      </c>
      <c r="G97" s="271">
        <v>0.01</v>
      </c>
      <c r="H97" s="258">
        <f t="shared" si="7"/>
        <v>0</v>
      </c>
      <c r="I97" s="256">
        <f t="shared" si="8"/>
        <v>0.018</v>
      </c>
      <c r="J97" s="241"/>
      <c r="K97" s="279" t="s">
        <v>328</v>
      </c>
      <c r="L97" s="280">
        <f>L93/L95*100</f>
        <v>27.225625</v>
      </c>
      <c r="M97" s="281" t="s">
        <v>329</v>
      </c>
    </row>
    <row r="98" ht="15.75" customHeight="1">
      <c r="A98" s="307"/>
      <c r="B98" s="269">
        <f t="array" ref="B98">+XLOOKUP(C98,'Base de datos'!C:C,'Base de datos'!A:A,"",FALSE)</f>
        <v>72</v>
      </c>
      <c r="C98" s="270" t="s">
        <v>93</v>
      </c>
      <c r="D98" s="275" t="s">
        <v>14</v>
      </c>
      <c r="E98" s="256">
        <f t="array" ref="E98">+XLOOKUP(B98,'Base de datos'!A:A,'Base de datos'!H:H,0)</f>
        <v>2</v>
      </c>
      <c r="F98" s="271">
        <v>0.01</v>
      </c>
      <c r="G98" s="271">
        <v>0.01</v>
      </c>
      <c r="H98" s="258">
        <f t="shared" si="7"/>
        <v>0</v>
      </c>
      <c r="I98" s="256">
        <f t="shared" si="8"/>
        <v>0.02</v>
      </c>
      <c r="J98" s="241"/>
      <c r="K98" s="282" t="s">
        <v>330</v>
      </c>
      <c r="L98" s="283">
        <f>100-L97</f>
        <v>72.774375</v>
      </c>
      <c r="M98" s="284" t="s">
        <v>329</v>
      </c>
    </row>
    <row r="99" ht="15.75" customHeight="1">
      <c r="A99" s="307"/>
      <c r="B99" s="269">
        <f t="array" ref="B99">+XLOOKUP(C99,'Base de datos'!C:C,'Base de datos'!A:A,"",FALSE)</f>
        <v>37</v>
      </c>
      <c r="C99" s="270" t="s">
        <v>66</v>
      </c>
      <c r="D99" s="255" t="s">
        <v>14</v>
      </c>
      <c r="E99" s="256">
        <f t="array" ref="E99">+XLOOKUP(B99,'Base de datos'!A:A,'Base de datos'!H:H,0)</f>
        <v>7</v>
      </c>
      <c r="F99" s="271">
        <v>0.02</v>
      </c>
      <c r="G99" s="271">
        <v>0.02</v>
      </c>
      <c r="H99" s="258">
        <f t="shared" si="7"/>
        <v>0</v>
      </c>
      <c r="I99" s="256">
        <f t="shared" si="8"/>
        <v>0.14</v>
      </c>
      <c r="J99" s="241"/>
      <c r="L99" s="288"/>
    </row>
    <row r="100" ht="15.75" customHeight="1">
      <c r="A100" s="307"/>
      <c r="B100" s="253" t="str">
        <f t="array" ref="B100">+XLOOKUP(C100,'Base de datos'!C:C,'Base de datos'!A:A,"",FALSE)</f>
        <v/>
      </c>
      <c r="C100" s="270"/>
      <c r="D100" s="275" t="s">
        <v>11</v>
      </c>
      <c r="E100" s="256">
        <f t="array" ref="E100">+XLOOKUP(B100,'Base de datos'!A:A,'Base de datos'!H:H,0)</f>
        <v>0</v>
      </c>
      <c r="F100" s="271">
        <v>0.02</v>
      </c>
      <c r="G100" s="271">
        <v>0.02</v>
      </c>
      <c r="H100" s="258">
        <f t="shared" si="7"/>
        <v>0</v>
      </c>
      <c r="I100" s="256">
        <f t="shared" si="8"/>
        <v>0</v>
      </c>
      <c r="J100" s="241"/>
      <c r="K100" s="250" t="s">
        <v>323</v>
      </c>
      <c r="L100" s="251"/>
      <c r="M100" s="251"/>
    </row>
    <row r="101" ht="15.75" customHeight="1">
      <c r="A101" s="307"/>
      <c r="B101" s="269">
        <f t="array" ref="B101">+XLOOKUP(C101,'Base de datos'!C:C,'Base de datos'!A:A,"",FALSE)</f>
        <v>24</v>
      </c>
      <c r="C101" s="270" t="s">
        <v>47</v>
      </c>
      <c r="D101" s="255" t="s">
        <v>14</v>
      </c>
      <c r="E101" s="256">
        <f t="array" ref="E101">+XLOOKUP(B101,'Base de datos'!A:A,'Base de datos'!H:H,0)</f>
        <v>8.56</v>
      </c>
      <c r="F101" s="271">
        <v>0.02</v>
      </c>
      <c r="G101" s="257"/>
      <c r="H101" s="258"/>
      <c r="I101" s="256">
        <f t="shared" si="8"/>
        <v>0.1712</v>
      </c>
      <c r="J101" s="241"/>
      <c r="K101" s="259" t="s">
        <v>324</v>
      </c>
      <c r="L101" s="260">
        <f>L93</f>
        <v>1.980045455</v>
      </c>
      <c r="M101" s="261"/>
    </row>
    <row r="102" ht="15.75" customHeight="1">
      <c r="A102" s="307"/>
      <c r="B102" s="269">
        <f t="array" ref="B102">+XLOOKUP(C102,'Base de datos'!C:C,'Base de datos'!A:A,"",FALSE)</f>
        <v>93</v>
      </c>
      <c r="C102" s="270" t="s">
        <v>114</v>
      </c>
      <c r="D102" s="275" t="s">
        <v>20</v>
      </c>
      <c r="E102" s="256">
        <f t="array" ref="E102">+XLOOKUP(B102,'Base de datos'!A:A,'Base de datos'!H:H,0)</f>
        <v>0.0277</v>
      </c>
      <c r="F102" s="271">
        <v>1.0</v>
      </c>
      <c r="G102" s="271">
        <v>1.0</v>
      </c>
      <c r="H102" s="258">
        <f t="shared" ref="H102:H104" si="9">IFERROR(1-G102/F102,"")</f>
        <v>0</v>
      </c>
      <c r="I102" s="256">
        <f t="shared" si="8"/>
        <v>0.0277</v>
      </c>
      <c r="J102" s="241"/>
      <c r="K102" s="267" t="s">
        <v>325</v>
      </c>
      <c r="L102" s="268">
        <v>11.9</v>
      </c>
      <c r="M102" s="261"/>
    </row>
    <row r="103" ht="15.75" customHeight="1">
      <c r="A103" s="307"/>
      <c r="B103" s="269">
        <f t="array" ref="B103">+XLOOKUP(C103,'Base de datos'!C:C,'Base de datos'!A:A,"",FALSE)</f>
        <v>29</v>
      </c>
      <c r="C103" s="270" t="s">
        <v>54</v>
      </c>
      <c r="D103" s="275" t="s">
        <v>20</v>
      </c>
      <c r="E103" s="256">
        <f t="array" ref="E103">+XLOOKUP(B103,'Base de datos'!A:A,'Base de datos'!H:H,0)</f>
        <v>0.1946</v>
      </c>
      <c r="F103" s="271">
        <v>1.0</v>
      </c>
      <c r="G103" s="271">
        <v>1.0</v>
      </c>
      <c r="H103" s="258">
        <f t="shared" si="9"/>
        <v>0</v>
      </c>
      <c r="I103" s="256">
        <f t="shared" si="8"/>
        <v>0.1946</v>
      </c>
      <c r="J103" s="241"/>
      <c r="K103" s="272" t="s">
        <v>326</v>
      </c>
      <c r="L103" s="273">
        <f>L102/1.1</f>
        <v>10.81818182</v>
      </c>
      <c r="M103" s="274"/>
    </row>
    <row r="104" ht="15.75" customHeight="1">
      <c r="A104" s="307"/>
      <c r="B104" s="269">
        <f t="array" ref="B104">+XLOOKUP(C104,'Base de datos'!C:C,'Base de datos'!A:A,"",FALSE)</f>
        <v>58</v>
      </c>
      <c r="C104" s="270" t="s">
        <v>85</v>
      </c>
      <c r="D104" s="255" t="s">
        <v>14</v>
      </c>
      <c r="E104" s="256">
        <f t="array" ref="E104">+XLOOKUP(B104,'Base de datos'!A:A,'Base de datos'!H:H,0)</f>
        <v>2.15</v>
      </c>
      <c r="F104" s="271">
        <v>0.09</v>
      </c>
      <c r="G104" s="257"/>
      <c r="H104" s="258">
        <f t="shared" si="9"/>
        <v>1</v>
      </c>
      <c r="I104" s="256">
        <f t="shared" si="8"/>
        <v>0.1935</v>
      </c>
      <c r="J104" s="241"/>
      <c r="K104" s="276" t="s">
        <v>327</v>
      </c>
      <c r="L104" s="277">
        <v>0.1</v>
      </c>
      <c r="M104" s="278"/>
    </row>
    <row r="105" ht="15.75" customHeight="1">
      <c r="A105" s="307"/>
      <c r="B105" s="240"/>
      <c r="C105" s="241"/>
      <c r="D105" s="242"/>
      <c r="E105" s="243"/>
      <c r="F105" s="244"/>
      <c r="G105" s="244"/>
      <c r="H105" s="241"/>
      <c r="I105" s="241"/>
      <c r="J105" s="241"/>
      <c r="K105" s="279" t="s">
        <v>328</v>
      </c>
      <c r="L105" s="280">
        <f>L101/L103*100</f>
        <v>18.30294118</v>
      </c>
      <c r="M105" s="281" t="s">
        <v>329</v>
      </c>
    </row>
    <row r="106" ht="15.75" customHeight="1">
      <c r="A106" s="307"/>
      <c r="B106" s="295"/>
      <c r="C106" s="296" t="s">
        <v>337</v>
      </c>
      <c r="D106" s="297"/>
      <c r="E106" s="297"/>
      <c r="F106" s="297"/>
      <c r="G106" s="297"/>
      <c r="H106" s="297"/>
      <c r="I106" s="298"/>
      <c r="J106" s="241"/>
      <c r="K106" s="285" t="s">
        <v>330</v>
      </c>
      <c r="L106" s="286">
        <f>L103-L101</f>
        <v>8.838136364</v>
      </c>
      <c r="M106" s="287" t="s">
        <v>331</v>
      </c>
    </row>
    <row r="107" ht="15.75" customHeight="1">
      <c r="A107" s="307"/>
      <c r="B107" s="299"/>
      <c r="C107" s="300"/>
      <c r="D107" s="297"/>
      <c r="E107" s="297"/>
      <c r="F107" s="297"/>
      <c r="G107" s="297"/>
      <c r="H107" s="297"/>
      <c r="I107" s="298"/>
      <c r="J107" s="241"/>
      <c r="K107" s="289" t="s">
        <v>332</v>
      </c>
      <c r="L107" s="290">
        <f>L103-L101-(L102*0.2)</f>
        <v>6.458136364</v>
      </c>
      <c r="M107" s="291" t="s">
        <v>331</v>
      </c>
    </row>
    <row r="108" ht="15.75" customHeight="1">
      <c r="A108" s="307"/>
      <c r="B108" s="301"/>
      <c r="C108" s="302"/>
      <c r="I108" s="278"/>
      <c r="J108" s="241"/>
      <c r="K108" s="289" t="s">
        <v>332</v>
      </c>
      <c r="L108" s="292">
        <f>L107/L103</f>
        <v>0.5969705882</v>
      </c>
      <c r="M108" s="291" t="s">
        <v>329</v>
      </c>
    </row>
    <row r="109" ht="15.75" customHeight="1">
      <c r="A109" s="307"/>
      <c r="B109" s="301"/>
      <c r="C109" s="302"/>
      <c r="I109" s="278"/>
      <c r="J109" s="241"/>
      <c r="K109" s="241"/>
      <c r="L109" s="241"/>
    </row>
    <row r="110" ht="15.75" customHeight="1">
      <c r="A110" s="307"/>
      <c r="B110" s="301"/>
      <c r="C110" s="302"/>
      <c r="I110" s="278"/>
      <c r="J110" s="241"/>
      <c r="K110" s="241"/>
      <c r="L110" s="241"/>
    </row>
    <row r="111" ht="15.75" customHeight="1">
      <c r="A111" s="307"/>
      <c r="B111" s="301"/>
      <c r="C111" s="302"/>
      <c r="I111" s="278"/>
      <c r="J111" s="241"/>
      <c r="K111" s="241"/>
      <c r="L111" s="241"/>
    </row>
    <row r="112" ht="15.75" customHeight="1">
      <c r="A112" s="307"/>
      <c r="B112" s="301"/>
      <c r="C112" s="302"/>
      <c r="I112" s="278"/>
      <c r="J112" s="241"/>
      <c r="K112" s="241"/>
      <c r="L112" s="241"/>
    </row>
    <row r="113" ht="15.75" customHeight="1">
      <c r="A113" s="307"/>
      <c r="B113" s="301"/>
      <c r="C113" s="302"/>
      <c r="I113" s="278"/>
      <c r="J113" s="241"/>
      <c r="K113" s="241"/>
      <c r="L113" s="241"/>
    </row>
    <row r="114" ht="15.75" customHeight="1">
      <c r="A114" s="307"/>
      <c r="B114" s="301"/>
      <c r="C114" s="304"/>
      <c r="D114" s="305"/>
      <c r="E114" s="305"/>
      <c r="F114" s="305"/>
      <c r="G114" s="305"/>
      <c r="H114" s="305"/>
      <c r="I114" s="274"/>
      <c r="J114" s="241"/>
      <c r="K114" s="241"/>
      <c r="L114" s="241"/>
    </row>
    <row r="115" ht="15.75" customHeight="1">
      <c r="A115" s="307"/>
      <c r="B115" s="307"/>
      <c r="D115" s="308"/>
      <c r="E115" s="309"/>
    </row>
    <row r="116" ht="15.75" customHeight="1">
      <c r="A116" s="307"/>
      <c r="B116" s="230"/>
      <c r="C116" s="230"/>
      <c r="D116" s="230"/>
      <c r="E116" s="231"/>
      <c r="F116" s="232"/>
      <c r="G116" s="232"/>
      <c r="H116" s="230"/>
      <c r="I116" s="230"/>
      <c r="J116" s="230"/>
      <c r="K116" s="230"/>
      <c r="L116" s="230"/>
      <c r="M116" s="233"/>
    </row>
    <row r="117" ht="15.75" customHeight="1">
      <c r="A117" s="307"/>
      <c r="B117" s="234"/>
      <c r="C117" s="235" t="s">
        <v>313</v>
      </c>
      <c r="D117" s="236" t="s">
        <v>746</v>
      </c>
      <c r="E117" s="237"/>
      <c r="F117" s="237"/>
      <c r="G117" s="237"/>
      <c r="H117" s="237"/>
      <c r="I117" s="237"/>
      <c r="J117" s="476"/>
      <c r="K117" s="310" t="s">
        <v>340</v>
      </c>
      <c r="L117" s="230"/>
      <c r="M117" s="233"/>
    </row>
    <row r="118" ht="15.75" customHeight="1">
      <c r="A118" s="307"/>
      <c r="B118" s="239"/>
      <c r="C118" s="230"/>
      <c r="D118" s="230"/>
      <c r="E118" s="231"/>
      <c r="F118" s="232"/>
      <c r="G118" s="232"/>
      <c r="H118" s="230"/>
      <c r="I118" s="230"/>
      <c r="J118" s="230"/>
      <c r="K118" s="230"/>
      <c r="L118" s="230"/>
      <c r="M118" s="233"/>
    </row>
    <row r="119" ht="15.75" customHeight="1">
      <c r="A119" s="307"/>
      <c r="B119" s="240"/>
      <c r="C119" s="241"/>
      <c r="D119" s="242"/>
      <c r="E119" s="243"/>
      <c r="F119" s="244"/>
      <c r="G119" s="244"/>
      <c r="H119" s="241"/>
      <c r="I119" s="241"/>
      <c r="J119" s="241"/>
      <c r="K119" s="241"/>
      <c r="L119" s="241"/>
    </row>
    <row r="120" ht="15.75" customHeight="1">
      <c r="A120" s="307"/>
      <c r="B120" s="246" t="s">
        <v>0</v>
      </c>
      <c r="C120" s="246" t="s">
        <v>315</v>
      </c>
      <c r="D120" s="246" t="s">
        <v>316</v>
      </c>
      <c r="E120" s="247" t="s">
        <v>317</v>
      </c>
      <c r="F120" s="248" t="s">
        <v>318</v>
      </c>
      <c r="G120" s="248" t="s">
        <v>319</v>
      </c>
      <c r="H120" s="246" t="s">
        <v>320</v>
      </c>
      <c r="I120" s="246" t="s">
        <v>321</v>
      </c>
      <c r="J120" s="249"/>
      <c r="K120" s="250" t="s">
        <v>322</v>
      </c>
      <c r="L120" s="250" t="s">
        <v>747</v>
      </c>
      <c r="M120" s="251"/>
    </row>
    <row r="121" ht="15.75" customHeight="1">
      <c r="A121" s="307"/>
      <c r="B121" s="253" t="str">
        <f t="array" ref="B121">+XLOOKUP(C121,'Base de datos'!C:C,'Base de datos'!A:A,"",FALSE)</f>
        <v/>
      </c>
      <c r="C121" s="254"/>
      <c r="D121" s="255" t="s">
        <v>14</v>
      </c>
      <c r="E121" s="256">
        <f t="array" ref="E121">+XLOOKUP(B121,'Base de datos'!A:A,'Base de datos'!H:H,0)</f>
        <v>0</v>
      </c>
      <c r="F121" s="257"/>
      <c r="G121" s="257"/>
      <c r="H121" s="258" t="str">
        <f t="shared" ref="H121:H127" si="10">IFERROR(1-G121/F121,"")</f>
        <v/>
      </c>
      <c r="I121" s="256">
        <f t="shared" ref="I121:I132" si="11">IFERROR(E121*F121,"")</f>
        <v>0</v>
      </c>
      <c r="J121" s="241"/>
      <c r="K121" s="259" t="s">
        <v>324</v>
      </c>
      <c r="L121" s="260">
        <f>SUM(I121:I132)</f>
        <v>1.854334615</v>
      </c>
      <c r="M121" s="261"/>
    </row>
    <row r="122" ht="15.75" customHeight="1">
      <c r="A122" s="307"/>
      <c r="B122" s="262" t="str">
        <f>'BRIOCH CESAR ASADO'!K29</f>
        <v>#REF!</v>
      </c>
      <c r="C122" s="262" t="str">
        <f>'BRIOCH CESAR ASADO'!C29</f>
        <v>#REF!</v>
      </c>
      <c r="D122" s="263" t="s">
        <v>14</v>
      </c>
      <c r="E122" s="264" t="str">
        <f>'BRIOCH CESAR ASADO'!K35</f>
        <v>#REF!</v>
      </c>
      <c r="F122" s="265"/>
      <c r="G122" s="265"/>
      <c r="H122" s="266" t="str">
        <f t="shared" si="10"/>
        <v/>
      </c>
      <c r="I122" s="264" t="str">
        <f t="shared" si="11"/>
        <v/>
      </c>
      <c r="J122" s="241"/>
      <c r="K122" s="267" t="s">
        <v>325</v>
      </c>
      <c r="L122" s="268">
        <v>8.5</v>
      </c>
      <c r="M122" s="261"/>
    </row>
    <row r="123" ht="15.75" customHeight="1">
      <c r="A123" s="307"/>
      <c r="B123" s="269">
        <f t="array" ref="B123">+XLOOKUP(C123,'Base de datos'!C:C,'Base de datos'!A:A,"",FALSE)</f>
        <v>74</v>
      </c>
      <c r="C123" s="270" t="s">
        <v>95</v>
      </c>
      <c r="D123" s="255" t="s">
        <v>14</v>
      </c>
      <c r="E123" s="256">
        <f t="array" ref="E123">+XLOOKUP(B123,'Base de datos'!A:A,'Base de datos'!H:H,0)</f>
        <v>6.153846154</v>
      </c>
      <c r="F123" s="271">
        <v>0.1</v>
      </c>
      <c r="G123" s="271">
        <v>0.1</v>
      </c>
      <c r="H123" s="258">
        <f t="shared" si="10"/>
        <v>0</v>
      </c>
      <c r="I123" s="256">
        <f t="shared" si="11"/>
        <v>0.6153846154</v>
      </c>
      <c r="J123" s="241"/>
      <c r="K123" s="272" t="s">
        <v>326</v>
      </c>
      <c r="L123" s="273">
        <f>L122/1.1</f>
        <v>7.727272727</v>
      </c>
      <c r="M123" s="274"/>
    </row>
    <row r="124" ht="15.75" customHeight="1">
      <c r="A124" s="307"/>
      <c r="B124" s="269">
        <f t="array" ref="B124">+XLOOKUP(C124,'Base de datos'!C:C,'Base de datos'!A:A,"",FALSE)</f>
        <v>47</v>
      </c>
      <c r="C124" s="270" t="s">
        <v>79</v>
      </c>
      <c r="D124" s="275" t="s">
        <v>20</v>
      </c>
      <c r="E124" s="256">
        <f t="array" ref="E124">+XLOOKUP(B124,'Base de datos'!A:A,'Base de datos'!H:H,0)</f>
        <v>0.5605</v>
      </c>
      <c r="F124" s="271">
        <v>1.0</v>
      </c>
      <c r="G124" s="271"/>
      <c r="H124" s="258">
        <f t="shared" si="10"/>
        <v>1</v>
      </c>
      <c r="I124" s="256">
        <f t="shared" si="11"/>
        <v>0.5605</v>
      </c>
      <c r="J124" s="241"/>
      <c r="K124" s="276" t="s">
        <v>327</v>
      </c>
      <c r="L124" s="277">
        <v>0.1</v>
      </c>
      <c r="M124" s="278"/>
    </row>
    <row r="125" ht="15.75" customHeight="1">
      <c r="A125" s="307"/>
      <c r="B125" s="269">
        <f t="array" ref="B125">+XLOOKUP(C125,'Base de datos'!C:C,'Base de datos'!A:A,"",FALSE)</f>
        <v>58</v>
      </c>
      <c r="C125" s="270" t="s">
        <v>85</v>
      </c>
      <c r="D125" s="275" t="s">
        <v>14</v>
      </c>
      <c r="E125" s="256">
        <f t="array" ref="E125">+XLOOKUP(B125,'Base de datos'!A:A,'Base de datos'!H:H,0)</f>
        <v>2.15</v>
      </c>
      <c r="F125" s="271">
        <v>0.09</v>
      </c>
      <c r="G125" s="271">
        <v>0.09</v>
      </c>
      <c r="H125" s="258">
        <f t="shared" si="10"/>
        <v>0</v>
      </c>
      <c r="I125" s="256">
        <f t="shared" si="11"/>
        <v>0.1935</v>
      </c>
      <c r="J125" s="241"/>
      <c r="K125" s="279" t="s">
        <v>328</v>
      </c>
      <c r="L125" s="280">
        <f>L121/L123*100</f>
        <v>23.99727149</v>
      </c>
      <c r="M125" s="281" t="s">
        <v>329</v>
      </c>
    </row>
    <row r="126" ht="15.75" customHeight="1">
      <c r="A126" s="307"/>
      <c r="B126" s="269">
        <f t="array" ref="B126">+XLOOKUP(C126,'Base de datos'!C:C,'Base de datos'!A:A,"",FALSE)</f>
        <v>29</v>
      </c>
      <c r="C126" s="270" t="s">
        <v>54</v>
      </c>
      <c r="D126" s="275" t="s">
        <v>20</v>
      </c>
      <c r="E126" s="256">
        <f t="array" ref="E126">+XLOOKUP(B126,'Base de datos'!A:A,'Base de datos'!H:H,0)</f>
        <v>0.1946</v>
      </c>
      <c r="F126" s="271">
        <v>1.0</v>
      </c>
      <c r="G126" s="271"/>
      <c r="H126" s="258">
        <f t="shared" si="10"/>
        <v>1</v>
      </c>
      <c r="I126" s="256">
        <f t="shared" si="11"/>
        <v>0.1946</v>
      </c>
      <c r="J126" s="241"/>
      <c r="K126" s="282" t="s">
        <v>330</v>
      </c>
      <c r="L126" s="283">
        <f>100-L125</f>
        <v>76.00272851</v>
      </c>
      <c r="M126" s="284" t="s">
        <v>329</v>
      </c>
    </row>
    <row r="127" ht="15.75" customHeight="1">
      <c r="A127" s="307"/>
      <c r="B127" s="269">
        <f t="array" ref="B127">+XLOOKUP(C127,'Base de datos'!C:C,'Base de datos'!A:A,"",FALSE)</f>
        <v>93</v>
      </c>
      <c r="C127" s="270" t="s">
        <v>114</v>
      </c>
      <c r="D127" s="275" t="s">
        <v>20</v>
      </c>
      <c r="E127" s="256">
        <f t="array" ref="E127">+XLOOKUP(B127,'Base de datos'!A:A,'Base de datos'!H:H,0)</f>
        <v>0.0277</v>
      </c>
      <c r="F127" s="271">
        <v>2.0</v>
      </c>
      <c r="G127" s="271"/>
      <c r="H127" s="258">
        <f t="shared" si="10"/>
        <v>1</v>
      </c>
      <c r="I127" s="256">
        <f t="shared" si="11"/>
        <v>0.0554</v>
      </c>
      <c r="J127" s="241"/>
      <c r="L127" s="288"/>
    </row>
    <row r="128" ht="15.75" customHeight="1">
      <c r="A128" s="307"/>
      <c r="B128" s="269">
        <f t="array" ref="B128">+XLOOKUP(C128,'Base de datos'!C:C,'Base de datos'!A:A,"",FALSE)</f>
        <v>39</v>
      </c>
      <c r="C128" s="270" t="s">
        <v>69</v>
      </c>
      <c r="D128" s="255" t="s">
        <v>14</v>
      </c>
      <c r="E128" s="256">
        <f t="array" ref="E128">+XLOOKUP(B128,'Base de datos'!A:A,'Base de datos'!H:H,0)</f>
        <v>1.04</v>
      </c>
      <c r="F128" s="271">
        <v>0.02</v>
      </c>
      <c r="G128" s="257"/>
      <c r="H128" s="258"/>
      <c r="I128" s="256">
        <f t="shared" si="11"/>
        <v>0.0208</v>
      </c>
      <c r="J128" s="241"/>
      <c r="K128" s="250" t="s">
        <v>323</v>
      </c>
      <c r="L128" s="251"/>
      <c r="M128" s="251"/>
    </row>
    <row r="129" ht="15.75" customHeight="1">
      <c r="A129" s="307"/>
      <c r="B129" s="269">
        <f t="array" ref="B129">+XLOOKUP(C129,'Base de datos'!C:C,'Base de datos'!A:A,"",FALSE)</f>
        <v>153</v>
      </c>
      <c r="C129" s="270" t="s">
        <v>183</v>
      </c>
      <c r="D129" s="255" t="s">
        <v>14</v>
      </c>
      <c r="E129" s="256">
        <f t="array" ref="E129">+XLOOKUP(B129,'Base de datos'!A:A,'Base de datos'!H:H,0)</f>
        <v>5.22</v>
      </c>
      <c r="F129" s="271">
        <v>0.02</v>
      </c>
      <c r="G129" s="257"/>
      <c r="H129" s="258"/>
      <c r="I129" s="256">
        <f t="shared" si="11"/>
        <v>0.1044</v>
      </c>
      <c r="J129" s="241"/>
      <c r="K129" s="259" t="s">
        <v>324</v>
      </c>
      <c r="L129" s="260">
        <f>L121</f>
        <v>1.854334615</v>
      </c>
      <c r="M129" s="261"/>
    </row>
    <row r="130" ht="15.75" customHeight="1">
      <c r="A130" s="307"/>
      <c r="B130" s="269">
        <f t="array" ref="B130">+XLOOKUP(C130,'Base de datos'!C:C,'Base de datos'!A:A,"",FALSE)</f>
        <v>154</v>
      </c>
      <c r="C130" s="270" t="s">
        <v>184</v>
      </c>
      <c r="D130" s="255" t="s">
        <v>14</v>
      </c>
      <c r="E130" s="256">
        <f t="array" ref="E130">+XLOOKUP(B130,'Base de datos'!A:A,'Base de datos'!H:H,0)</f>
        <v>21.95</v>
      </c>
      <c r="F130" s="271">
        <v>0.005</v>
      </c>
      <c r="G130" s="257"/>
      <c r="H130" s="258"/>
      <c r="I130" s="256">
        <f t="shared" si="11"/>
        <v>0.10975</v>
      </c>
      <c r="J130" s="241"/>
      <c r="K130" s="267" t="s">
        <v>325</v>
      </c>
      <c r="L130" s="268">
        <v>9.9</v>
      </c>
      <c r="M130" s="261"/>
    </row>
    <row r="131" ht="15.75" customHeight="1">
      <c r="A131" s="307"/>
      <c r="B131" s="253" t="str">
        <f t="array" ref="B131">+XLOOKUP(C131,'Base de datos'!C:C,'Base de datos'!A:A,"",FALSE)</f>
        <v/>
      </c>
      <c r="C131" s="270"/>
      <c r="D131" s="255" t="s">
        <v>14</v>
      </c>
      <c r="E131" s="256">
        <f t="array" ref="E131">+XLOOKUP(B131,'Base de datos'!A:A,'Base de datos'!H:H,0)</f>
        <v>0</v>
      </c>
      <c r="F131" s="271">
        <v>0.008</v>
      </c>
      <c r="G131" s="257"/>
      <c r="H131" s="258"/>
      <c r="I131" s="256">
        <f t="shared" si="11"/>
        <v>0</v>
      </c>
      <c r="J131" s="241"/>
      <c r="K131" s="272" t="s">
        <v>326</v>
      </c>
      <c r="L131" s="273">
        <f>L130/1.1</f>
        <v>9</v>
      </c>
      <c r="M131" s="274"/>
    </row>
    <row r="132" ht="15.75" customHeight="1">
      <c r="A132" s="307"/>
      <c r="B132" s="253" t="str">
        <f t="array" ref="B132">+XLOOKUP(C132,'Base de datos'!C:C,'Base de datos'!A:A,"",FALSE)</f>
        <v/>
      </c>
      <c r="C132" s="270"/>
      <c r="D132" s="255" t="s">
        <v>14</v>
      </c>
      <c r="E132" s="256">
        <f t="array" ref="E132">+XLOOKUP(B132,'Base de datos'!A:A,'Base de datos'!H:H,0)</f>
        <v>0</v>
      </c>
      <c r="F132" s="271">
        <v>0.001</v>
      </c>
      <c r="G132" s="257"/>
      <c r="H132" s="258">
        <f>IFERROR(1-G132/F132,"")</f>
        <v>1</v>
      </c>
      <c r="I132" s="256">
        <f t="shared" si="11"/>
        <v>0</v>
      </c>
      <c r="J132" s="241"/>
      <c r="K132" s="276" t="s">
        <v>327</v>
      </c>
      <c r="L132" s="277">
        <v>0.1</v>
      </c>
      <c r="M132" s="278"/>
    </row>
    <row r="133" ht="15.75" customHeight="1">
      <c r="A133" s="307"/>
      <c r="B133" s="240"/>
      <c r="C133" s="241"/>
      <c r="D133" s="242"/>
      <c r="E133" s="243"/>
      <c r="F133" s="244"/>
      <c r="G133" s="244"/>
      <c r="H133" s="241"/>
      <c r="I133" s="241"/>
      <c r="J133" s="241"/>
      <c r="K133" s="279" t="s">
        <v>328</v>
      </c>
      <c r="L133" s="280">
        <f>L129/L131*100</f>
        <v>20.60371795</v>
      </c>
      <c r="M133" s="281" t="s">
        <v>329</v>
      </c>
    </row>
    <row r="134" ht="15.75" customHeight="1">
      <c r="A134" s="307"/>
      <c r="B134" s="295"/>
      <c r="C134" s="296" t="s">
        <v>337</v>
      </c>
      <c r="D134" s="297"/>
      <c r="E134" s="297"/>
      <c r="F134" s="297"/>
      <c r="G134" s="297"/>
      <c r="H134" s="297"/>
      <c r="I134" s="298"/>
      <c r="J134" s="241"/>
      <c r="K134" s="285" t="s">
        <v>330</v>
      </c>
      <c r="L134" s="286">
        <f>L131-L129</f>
        <v>7.145665385</v>
      </c>
      <c r="M134" s="287" t="s">
        <v>331</v>
      </c>
    </row>
    <row r="135" ht="15.75" customHeight="1">
      <c r="A135" s="307"/>
      <c r="B135" s="299"/>
      <c r="C135" s="300"/>
      <c r="D135" s="297"/>
      <c r="E135" s="297"/>
      <c r="F135" s="297"/>
      <c r="G135" s="297"/>
      <c r="H135" s="297"/>
      <c r="I135" s="298"/>
      <c r="J135" s="241"/>
      <c r="K135" s="289" t="s">
        <v>332</v>
      </c>
      <c r="L135" s="290">
        <f>L131-L129-(L130*0.2)</f>
        <v>5.165665385</v>
      </c>
      <c r="M135" s="291" t="s">
        <v>331</v>
      </c>
    </row>
    <row r="136" ht="15.75" customHeight="1">
      <c r="A136" s="307"/>
      <c r="B136" s="301"/>
      <c r="C136" s="302"/>
      <c r="I136" s="278"/>
      <c r="J136" s="241"/>
      <c r="K136" s="289" t="s">
        <v>332</v>
      </c>
      <c r="L136" s="292">
        <f>L135/L131</f>
        <v>0.5739628205</v>
      </c>
      <c r="M136" s="291" t="s">
        <v>329</v>
      </c>
    </row>
    <row r="137" ht="15.75" customHeight="1">
      <c r="A137" s="307"/>
      <c r="B137" s="301"/>
      <c r="C137" s="302"/>
      <c r="I137" s="278"/>
      <c r="J137" s="241"/>
      <c r="K137" s="241"/>
      <c r="L137" s="241"/>
    </row>
    <row r="138" ht="15.75" customHeight="1">
      <c r="A138" s="307"/>
      <c r="B138" s="301"/>
      <c r="C138" s="302"/>
      <c r="I138" s="278"/>
      <c r="J138" s="241"/>
      <c r="K138" s="241"/>
      <c r="L138" s="241"/>
    </row>
    <row r="139" ht="15.75" customHeight="1">
      <c r="A139" s="307"/>
      <c r="B139" s="301"/>
      <c r="C139" s="302"/>
      <c r="I139" s="278"/>
      <c r="J139" s="241"/>
      <c r="K139" s="241"/>
      <c r="L139" s="241"/>
    </row>
    <row r="140" ht="15.75" customHeight="1">
      <c r="A140" s="307"/>
      <c r="B140" s="301"/>
      <c r="C140" s="302"/>
      <c r="I140" s="278"/>
      <c r="J140" s="241"/>
      <c r="K140" s="241"/>
      <c r="L140" s="241"/>
    </row>
    <row r="141" ht="15.75" customHeight="1">
      <c r="A141" s="307"/>
      <c r="B141" s="301"/>
      <c r="C141" s="302"/>
      <c r="I141" s="278"/>
      <c r="J141" s="241"/>
      <c r="K141" s="241"/>
      <c r="L141" s="241"/>
    </row>
    <row r="142" ht="15.75" customHeight="1">
      <c r="A142" s="307"/>
      <c r="B142" s="301"/>
      <c r="C142" s="304"/>
      <c r="D142" s="305"/>
      <c r="E142" s="305"/>
      <c r="F142" s="305"/>
      <c r="G142" s="305"/>
      <c r="H142" s="305"/>
      <c r="I142" s="274"/>
      <c r="J142" s="241"/>
      <c r="K142" s="241"/>
      <c r="L142" s="241"/>
    </row>
    <row r="143" ht="15.75" customHeight="1">
      <c r="A143" s="307"/>
      <c r="B143" s="307"/>
      <c r="D143" s="308"/>
      <c r="E143" s="309"/>
    </row>
    <row r="144" ht="15.75" customHeight="1">
      <c r="A144" s="307"/>
      <c r="B144" s="230"/>
      <c r="C144" s="230"/>
      <c r="D144" s="230"/>
      <c r="E144" s="231"/>
      <c r="F144" s="232"/>
      <c r="G144" s="232"/>
      <c r="H144" s="230"/>
      <c r="I144" s="230"/>
      <c r="J144" s="230"/>
      <c r="K144" s="230"/>
      <c r="L144" s="230"/>
      <c r="M144" s="233"/>
    </row>
    <row r="145" ht="15.75" customHeight="1">
      <c r="A145" s="307"/>
      <c r="B145" s="234"/>
      <c r="C145" s="235" t="s">
        <v>313</v>
      </c>
      <c r="D145" s="236" t="s">
        <v>748</v>
      </c>
      <c r="E145" s="237"/>
      <c r="F145" s="237"/>
      <c r="G145" s="237"/>
      <c r="H145" s="237"/>
      <c r="I145" s="237"/>
      <c r="J145" s="476"/>
      <c r="K145" s="310" t="s">
        <v>340</v>
      </c>
      <c r="L145" s="230"/>
      <c r="M145" s="233"/>
    </row>
    <row r="146" ht="15.75" customHeight="1">
      <c r="A146" s="307"/>
      <c r="B146" s="239"/>
      <c r="C146" s="230"/>
      <c r="D146" s="230"/>
      <c r="E146" s="231"/>
      <c r="F146" s="232"/>
      <c r="G146" s="232"/>
      <c r="H146" s="230"/>
      <c r="I146" s="230"/>
      <c r="J146" s="230"/>
      <c r="K146" s="230"/>
      <c r="L146" s="230"/>
      <c r="M146" s="233"/>
    </row>
    <row r="147" ht="15.75" customHeight="1">
      <c r="A147" s="307"/>
      <c r="B147" s="240"/>
      <c r="C147" s="241"/>
      <c r="D147" s="242"/>
      <c r="E147" s="243"/>
      <c r="F147" s="244"/>
      <c r="G147" s="244"/>
      <c r="H147" s="241"/>
      <c r="I147" s="241"/>
      <c r="J147" s="241"/>
      <c r="K147" s="241"/>
      <c r="L147" s="241"/>
    </row>
    <row r="148" ht="15.75" customHeight="1">
      <c r="A148" s="307"/>
      <c r="B148" s="246" t="s">
        <v>0</v>
      </c>
      <c r="C148" s="246" t="s">
        <v>315</v>
      </c>
      <c r="D148" s="246" t="s">
        <v>316</v>
      </c>
      <c r="E148" s="247" t="s">
        <v>317</v>
      </c>
      <c r="F148" s="248" t="s">
        <v>318</v>
      </c>
      <c r="G148" s="248" t="s">
        <v>319</v>
      </c>
      <c r="H148" s="246" t="s">
        <v>320</v>
      </c>
      <c r="I148" s="246" t="s">
        <v>321</v>
      </c>
      <c r="J148" s="249"/>
      <c r="K148" s="250" t="s">
        <v>322</v>
      </c>
      <c r="L148" s="250" t="s">
        <v>747</v>
      </c>
      <c r="M148" s="251"/>
    </row>
    <row r="149" ht="15.75" customHeight="1">
      <c r="A149" s="307"/>
      <c r="B149" s="253" t="str">
        <f t="array" ref="B149">+XLOOKUP(C149,'Base de datos'!C:C,'Base de datos'!A:A,"",FALSE)</f>
        <v/>
      </c>
      <c r="C149" s="254"/>
      <c r="D149" s="255" t="s">
        <v>14</v>
      </c>
      <c r="E149" s="256">
        <f t="array" ref="E149">+XLOOKUP(B149,'Base de datos'!A:A,'Base de datos'!H:H,0)</f>
        <v>0</v>
      </c>
      <c r="F149" s="257"/>
      <c r="G149" s="257"/>
      <c r="H149" s="258" t="str">
        <f t="shared" ref="H149:H155" si="12">IFERROR(1-G149/F149,"")</f>
        <v/>
      </c>
      <c r="I149" s="256">
        <f t="shared" ref="I149:I160" si="13">IFERROR(E149*F149,"")</f>
        <v>0</v>
      </c>
      <c r="J149" s="241"/>
      <c r="K149" s="259" t="s">
        <v>324</v>
      </c>
      <c r="L149" s="260">
        <f>SUM(I149:I160)</f>
        <v>1.98895</v>
      </c>
      <c r="M149" s="261"/>
    </row>
    <row r="150" ht="15.75" customHeight="1">
      <c r="A150" s="307"/>
      <c r="B150" s="262" t="str">
        <f>'CESAR BRIOCHE'!K29</f>
        <v>#REF!</v>
      </c>
      <c r="C150" s="262" t="str">
        <f>'CESAR BRIOCHE'!C29</f>
        <v>#REF!</v>
      </c>
      <c r="D150" s="263" t="s">
        <v>14</v>
      </c>
      <c r="E150" s="264" t="str">
        <f>'CESAR BRIOCHE'!K35</f>
        <v>#REF!</v>
      </c>
      <c r="F150" s="265"/>
      <c r="G150" s="265"/>
      <c r="H150" s="266" t="str">
        <f t="shared" si="12"/>
        <v/>
      </c>
      <c r="I150" s="264" t="str">
        <f t="shared" si="13"/>
        <v/>
      </c>
      <c r="J150" s="241"/>
      <c r="K150" s="267" t="s">
        <v>325</v>
      </c>
      <c r="L150" s="268">
        <v>8.5</v>
      </c>
      <c r="M150" s="261"/>
    </row>
    <row r="151" ht="15.75" customHeight="1">
      <c r="A151" s="307"/>
      <c r="B151" s="269">
        <f t="array" ref="B151">+XLOOKUP(C151,'Base de datos'!C:C,'Base de datos'!A:A,"",FALSE)</f>
        <v>77</v>
      </c>
      <c r="C151" s="270" t="s">
        <v>98</v>
      </c>
      <c r="D151" s="255" t="s">
        <v>14</v>
      </c>
      <c r="E151" s="256">
        <f t="array" ref="E151">+XLOOKUP(B151,'Base de datos'!A:A,'Base de datos'!H:H,0)</f>
        <v>6</v>
      </c>
      <c r="F151" s="271">
        <v>0.125</v>
      </c>
      <c r="G151" s="271">
        <v>0.12</v>
      </c>
      <c r="H151" s="258">
        <f t="shared" si="12"/>
        <v>0.04</v>
      </c>
      <c r="I151" s="256">
        <f t="shared" si="13"/>
        <v>0.75</v>
      </c>
      <c r="J151" s="241"/>
      <c r="K151" s="272" t="s">
        <v>326</v>
      </c>
      <c r="L151" s="273">
        <f>L150/1.1</f>
        <v>7.727272727</v>
      </c>
      <c r="M151" s="274"/>
    </row>
    <row r="152" ht="15.75" customHeight="1">
      <c r="A152" s="307"/>
      <c r="B152" s="269">
        <f t="array" ref="B152">+XLOOKUP(C152,'Base de datos'!C:C,'Base de datos'!A:A,"",FALSE)</f>
        <v>47</v>
      </c>
      <c r="C152" s="270" t="s">
        <v>79</v>
      </c>
      <c r="D152" s="275" t="s">
        <v>20</v>
      </c>
      <c r="E152" s="256">
        <f t="array" ref="E152">+XLOOKUP(B152,'Base de datos'!A:A,'Base de datos'!H:H,0)</f>
        <v>0.5605</v>
      </c>
      <c r="F152" s="271">
        <v>1.0</v>
      </c>
      <c r="G152" s="271"/>
      <c r="H152" s="258">
        <f t="shared" si="12"/>
        <v>1</v>
      </c>
      <c r="I152" s="256">
        <f t="shared" si="13"/>
        <v>0.5605</v>
      </c>
      <c r="J152" s="241"/>
      <c r="K152" s="276" t="s">
        <v>327</v>
      </c>
      <c r="L152" s="277">
        <v>0.1</v>
      </c>
      <c r="M152" s="278"/>
    </row>
    <row r="153" ht="15.75" customHeight="1">
      <c r="A153" s="307"/>
      <c r="B153" s="269">
        <f t="array" ref="B153">+XLOOKUP(C153,'Base de datos'!C:C,'Base de datos'!A:A,"",FALSE)</f>
        <v>58</v>
      </c>
      <c r="C153" s="270" t="s">
        <v>85</v>
      </c>
      <c r="D153" s="275" t="s">
        <v>14</v>
      </c>
      <c r="E153" s="256">
        <f t="array" ref="E153">+XLOOKUP(B153,'Base de datos'!A:A,'Base de datos'!H:H,0)</f>
        <v>2.15</v>
      </c>
      <c r="F153" s="271">
        <v>0.09</v>
      </c>
      <c r="G153" s="271">
        <v>0.09</v>
      </c>
      <c r="H153" s="258">
        <f t="shared" si="12"/>
        <v>0</v>
      </c>
      <c r="I153" s="256">
        <f t="shared" si="13"/>
        <v>0.1935</v>
      </c>
      <c r="J153" s="241"/>
      <c r="K153" s="279" t="s">
        <v>328</v>
      </c>
      <c r="L153" s="280">
        <f>L149/L151*100</f>
        <v>25.73935294</v>
      </c>
      <c r="M153" s="281" t="s">
        <v>329</v>
      </c>
    </row>
    <row r="154" ht="15.75" customHeight="1">
      <c r="A154" s="307"/>
      <c r="B154" s="269">
        <f t="array" ref="B154">+XLOOKUP(C154,'Base de datos'!C:C,'Base de datos'!A:A,"",FALSE)</f>
        <v>29</v>
      </c>
      <c r="C154" s="270" t="s">
        <v>54</v>
      </c>
      <c r="D154" s="275" t="s">
        <v>20</v>
      </c>
      <c r="E154" s="256">
        <f t="array" ref="E154">+XLOOKUP(B154,'Base de datos'!A:A,'Base de datos'!H:H,0)</f>
        <v>0.1946</v>
      </c>
      <c r="F154" s="271">
        <v>1.0</v>
      </c>
      <c r="G154" s="271"/>
      <c r="H154" s="258">
        <f t="shared" si="12"/>
        <v>1</v>
      </c>
      <c r="I154" s="256">
        <f t="shared" si="13"/>
        <v>0.1946</v>
      </c>
      <c r="J154" s="241"/>
      <c r="K154" s="282" t="s">
        <v>330</v>
      </c>
      <c r="L154" s="283">
        <f>100-L153</f>
        <v>74.26064706</v>
      </c>
      <c r="M154" s="284" t="s">
        <v>329</v>
      </c>
    </row>
    <row r="155" ht="15.75" customHeight="1">
      <c r="A155" s="307"/>
      <c r="B155" s="269">
        <f t="array" ref="B155">+XLOOKUP(C155,'Base de datos'!C:C,'Base de datos'!A:A,"",FALSE)</f>
        <v>93</v>
      </c>
      <c r="C155" s="270" t="s">
        <v>114</v>
      </c>
      <c r="D155" s="275" t="s">
        <v>20</v>
      </c>
      <c r="E155" s="256">
        <f t="array" ref="E155">+XLOOKUP(B155,'Base de datos'!A:A,'Base de datos'!H:H,0)</f>
        <v>0.0277</v>
      </c>
      <c r="F155" s="271">
        <v>2.0</v>
      </c>
      <c r="G155" s="271"/>
      <c r="H155" s="258">
        <f t="shared" si="12"/>
        <v>1</v>
      </c>
      <c r="I155" s="256">
        <f t="shared" si="13"/>
        <v>0.0554</v>
      </c>
      <c r="J155" s="241"/>
      <c r="L155" s="288"/>
    </row>
    <row r="156" ht="15.75" customHeight="1">
      <c r="A156" s="307"/>
      <c r="B156" s="269">
        <f t="array" ref="B156">+XLOOKUP(C156,'Base de datos'!C:C,'Base de datos'!A:A,"",FALSE)</f>
        <v>39</v>
      </c>
      <c r="C156" s="270" t="s">
        <v>69</v>
      </c>
      <c r="D156" s="255" t="s">
        <v>14</v>
      </c>
      <c r="E156" s="256">
        <f t="array" ref="E156">+XLOOKUP(B156,'Base de datos'!A:A,'Base de datos'!H:H,0)</f>
        <v>1.04</v>
      </c>
      <c r="F156" s="271">
        <v>0.02</v>
      </c>
      <c r="G156" s="257"/>
      <c r="H156" s="258"/>
      <c r="I156" s="256">
        <f t="shared" si="13"/>
        <v>0.0208</v>
      </c>
      <c r="J156" s="241"/>
      <c r="K156" s="250" t="s">
        <v>323</v>
      </c>
      <c r="L156" s="251"/>
      <c r="M156" s="251"/>
    </row>
    <row r="157" ht="15.75" customHeight="1">
      <c r="A157" s="307"/>
      <c r="B157" s="269">
        <f t="array" ref="B157">+XLOOKUP(C157,'Base de datos'!C:C,'Base de datos'!A:A,"",FALSE)</f>
        <v>153</v>
      </c>
      <c r="C157" s="270" t="s">
        <v>183</v>
      </c>
      <c r="D157" s="255" t="s">
        <v>14</v>
      </c>
      <c r="E157" s="256">
        <f t="array" ref="E157">+XLOOKUP(B157,'Base de datos'!A:A,'Base de datos'!H:H,0)</f>
        <v>5.22</v>
      </c>
      <c r="F157" s="271">
        <v>0.02</v>
      </c>
      <c r="G157" s="257"/>
      <c r="H157" s="258"/>
      <c r="I157" s="256">
        <f t="shared" si="13"/>
        <v>0.1044</v>
      </c>
      <c r="J157" s="241"/>
      <c r="K157" s="259" t="s">
        <v>324</v>
      </c>
      <c r="L157" s="260">
        <f>L149</f>
        <v>1.98895</v>
      </c>
      <c r="M157" s="261"/>
    </row>
    <row r="158" ht="15.75" customHeight="1">
      <c r="A158" s="307"/>
      <c r="B158" s="269">
        <f t="array" ref="B158">+XLOOKUP(C158,'Base de datos'!C:C,'Base de datos'!A:A,"",FALSE)</f>
        <v>154</v>
      </c>
      <c r="C158" s="270" t="s">
        <v>184</v>
      </c>
      <c r="D158" s="255" t="s">
        <v>14</v>
      </c>
      <c r="E158" s="256">
        <f t="array" ref="E158">+XLOOKUP(B158,'Base de datos'!A:A,'Base de datos'!H:H,0)</f>
        <v>21.95</v>
      </c>
      <c r="F158" s="271">
        <v>0.005</v>
      </c>
      <c r="G158" s="257"/>
      <c r="H158" s="258"/>
      <c r="I158" s="256">
        <f t="shared" si="13"/>
        <v>0.10975</v>
      </c>
      <c r="J158" s="241"/>
      <c r="K158" s="267" t="s">
        <v>325</v>
      </c>
      <c r="L158" s="268">
        <v>9.9</v>
      </c>
      <c r="M158" s="261"/>
    </row>
    <row r="159" ht="15.75" customHeight="1">
      <c r="A159" s="307"/>
      <c r="B159" s="253" t="str">
        <f t="array" ref="B159">+XLOOKUP(C159,'Base de datos'!C:C,'Base de datos'!A:A,"",FALSE)</f>
        <v/>
      </c>
      <c r="C159" s="270"/>
      <c r="D159" s="255" t="s">
        <v>14</v>
      </c>
      <c r="E159" s="256">
        <f t="array" ref="E159">+XLOOKUP(B159,'Base de datos'!A:A,'Base de datos'!H:H,0)</f>
        <v>0</v>
      </c>
      <c r="F159" s="271">
        <v>0.008</v>
      </c>
      <c r="G159" s="257"/>
      <c r="H159" s="258"/>
      <c r="I159" s="256">
        <f t="shared" si="13"/>
        <v>0</v>
      </c>
      <c r="J159" s="241"/>
      <c r="K159" s="272" t="s">
        <v>326</v>
      </c>
      <c r="L159" s="273">
        <f>L158/1.1</f>
        <v>9</v>
      </c>
      <c r="M159" s="274"/>
    </row>
    <row r="160" ht="15.75" customHeight="1">
      <c r="A160" s="307"/>
      <c r="B160" s="253" t="str">
        <f t="array" ref="B160">+XLOOKUP(C160,'Base de datos'!C:C,'Base de datos'!A:A,"",FALSE)</f>
        <v/>
      </c>
      <c r="C160" s="270"/>
      <c r="D160" s="255" t="s">
        <v>14</v>
      </c>
      <c r="E160" s="256">
        <f t="array" ref="E160">+XLOOKUP(B160,'Base de datos'!A:A,'Base de datos'!H:H,0)</f>
        <v>0</v>
      </c>
      <c r="F160" s="271">
        <v>0.001</v>
      </c>
      <c r="G160" s="257"/>
      <c r="H160" s="258">
        <f>IFERROR(1-G160/F160,"")</f>
        <v>1</v>
      </c>
      <c r="I160" s="256">
        <f t="shared" si="13"/>
        <v>0</v>
      </c>
      <c r="J160" s="241"/>
      <c r="K160" s="276" t="s">
        <v>327</v>
      </c>
      <c r="L160" s="277">
        <v>0.1</v>
      </c>
      <c r="M160" s="278"/>
    </row>
    <row r="161" ht="15.75" customHeight="1">
      <c r="A161" s="307"/>
      <c r="B161" s="240"/>
      <c r="C161" s="241"/>
      <c r="D161" s="242"/>
      <c r="E161" s="243"/>
      <c r="F161" s="244"/>
      <c r="G161" s="244"/>
      <c r="H161" s="241"/>
      <c r="I161" s="241"/>
      <c r="J161" s="241"/>
      <c r="K161" s="279" t="s">
        <v>328</v>
      </c>
      <c r="L161" s="280">
        <f>L157/L159*100</f>
        <v>22.09944444</v>
      </c>
      <c r="M161" s="281" t="s">
        <v>329</v>
      </c>
    </row>
    <row r="162" ht="15.75" customHeight="1">
      <c r="A162" s="307"/>
      <c r="B162" s="295"/>
      <c r="C162" s="296" t="s">
        <v>337</v>
      </c>
      <c r="D162" s="297"/>
      <c r="E162" s="297"/>
      <c r="F162" s="297"/>
      <c r="G162" s="297"/>
      <c r="H162" s="297"/>
      <c r="I162" s="298"/>
      <c r="J162" s="241"/>
      <c r="K162" s="285" t="s">
        <v>330</v>
      </c>
      <c r="L162" s="286">
        <f>L159-L157</f>
        <v>7.01105</v>
      </c>
      <c r="M162" s="287" t="s">
        <v>331</v>
      </c>
    </row>
    <row r="163" ht="15.75" customHeight="1">
      <c r="A163" s="307"/>
      <c r="B163" s="299"/>
      <c r="C163" s="300"/>
      <c r="D163" s="297"/>
      <c r="E163" s="297"/>
      <c r="F163" s="297"/>
      <c r="G163" s="297"/>
      <c r="H163" s="297"/>
      <c r="I163" s="298"/>
      <c r="J163" s="241"/>
      <c r="K163" s="289" t="s">
        <v>332</v>
      </c>
      <c r="L163" s="290">
        <f>L159-L157-(L158*0.2)</f>
        <v>5.03105</v>
      </c>
      <c r="M163" s="291" t="s">
        <v>331</v>
      </c>
    </row>
    <row r="164" ht="15.75" customHeight="1">
      <c r="A164" s="307"/>
      <c r="B164" s="301"/>
      <c r="C164" s="302"/>
      <c r="I164" s="278"/>
      <c r="J164" s="241"/>
      <c r="K164" s="289" t="s">
        <v>332</v>
      </c>
      <c r="L164" s="292">
        <f>L163/L159</f>
        <v>0.5590055556</v>
      </c>
      <c r="M164" s="291" t="s">
        <v>329</v>
      </c>
    </row>
    <row r="165" ht="15.75" customHeight="1">
      <c r="A165" s="307"/>
      <c r="B165" s="301"/>
      <c r="C165" s="302"/>
      <c r="I165" s="278"/>
      <c r="J165" s="241"/>
      <c r="K165" s="241"/>
      <c r="L165" s="241"/>
    </row>
    <row r="166" ht="15.75" customHeight="1">
      <c r="A166" s="307"/>
      <c r="B166" s="301"/>
      <c r="C166" s="302"/>
      <c r="I166" s="278"/>
      <c r="J166" s="241"/>
      <c r="K166" s="241"/>
      <c r="L166" s="241"/>
    </row>
    <row r="167" ht="15.75" customHeight="1">
      <c r="A167" s="307"/>
      <c r="B167" s="301"/>
      <c r="C167" s="302"/>
      <c r="I167" s="278"/>
      <c r="J167" s="241"/>
      <c r="K167" s="241"/>
      <c r="L167" s="241"/>
    </row>
    <row r="168" ht="15.75" customHeight="1">
      <c r="A168" s="307"/>
      <c r="B168" s="301"/>
      <c r="C168" s="302"/>
      <c r="I168" s="278"/>
      <c r="J168" s="241"/>
      <c r="K168" s="241"/>
      <c r="L168" s="241"/>
    </row>
    <row r="169" ht="15.75" customHeight="1">
      <c r="A169" s="307"/>
      <c r="B169" s="301"/>
      <c r="C169" s="302"/>
      <c r="I169" s="278"/>
      <c r="J169" s="241"/>
      <c r="K169" s="241"/>
      <c r="L169" s="241"/>
    </row>
    <row r="170" ht="15.75" customHeight="1">
      <c r="A170" s="307"/>
      <c r="B170" s="301"/>
      <c r="C170" s="304"/>
      <c r="D170" s="305"/>
      <c r="E170" s="305"/>
      <c r="F170" s="305"/>
      <c r="G170" s="305"/>
      <c r="H170" s="305"/>
      <c r="I170" s="274"/>
      <c r="J170" s="241"/>
      <c r="K170" s="241"/>
      <c r="L170" s="241"/>
    </row>
    <row r="171" ht="15.75" customHeight="1">
      <c r="A171" s="307"/>
      <c r="B171" s="307"/>
      <c r="D171" s="308"/>
      <c r="E171" s="309"/>
    </row>
    <row r="172" ht="15.75" customHeight="1">
      <c r="A172" s="307"/>
      <c r="B172" s="230"/>
      <c r="C172" s="230"/>
      <c r="D172" s="230"/>
      <c r="E172" s="231"/>
      <c r="F172" s="232"/>
      <c r="G172" s="232"/>
      <c r="H172" s="230"/>
      <c r="I172" s="230"/>
      <c r="J172" s="230"/>
      <c r="K172" s="230"/>
      <c r="L172" s="230"/>
      <c r="M172" s="233"/>
    </row>
    <row r="173" ht="15.75" customHeight="1">
      <c r="A173" s="307"/>
      <c r="B173" s="234"/>
      <c r="C173" s="235" t="s">
        <v>313</v>
      </c>
      <c r="D173" s="236" t="s">
        <v>749</v>
      </c>
      <c r="E173" s="237"/>
      <c r="F173" s="237"/>
      <c r="G173" s="237"/>
      <c r="H173" s="237"/>
      <c r="I173" s="237"/>
      <c r="J173" s="238"/>
      <c r="K173" s="231"/>
      <c r="L173" s="230"/>
      <c r="M173" s="233"/>
    </row>
    <row r="174" ht="15.75" customHeight="1">
      <c r="A174" s="307"/>
      <c r="B174" s="239"/>
      <c r="C174" s="230"/>
      <c r="D174" s="230"/>
      <c r="E174" s="231"/>
      <c r="F174" s="232"/>
      <c r="G174" s="232"/>
      <c r="H174" s="230"/>
      <c r="I174" s="230"/>
      <c r="J174" s="230"/>
      <c r="K174" s="230"/>
      <c r="L174" s="230"/>
      <c r="M174" s="233"/>
    </row>
    <row r="175" ht="15.75" customHeight="1">
      <c r="A175" s="307"/>
      <c r="B175" s="240"/>
      <c r="C175" s="241"/>
      <c r="D175" s="242"/>
      <c r="E175" s="243"/>
      <c r="F175" s="244"/>
      <c r="G175" s="244"/>
      <c r="H175" s="241"/>
      <c r="I175" s="241"/>
      <c r="J175" s="241"/>
      <c r="K175" s="241"/>
      <c r="L175" s="241"/>
    </row>
    <row r="176" ht="15.75" customHeight="1">
      <c r="A176" s="307"/>
      <c r="B176" s="246" t="s">
        <v>0</v>
      </c>
      <c r="C176" s="246" t="s">
        <v>315</v>
      </c>
      <c r="D176" s="246" t="s">
        <v>316</v>
      </c>
      <c r="E176" s="247" t="s">
        <v>317</v>
      </c>
      <c r="F176" s="248" t="s">
        <v>318</v>
      </c>
      <c r="G176" s="248" t="s">
        <v>319</v>
      </c>
      <c r="H176" s="246" t="s">
        <v>320</v>
      </c>
      <c r="I176" s="246" t="s">
        <v>321</v>
      </c>
      <c r="J176" s="249"/>
      <c r="K176" s="250" t="s">
        <v>322</v>
      </c>
      <c r="L176" s="251"/>
      <c r="M176" s="251"/>
    </row>
    <row r="177" ht="15.75" customHeight="1">
      <c r="A177" s="307"/>
      <c r="B177" s="253" t="str">
        <f t="array" ref="B177">+XLOOKUP(C177,'Base de datos'!C:C,'Base de datos'!A:A,"",FALSE)</f>
        <v/>
      </c>
      <c r="C177" s="254"/>
      <c r="D177" s="255" t="s">
        <v>14</v>
      </c>
      <c r="E177" s="256">
        <f t="array" ref="E177">+XLOOKUP(B177,'Base de datos'!A:A,'Base de datos'!H:H,0)</f>
        <v>0</v>
      </c>
      <c r="F177" s="257"/>
      <c r="G177" s="257"/>
      <c r="H177" s="258" t="str">
        <f t="shared" ref="H177:H183" si="14">IFERROR(1-G177/F177,"")</f>
        <v/>
      </c>
      <c r="I177" s="256">
        <f t="shared" ref="I177:I188" si="15">IFERROR(E177*F177,"")</f>
        <v>0</v>
      </c>
      <c r="J177" s="241"/>
      <c r="K177" s="259" t="s">
        <v>324</v>
      </c>
      <c r="L177" s="260">
        <f>SUM(I177:I188)</f>
        <v>2.097758219</v>
      </c>
      <c r="M177" s="261"/>
    </row>
    <row r="178" ht="15.75" customHeight="1">
      <c r="A178" s="307"/>
      <c r="B178" s="262" t="str">
        <f>'XMAS CHICKEN CRUNCH SUB '!K29</f>
        <v>#REF!</v>
      </c>
      <c r="C178" s="262" t="str">
        <f>'XMAS CHICKEN CRUNCH SUB '!C29</f>
        <v>#REF!</v>
      </c>
      <c r="D178" s="263" t="s">
        <v>14</v>
      </c>
      <c r="E178" s="264" t="str">
        <f>'XMAS CHICKEN CRUNCH SUB '!K35</f>
        <v>#REF!</v>
      </c>
      <c r="F178" s="265"/>
      <c r="G178" s="265"/>
      <c r="H178" s="266" t="str">
        <f t="shared" si="14"/>
        <v/>
      </c>
      <c r="I178" s="264" t="str">
        <f t="shared" si="15"/>
        <v/>
      </c>
      <c r="J178" s="241"/>
      <c r="K178" s="267" t="s">
        <v>325</v>
      </c>
      <c r="L178" s="268">
        <v>9.9</v>
      </c>
      <c r="M178" s="261"/>
    </row>
    <row r="179" ht="15.75" customHeight="1">
      <c r="A179" s="307"/>
      <c r="B179" s="269">
        <f t="array" ref="B179">+XLOOKUP(C179,'Base de datos'!C:C,'Base de datos'!A:A,"",FALSE)</f>
        <v>77</v>
      </c>
      <c r="C179" s="270" t="s">
        <v>98</v>
      </c>
      <c r="D179" s="255" t="s">
        <v>14</v>
      </c>
      <c r="E179" s="256">
        <f t="array" ref="E179">+XLOOKUP(B179,'Base de datos'!A:A,'Base de datos'!H:H,0)</f>
        <v>6</v>
      </c>
      <c r="F179" s="271">
        <v>0.125</v>
      </c>
      <c r="G179" s="271">
        <v>0.12</v>
      </c>
      <c r="H179" s="258">
        <f t="shared" si="14"/>
        <v>0.04</v>
      </c>
      <c r="I179" s="256">
        <f t="shared" si="15"/>
        <v>0.75</v>
      </c>
      <c r="J179" s="241"/>
      <c r="K179" s="272" t="s">
        <v>326</v>
      </c>
      <c r="L179" s="273">
        <f>L178/1.1</f>
        <v>9</v>
      </c>
      <c r="M179" s="274"/>
    </row>
    <row r="180" ht="15.75" customHeight="1">
      <c r="A180" s="307"/>
      <c r="B180" s="269">
        <f t="array" ref="B180">+XLOOKUP(C180,'Base de datos'!C:C,'Base de datos'!A:A,"",FALSE)</f>
        <v>47</v>
      </c>
      <c r="C180" s="270" t="s">
        <v>79</v>
      </c>
      <c r="D180" s="275" t="s">
        <v>20</v>
      </c>
      <c r="E180" s="256">
        <f t="array" ref="E180">+XLOOKUP(B180,'Base de datos'!A:A,'Base de datos'!H:H,0)</f>
        <v>0.5605</v>
      </c>
      <c r="F180" s="271">
        <v>1.0</v>
      </c>
      <c r="G180" s="271"/>
      <c r="H180" s="258">
        <f t="shared" si="14"/>
        <v>1</v>
      </c>
      <c r="I180" s="256">
        <f t="shared" si="15"/>
        <v>0.5605</v>
      </c>
      <c r="J180" s="241"/>
      <c r="K180" s="276" t="s">
        <v>327</v>
      </c>
      <c r="L180" s="277">
        <v>0.1</v>
      </c>
      <c r="M180" s="278"/>
    </row>
    <row r="181" ht="15.75" customHeight="1">
      <c r="A181" s="307"/>
      <c r="B181" s="269">
        <f t="array" ref="B181">+XLOOKUP(C181,'Base de datos'!C:C,'Base de datos'!A:A,"",FALSE)</f>
        <v>58</v>
      </c>
      <c r="C181" s="270" t="s">
        <v>85</v>
      </c>
      <c r="D181" s="275" t="s">
        <v>14</v>
      </c>
      <c r="E181" s="256">
        <f t="array" ref="E181">+XLOOKUP(B181,'Base de datos'!A:A,'Base de datos'!H:H,0)</f>
        <v>2.15</v>
      </c>
      <c r="F181" s="271">
        <v>0.09</v>
      </c>
      <c r="G181" s="271">
        <v>0.09</v>
      </c>
      <c r="H181" s="258">
        <f t="shared" si="14"/>
        <v>0</v>
      </c>
      <c r="I181" s="256">
        <f t="shared" si="15"/>
        <v>0.1935</v>
      </c>
      <c r="J181" s="241"/>
      <c r="K181" s="279" t="s">
        <v>328</v>
      </c>
      <c r="L181" s="280">
        <f>L177/L179*100</f>
        <v>23.30842466</v>
      </c>
      <c r="M181" s="281" t="s">
        <v>329</v>
      </c>
    </row>
    <row r="182" ht="15.75" customHeight="1">
      <c r="A182" s="307"/>
      <c r="B182" s="269">
        <f t="array" ref="B182">+XLOOKUP(C182,'Base de datos'!C:C,'Base de datos'!A:A,"",FALSE)</f>
        <v>29</v>
      </c>
      <c r="C182" s="270" t="s">
        <v>54</v>
      </c>
      <c r="D182" s="275" t="s">
        <v>20</v>
      </c>
      <c r="E182" s="256">
        <f t="array" ref="E182">+XLOOKUP(B182,'Base de datos'!A:A,'Base de datos'!H:H,0)</f>
        <v>0.1946</v>
      </c>
      <c r="F182" s="271">
        <v>1.0</v>
      </c>
      <c r="G182" s="271"/>
      <c r="H182" s="258">
        <f t="shared" si="14"/>
        <v>1</v>
      </c>
      <c r="I182" s="256">
        <f t="shared" si="15"/>
        <v>0.1946</v>
      </c>
      <c r="J182" s="241"/>
      <c r="K182" s="282" t="s">
        <v>330</v>
      </c>
      <c r="L182" s="283">
        <f>100-L181</f>
        <v>76.69157534</v>
      </c>
      <c r="M182" s="284" t="s">
        <v>329</v>
      </c>
    </row>
    <row r="183" ht="15.75" customHeight="1">
      <c r="A183" s="307"/>
      <c r="B183" s="269">
        <f t="array" ref="B183">+XLOOKUP(C183,'Base de datos'!C:C,'Base de datos'!A:A,"",FALSE)</f>
        <v>93</v>
      </c>
      <c r="C183" s="270" t="s">
        <v>114</v>
      </c>
      <c r="D183" s="275" t="s">
        <v>20</v>
      </c>
      <c r="E183" s="256">
        <f t="array" ref="E183">+XLOOKUP(B183,'Base de datos'!A:A,'Base de datos'!H:H,0)</f>
        <v>0.0277</v>
      </c>
      <c r="F183" s="271">
        <v>2.0</v>
      </c>
      <c r="G183" s="271"/>
      <c r="H183" s="258">
        <f t="shared" si="14"/>
        <v>1</v>
      </c>
      <c r="I183" s="256">
        <f t="shared" si="15"/>
        <v>0.0554</v>
      </c>
      <c r="J183" s="241"/>
      <c r="L183" s="288"/>
    </row>
    <row r="184" ht="15.75" customHeight="1">
      <c r="A184" s="307"/>
      <c r="B184" s="269">
        <f t="array" ref="B184">+XLOOKUP(C184,'Base de datos'!C:C,'Base de datos'!A:A,"",FALSE)</f>
        <v>41</v>
      </c>
      <c r="C184" s="270" t="s">
        <v>72</v>
      </c>
      <c r="D184" s="255" t="s">
        <v>14</v>
      </c>
      <c r="E184" s="256">
        <f t="array" ref="E184">+XLOOKUP(B184,'Base de datos'!A:A,'Base de datos'!H:H,0)</f>
        <v>7.525</v>
      </c>
      <c r="F184" s="271">
        <v>0.026</v>
      </c>
      <c r="G184" s="257"/>
      <c r="H184" s="258"/>
      <c r="I184" s="256">
        <f t="shared" si="15"/>
        <v>0.19565</v>
      </c>
      <c r="J184" s="241"/>
      <c r="L184" s="288"/>
    </row>
    <row r="185" ht="15.75" customHeight="1">
      <c r="A185" s="307"/>
      <c r="B185" s="269">
        <f t="array" ref="B185">+XLOOKUP(C185,'Base de datos'!C:C,'Base de datos'!A:A,"",FALSE)</f>
        <v>111</v>
      </c>
      <c r="C185" s="270" t="s">
        <v>136</v>
      </c>
      <c r="D185" s="255" t="s">
        <v>14</v>
      </c>
      <c r="E185" s="256">
        <f t="array" ref="E185">+XLOOKUP(B185,'Base de datos'!A:A,'Base de datos'!H:H,0)</f>
        <v>5.9</v>
      </c>
      <c r="F185" s="271">
        <v>0.001</v>
      </c>
      <c r="G185" s="257"/>
      <c r="H185" s="258"/>
      <c r="I185" s="256">
        <f t="shared" si="15"/>
        <v>0.0059</v>
      </c>
      <c r="J185" s="241"/>
      <c r="L185" s="288"/>
    </row>
    <row r="186" ht="15.75" customHeight="1">
      <c r="A186" s="307"/>
      <c r="B186" s="269">
        <f t="array" ref="B186">+XLOOKUP(C186,'Base de datos'!C:C,'Base de datos'!A:A,"",FALSE)</f>
        <v>115</v>
      </c>
      <c r="C186" s="270" t="s">
        <v>140</v>
      </c>
      <c r="D186" s="255" t="s">
        <v>14</v>
      </c>
      <c r="E186" s="256">
        <f t="array" ref="E186">+XLOOKUP(B186,'Base de datos'!A:A,'Base de datos'!H:H,0)</f>
        <v>10.7260274</v>
      </c>
      <c r="F186" s="271">
        <v>0.008</v>
      </c>
      <c r="G186" s="257"/>
      <c r="H186" s="258"/>
      <c r="I186" s="256">
        <f t="shared" si="15"/>
        <v>0.08580821918</v>
      </c>
      <c r="J186" s="241"/>
      <c r="L186" s="288"/>
    </row>
    <row r="187" ht="15.75" customHeight="1">
      <c r="A187" s="307"/>
      <c r="B187" s="269">
        <f t="array" ref="B187">+XLOOKUP(C187,'Base de datos'!C:C,'Base de datos'!A:A,"",FALSE)</f>
        <v>113</v>
      </c>
      <c r="C187" s="270" t="s">
        <v>138</v>
      </c>
      <c r="D187" s="255" t="s">
        <v>14</v>
      </c>
      <c r="E187" s="256">
        <f t="array" ref="E187">+XLOOKUP(B187,'Base de datos'!A:A,'Base de datos'!H:H,0)</f>
        <v>6.4</v>
      </c>
      <c r="F187" s="271">
        <v>0.008</v>
      </c>
      <c r="G187" s="257"/>
      <c r="H187" s="258"/>
      <c r="I187" s="256">
        <f t="shared" si="15"/>
        <v>0.0512</v>
      </c>
      <c r="J187" s="241"/>
      <c r="L187" s="288"/>
    </row>
    <row r="188" ht="15.75" customHeight="1">
      <c r="A188" s="307"/>
      <c r="B188" s="269">
        <f t="array" ref="B188">+XLOOKUP(C188,'Base de datos'!C:C,'Base de datos'!A:A,"",FALSE)</f>
        <v>114</v>
      </c>
      <c r="C188" s="270" t="s">
        <v>139</v>
      </c>
      <c r="D188" s="255" t="s">
        <v>14</v>
      </c>
      <c r="E188" s="256">
        <f t="array" ref="E188">+XLOOKUP(B188,'Base de datos'!A:A,'Base de datos'!H:H,0)</f>
        <v>5.2</v>
      </c>
      <c r="F188" s="271">
        <v>0.001</v>
      </c>
      <c r="G188" s="257"/>
      <c r="H188" s="258">
        <f>IFERROR(1-G188/F188,"")</f>
        <v>1</v>
      </c>
      <c r="I188" s="256">
        <f t="shared" si="15"/>
        <v>0.0052</v>
      </c>
      <c r="J188" s="241"/>
      <c r="L188" s="288"/>
    </row>
    <row r="189" ht="15.75" customHeight="1">
      <c r="A189" s="307"/>
      <c r="B189" s="240"/>
      <c r="C189" s="241"/>
      <c r="D189" s="242"/>
      <c r="E189" s="243"/>
      <c r="F189" s="244"/>
      <c r="G189" s="244"/>
      <c r="H189" s="241"/>
      <c r="I189" s="241"/>
      <c r="J189" s="241"/>
      <c r="K189" s="241"/>
      <c r="L189" s="241"/>
    </row>
    <row r="190" ht="15.75" customHeight="1">
      <c r="A190" s="307"/>
      <c r="B190" s="295"/>
      <c r="C190" s="296" t="s">
        <v>337</v>
      </c>
      <c r="D190" s="297"/>
      <c r="E190" s="297"/>
      <c r="F190" s="297"/>
      <c r="G190" s="297"/>
      <c r="H190" s="297"/>
      <c r="I190" s="298"/>
      <c r="J190" s="241"/>
      <c r="K190" s="241"/>
      <c r="L190" s="241"/>
    </row>
    <row r="191" ht="15.75" customHeight="1">
      <c r="A191" s="307"/>
      <c r="B191" s="299"/>
      <c r="C191" s="300"/>
      <c r="D191" s="297"/>
      <c r="E191" s="297"/>
      <c r="F191" s="297"/>
      <c r="G191" s="297"/>
      <c r="H191" s="297"/>
      <c r="I191" s="298"/>
      <c r="J191" s="241"/>
      <c r="K191" s="241"/>
      <c r="L191" s="241"/>
    </row>
    <row r="192" ht="15.75" customHeight="1">
      <c r="A192" s="307"/>
      <c r="B192" s="301"/>
      <c r="C192" s="468" t="s">
        <v>750</v>
      </c>
      <c r="I192" s="278"/>
      <c r="J192" s="241"/>
      <c r="K192" s="241"/>
      <c r="L192" s="241"/>
    </row>
    <row r="193" ht="15.75" customHeight="1">
      <c r="A193" s="307"/>
      <c r="B193" s="301"/>
      <c r="C193" s="302"/>
      <c r="I193" s="278"/>
      <c r="J193" s="241"/>
      <c r="K193" s="241"/>
      <c r="L193" s="241"/>
    </row>
    <row r="194" ht="15.75" customHeight="1">
      <c r="A194" s="307"/>
      <c r="B194" s="301"/>
      <c r="C194" s="302"/>
      <c r="I194" s="278"/>
      <c r="J194" s="241"/>
      <c r="K194" s="241"/>
      <c r="L194" s="241"/>
    </row>
    <row r="195" ht="15.75" customHeight="1">
      <c r="A195" s="307"/>
      <c r="B195" s="301"/>
      <c r="C195" s="302"/>
      <c r="I195" s="278"/>
      <c r="J195" s="241"/>
      <c r="K195" s="241"/>
      <c r="L195" s="241"/>
    </row>
    <row r="196" ht="15.75" customHeight="1">
      <c r="A196" s="307"/>
      <c r="B196" s="301"/>
      <c r="C196" s="302"/>
      <c r="I196" s="278"/>
      <c r="J196" s="241"/>
      <c r="K196" s="241"/>
      <c r="L196" s="241"/>
    </row>
    <row r="197" ht="15.75" customHeight="1">
      <c r="A197" s="307"/>
      <c r="B197" s="301"/>
      <c r="C197" s="302"/>
      <c r="I197" s="278"/>
      <c r="J197" s="241"/>
      <c r="K197" s="241"/>
      <c r="L197" s="241"/>
    </row>
    <row r="198" ht="15.75" customHeight="1">
      <c r="A198" s="307"/>
      <c r="B198" s="301"/>
      <c r="C198" s="304"/>
      <c r="D198" s="305"/>
      <c r="E198" s="305"/>
      <c r="F198" s="305"/>
      <c r="G198" s="305"/>
      <c r="H198" s="305"/>
      <c r="I198" s="274"/>
      <c r="J198" s="241"/>
      <c r="K198" s="241"/>
      <c r="L198" s="241"/>
    </row>
    <row r="199" ht="15.75" customHeight="1">
      <c r="A199" s="307"/>
      <c r="B199" s="307"/>
      <c r="D199" s="308"/>
      <c r="E199" s="309"/>
    </row>
    <row r="200" ht="15.75" customHeight="1">
      <c r="A200" s="307"/>
      <c r="B200" s="230"/>
      <c r="C200" s="230"/>
      <c r="D200" s="230"/>
      <c r="E200" s="231"/>
      <c r="F200" s="232"/>
      <c r="G200" s="232"/>
      <c r="H200" s="230"/>
      <c r="I200" s="230"/>
      <c r="J200" s="230"/>
      <c r="K200" s="230"/>
      <c r="L200" s="230"/>
      <c r="M200" s="233"/>
    </row>
    <row r="201" ht="15.75" customHeight="1">
      <c r="A201" s="307"/>
      <c r="B201" s="234"/>
      <c r="C201" s="235" t="s">
        <v>313</v>
      </c>
      <c r="D201" s="236" t="s">
        <v>751</v>
      </c>
      <c r="E201" s="237"/>
      <c r="F201" s="237"/>
      <c r="G201" s="237"/>
      <c r="H201" s="237"/>
      <c r="I201" s="237"/>
      <c r="J201" s="238"/>
      <c r="K201" s="231"/>
      <c r="L201" s="230"/>
      <c r="M201" s="233"/>
    </row>
    <row r="202" ht="15.75" customHeight="1">
      <c r="A202" s="307"/>
      <c r="B202" s="239"/>
      <c r="C202" s="230"/>
      <c r="D202" s="230"/>
      <c r="E202" s="231"/>
      <c r="F202" s="232"/>
      <c r="G202" s="232"/>
      <c r="H202" s="230"/>
      <c r="I202" s="230"/>
      <c r="J202" s="230"/>
      <c r="K202" s="230"/>
      <c r="L202" s="230"/>
      <c r="M202" s="233"/>
    </row>
    <row r="203" ht="15.75" customHeight="1">
      <c r="A203" s="307"/>
      <c r="B203" s="240"/>
      <c r="C203" s="241"/>
      <c r="D203" s="242"/>
      <c r="E203" s="243"/>
      <c r="F203" s="244"/>
      <c r="G203" s="244"/>
      <c r="H203" s="241"/>
      <c r="I203" s="241"/>
      <c r="J203" s="241"/>
      <c r="K203" s="241"/>
      <c r="L203" s="241"/>
    </row>
    <row r="204" ht="15.75" customHeight="1">
      <c r="A204" s="307"/>
      <c r="B204" s="246" t="s">
        <v>0</v>
      </c>
      <c r="C204" s="246" t="s">
        <v>315</v>
      </c>
      <c r="D204" s="246" t="s">
        <v>316</v>
      </c>
      <c r="E204" s="247" t="s">
        <v>317</v>
      </c>
      <c r="F204" s="248" t="s">
        <v>318</v>
      </c>
      <c r="G204" s="248" t="s">
        <v>319</v>
      </c>
      <c r="H204" s="246" t="s">
        <v>320</v>
      </c>
      <c r="I204" s="246" t="s">
        <v>321</v>
      </c>
      <c r="J204" s="249"/>
      <c r="K204" s="250" t="s">
        <v>322</v>
      </c>
      <c r="L204" s="251"/>
      <c r="M204" s="251"/>
      <c r="O204" s="250" t="s">
        <v>323</v>
      </c>
      <c r="P204" s="477" t="s">
        <v>752</v>
      </c>
      <c r="Q204" s="251"/>
    </row>
    <row r="205" ht="15.75" customHeight="1">
      <c r="A205" s="307"/>
      <c r="B205" s="269">
        <f t="array" ref="B205">+XLOOKUP(C205,'Base de datos'!C:C,'Base de datos'!A:A,"",FALSE)</f>
        <v>47</v>
      </c>
      <c r="C205" s="270" t="s">
        <v>79</v>
      </c>
      <c r="D205" s="275" t="s">
        <v>20</v>
      </c>
      <c r="E205" s="256">
        <f t="array" ref="E205">+XLOOKUP(B205,'Base de datos'!A:A,'Base de datos'!H:H,0)</f>
        <v>0.5605</v>
      </c>
      <c r="F205" s="271">
        <v>1.0</v>
      </c>
      <c r="G205" s="271"/>
      <c r="H205" s="258"/>
      <c r="I205" s="256">
        <f t="shared" ref="I205:I207" si="16">IFERROR(E205*F205,"")</f>
        <v>0.5605</v>
      </c>
      <c r="J205" s="241"/>
      <c r="K205" s="259" t="s">
        <v>324</v>
      </c>
      <c r="L205" s="260">
        <f>SUM(I205:I215)</f>
        <v>1.760067568</v>
      </c>
      <c r="M205" s="261"/>
      <c r="O205" s="259" t="s">
        <v>324</v>
      </c>
      <c r="P205" s="260">
        <f>L205</f>
        <v>1.760067568</v>
      </c>
      <c r="Q205" s="261"/>
    </row>
    <row r="206" ht="15.75" customHeight="1">
      <c r="A206" s="307"/>
      <c r="B206" s="269">
        <f t="array" ref="B206">+XLOOKUP(C206,'Base de datos'!C:C,'Base de datos'!A:A,"",FALSE)</f>
        <v>31</v>
      </c>
      <c r="C206" s="270" t="s">
        <v>57</v>
      </c>
      <c r="D206" s="255" t="s">
        <v>14</v>
      </c>
      <c r="E206" s="256">
        <f t="array" ref="E206">+XLOOKUP(B206,'Base de datos'!A:A,'Base de datos'!H:H,0)</f>
        <v>0.7125</v>
      </c>
      <c r="F206" s="271">
        <v>1.0</v>
      </c>
      <c r="G206" s="257"/>
      <c r="H206" s="258"/>
      <c r="I206" s="256">
        <f t="shared" si="16"/>
        <v>0.7125</v>
      </c>
      <c r="J206" s="241"/>
      <c r="K206" s="267" t="s">
        <v>325</v>
      </c>
      <c r="L206" s="268">
        <v>3.9</v>
      </c>
      <c r="M206" s="261"/>
      <c r="O206" s="267" t="s">
        <v>325</v>
      </c>
      <c r="P206" s="268">
        <v>9.0</v>
      </c>
      <c r="Q206" s="261"/>
    </row>
    <row r="207" ht="15.75" customHeight="1">
      <c r="A207" s="307"/>
      <c r="B207" s="269">
        <f t="array" ref="B207">+XLOOKUP(C207,'Base de datos'!C:C,'Base de datos'!A:A,"",FALSE)</f>
        <v>148</v>
      </c>
      <c r="C207" s="270" t="s">
        <v>177</v>
      </c>
      <c r="D207" s="255" t="s">
        <v>14</v>
      </c>
      <c r="E207" s="256">
        <f t="array" ref="E207">+XLOOKUP(B207,'Base de datos'!A:A,'Base de datos'!H:H,0)</f>
        <v>2.178378378</v>
      </c>
      <c r="F207" s="271">
        <v>0.02</v>
      </c>
      <c r="G207" s="271"/>
      <c r="H207" s="258"/>
      <c r="I207" s="256">
        <f t="shared" si="16"/>
        <v>0.04356756757</v>
      </c>
      <c r="J207" s="241"/>
      <c r="K207" s="272" t="s">
        <v>326</v>
      </c>
      <c r="L207" s="273">
        <f>L206/1.1</f>
        <v>3.545454545</v>
      </c>
      <c r="M207" s="274"/>
      <c r="O207" s="272" t="s">
        <v>326</v>
      </c>
      <c r="P207" s="273">
        <f>P206/1.1</f>
        <v>8.181818182</v>
      </c>
      <c r="Q207" s="274"/>
    </row>
    <row r="208" ht="15.75" customHeight="1">
      <c r="A208" s="307"/>
      <c r="B208" s="253"/>
      <c r="C208" s="270"/>
      <c r="D208" s="275"/>
      <c r="E208" s="256"/>
      <c r="F208" s="271"/>
      <c r="G208" s="271"/>
      <c r="H208" s="258"/>
      <c r="I208" s="256"/>
      <c r="J208" s="241"/>
      <c r="K208" s="276" t="s">
        <v>327</v>
      </c>
      <c r="L208" s="277">
        <v>0.1</v>
      </c>
      <c r="M208" s="278"/>
      <c r="O208" s="276" t="s">
        <v>327</v>
      </c>
      <c r="P208" s="277">
        <v>0.1</v>
      </c>
      <c r="Q208" s="278"/>
    </row>
    <row r="209" ht="15.75" customHeight="1">
      <c r="A209" s="307"/>
      <c r="B209" s="253"/>
      <c r="C209" s="270"/>
      <c r="D209" s="255"/>
      <c r="E209" s="256"/>
      <c r="F209" s="271"/>
      <c r="G209" s="257"/>
      <c r="H209" s="258"/>
      <c r="I209" s="256"/>
      <c r="J209" s="241"/>
      <c r="K209" s="279" t="s">
        <v>328</v>
      </c>
      <c r="L209" s="280">
        <f>L205/L207*100</f>
        <v>49.64293139</v>
      </c>
      <c r="M209" s="281" t="s">
        <v>329</v>
      </c>
      <c r="O209" s="279" t="s">
        <v>328</v>
      </c>
      <c r="P209" s="280">
        <f>P205/P207*100</f>
        <v>21.51193694</v>
      </c>
      <c r="Q209" s="281" t="s">
        <v>329</v>
      </c>
    </row>
    <row r="210" ht="15.75" customHeight="1">
      <c r="A210" s="307"/>
      <c r="B210" s="253" t="str">
        <f t="array" ref="B210">+XLOOKUP(C210,'Base de datos'!C:C,'Base de datos'!A:A,"",FALSE)</f>
        <v/>
      </c>
      <c r="C210" s="270"/>
      <c r="D210" s="255" t="s">
        <v>14</v>
      </c>
      <c r="E210" s="256">
        <f t="array" ref="E210">+XLOOKUP(B210,'Base de datos'!A:A,'Base de datos'!H:H,0)</f>
        <v>0</v>
      </c>
      <c r="F210" s="271">
        <v>0.02</v>
      </c>
      <c r="G210" s="257"/>
      <c r="H210" s="258"/>
      <c r="I210" s="256">
        <f t="shared" ref="I210:I215" si="17">IFERROR(E210*F210,"")</f>
        <v>0</v>
      </c>
      <c r="J210" s="241"/>
      <c r="K210" s="282" t="s">
        <v>330</v>
      </c>
      <c r="L210" s="283">
        <f>100-L209</f>
        <v>50.35706861</v>
      </c>
      <c r="M210" s="284" t="s">
        <v>329</v>
      </c>
      <c r="O210" s="285" t="s">
        <v>330</v>
      </c>
      <c r="P210" s="286">
        <f>P207-P205</f>
        <v>6.421750614</v>
      </c>
      <c r="Q210" s="287" t="s">
        <v>331</v>
      </c>
    </row>
    <row r="211" ht="15.75" customHeight="1">
      <c r="A211" s="307"/>
      <c r="B211" s="253" t="str">
        <f t="array" ref="B211">+XLOOKUP(C211,'Base de datos'!C:C,'Base de datos'!A:A,"",FALSE)</f>
        <v/>
      </c>
      <c r="C211" s="270"/>
      <c r="D211" s="255" t="s">
        <v>14</v>
      </c>
      <c r="E211" s="256">
        <f t="array" ref="E211">+XLOOKUP(B211,'Base de datos'!A:A,'Base de datos'!H:H,0)</f>
        <v>0</v>
      </c>
      <c r="F211" s="271">
        <v>0.02</v>
      </c>
      <c r="G211" s="257"/>
      <c r="H211" s="258"/>
      <c r="I211" s="256">
        <f t="shared" si="17"/>
        <v>0</v>
      </c>
      <c r="J211" s="241"/>
      <c r="L211" s="288"/>
      <c r="O211" s="289" t="s">
        <v>332</v>
      </c>
      <c r="P211" s="290">
        <f>P207-P205-(P206*0.2)</f>
        <v>4.621750614</v>
      </c>
      <c r="Q211" s="291" t="s">
        <v>331</v>
      </c>
    </row>
    <row r="212" ht="15.75" customHeight="1">
      <c r="A212" s="307"/>
      <c r="B212" s="253" t="str">
        <f t="array" ref="B212">+XLOOKUP(C212,'Base de datos'!C:C,'Base de datos'!A:A,"",FALSE)</f>
        <v/>
      </c>
      <c r="C212" s="270"/>
      <c r="D212" s="255" t="s">
        <v>14</v>
      </c>
      <c r="E212" s="256">
        <f t="array" ref="E212">+XLOOKUP(B212,'Base de datos'!A:A,'Base de datos'!H:H,0)</f>
        <v>0</v>
      </c>
      <c r="F212" s="271">
        <v>0.02</v>
      </c>
      <c r="G212" s="257"/>
      <c r="H212" s="258"/>
      <c r="I212" s="256">
        <f t="shared" si="17"/>
        <v>0</v>
      </c>
      <c r="J212" s="241"/>
      <c r="O212" s="289" t="s">
        <v>332</v>
      </c>
      <c r="P212" s="292">
        <f>P211/P207</f>
        <v>0.5648806306</v>
      </c>
      <c r="Q212" s="291" t="s">
        <v>329</v>
      </c>
    </row>
    <row r="213" ht="15.75" customHeight="1">
      <c r="A213" s="307"/>
      <c r="B213" s="269">
        <f t="array" ref="B213">+XLOOKUP(C213,'Base de datos'!C:C,'Base de datos'!A:A,"",FALSE)</f>
        <v>58</v>
      </c>
      <c r="C213" s="270" t="s">
        <v>85</v>
      </c>
      <c r="D213" s="275" t="s">
        <v>14</v>
      </c>
      <c r="E213" s="256">
        <f t="array" ref="E213">+XLOOKUP(B213,'Base de datos'!A:A,'Base de datos'!H:H,0)</f>
        <v>2.15</v>
      </c>
      <c r="F213" s="271">
        <v>0.09</v>
      </c>
      <c r="G213" s="271"/>
      <c r="H213" s="258">
        <f t="shared" ref="H213:H215" si="18">IFERROR(1-G213/F213,"")</f>
        <v>1</v>
      </c>
      <c r="I213" s="256">
        <f t="shared" si="17"/>
        <v>0.1935</v>
      </c>
      <c r="J213" s="241"/>
    </row>
    <row r="214" ht="15.75" customHeight="1">
      <c r="A214" s="307"/>
      <c r="B214" s="269">
        <f t="array" ref="B214">+XLOOKUP(C214,'Base de datos'!C:C,'Base de datos'!A:A,"",FALSE)</f>
        <v>29</v>
      </c>
      <c r="C214" s="270" t="s">
        <v>54</v>
      </c>
      <c r="D214" s="275" t="s">
        <v>20</v>
      </c>
      <c r="E214" s="256">
        <f t="array" ref="E214">+XLOOKUP(B214,'Base de datos'!A:A,'Base de datos'!H:H,0)</f>
        <v>0.1946</v>
      </c>
      <c r="F214" s="271">
        <v>1.0</v>
      </c>
      <c r="G214" s="271"/>
      <c r="H214" s="258">
        <f t="shared" si="18"/>
        <v>1</v>
      </c>
      <c r="I214" s="256">
        <f t="shared" si="17"/>
        <v>0.1946</v>
      </c>
      <c r="J214" s="241"/>
    </row>
    <row r="215" ht="15.75" customHeight="1">
      <c r="A215" s="307"/>
      <c r="B215" s="269">
        <f t="array" ref="B215">+XLOOKUP(C215,'Base de datos'!C:C,'Base de datos'!A:A,"",FALSE)</f>
        <v>93</v>
      </c>
      <c r="C215" s="270" t="s">
        <v>114</v>
      </c>
      <c r="D215" s="275" t="s">
        <v>20</v>
      </c>
      <c r="E215" s="256">
        <f t="array" ref="E215">+XLOOKUP(B215,'Base de datos'!A:A,'Base de datos'!H:H,0)</f>
        <v>0.0277</v>
      </c>
      <c r="F215" s="271">
        <v>2.0</v>
      </c>
      <c r="G215" s="271"/>
      <c r="H215" s="258">
        <f t="shared" si="18"/>
        <v>1</v>
      </c>
      <c r="I215" s="256">
        <f t="shared" si="17"/>
        <v>0.0554</v>
      </c>
      <c r="J215" s="241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230"/>
      <c r="C218" s="230"/>
      <c r="D218" s="230"/>
      <c r="E218" s="231"/>
      <c r="F218" s="232"/>
      <c r="G218" s="232"/>
      <c r="H218" s="230"/>
      <c r="I218" s="230"/>
      <c r="J218" s="230"/>
      <c r="K218" s="230"/>
      <c r="L218" s="230"/>
      <c r="M218" s="233"/>
    </row>
    <row r="219" ht="15.75" customHeight="1">
      <c r="A219" s="307"/>
      <c r="B219" s="234"/>
      <c r="C219" s="235" t="s">
        <v>313</v>
      </c>
      <c r="D219" s="236" t="s">
        <v>753</v>
      </c>
      <c r="E219" s="237"/>
      <c r="F219" s="237"/>
      <c r="G219" s="237"/>
      <c r="H219" s="237"/>
      <c r="I219" s="237"/>
      <c r="J219" s="238"/>
      <c r="K219" s="231"/>
      <c r="L219" s="230"/>
      <c r="M219" s="233"/>
    </row>
    <row r="220" ht="15.75" customHeight="1">
      <c r="A220" s="307"/>
      <c r="B220" s="239"/>
      <c r="C220" s="230"/>
      <c r="D220" s="230"/>
      <c r="E220" s="231"/>
      <c r="F220" s="232"/>
      <c r="G220" s="232"/>
      <c r="H220" s="230"/>
      <c r="I220" s="230"/>
      <c r="J220" s="230"/>
      <c r="K220" s="230"/>
      <c r="L220" s="230"/>
      <c r="M220" s="233"/>
    </row>
    <row r="221" ht="15.75" customHeight="1">
      <c r="A221" s="307"/>
      <c r="B221" s="240"/>
      <c r="C221" s="241"/>
      <c r="D221" s="242"/>
      <c r="E221" s="243"/>
      <c r="F221" s="244"/>
      <c r="G221" s="244"/>
      <c r="H221" s="241"/>
      <c r="I221" s="241"/>
      <c r="J221" s="241"/>
      <c r="K221" s="241"/>
      <c r="L221" s="241"/>
    </row>
    <row r="222" ht="15.75" customHeight="1">
      <c r="A222" s="307"/>
      <c r="B222" s="246" t="s">
        <v>0</v>
      </c>
      <c r="C222" s="246" t="s">
        <v>315</v>
      </c>
      <c r="D222" s="246" t="s">
        <v>316</v>
      </c>
      <c r="E222" s="247" t="s">
        <v>317</v>
      </c>
      <c r="F222" s="248" t="s">
        <v>318</v>
      </c>
      <c r="G222" s="248" t="s">
        <v>319</v>
      </c>
      <c r="H222" s="246" t="s">
        <v>320</v>
      </c>
      <c r="I222" s="246" t="s">
        <v>321</v>
      </c>
      <c r="J222" s="249"/>
      <c r="K222" s="250" t="s">
        <v>322</v>
      </c>
      <c r="L222" s="251"/>
      <c r="M222" s="251"/>
      <c r="O222" s="250" t="s">
        <v>323</v>
      </c>
      <c r="P222" s="477" t="s">
        <v>752</v>
      </c>
      <c r="Q222" s="251"/>
    </row>
    <row r="223" ht="15.75" customHeight="1">
      <c r="A223" s="307"/>
      <c r="B223" s="269">
        <f t="array" ref="B223">+XLOOKUP(C223,'Base de datos'!C:C,'Base de datos'!A:A,"",FALSE)</f>
        <v>47</v>
      </c>
      <c r="C223" s="270" t="s">
        <v>79</v>
      </c>
      <c r="D223" s="275" t="s">
        <v>20</v>
      </c>
      <c r="E223" s="256">
        <f t="array" ref="E223">+XLOOKUP(B223,'Base de datos'!A:A,'Base de datos'!H:H,0)</f>
        <v>0.5605</v>
      </c>
      <c r="F223" s="271">
        <v>1.0</v>
      </c>
      <c r="G223" s="271"/>
      <c r="H223" s="258"/>
      <c r="I223" s="256">
        <f t="shared" ref="I223:I233" si="19">IFERROR(E223*F223,"")</f>
        <v>0.5605</v>
      </c>
      <c r="J223" s="241"/>
      <c r="K223" s="259" t="s">
        <v>324</v>
      </c>
      <c r="L223" s="260">
        <f>SUM(I223:I233)</f>
        <v>2.066129568</v>
      </c>
      <c r="M223" s="261"/>
      <c r="O223" s="259" t="s">
        <v>324</v>
      </c>
      <c r="P223" s="260">
        <f>L223</f>
        <v>2.066129568</v>
      </c>
      <c r="Q223" s="261"/>
    </row>
    <row r="224" ht="15.75" customHeight="1">
      <c r="A224" s="307"/>
      <c r="B224" s="269">
        <f t="array" ref="B224">+XLOOKUP(C224,'Base de datos'!C:C,'Base de datos'!A:A,"",FALSE)</f>
        <v>31</v>
      </c>
      <c r="C224" s="270" t="s">
        <v>57</v>
      </c>
      <c r="D224" s="255" t="s">
        <v>14</v>
      </c>
      <c r="E224" s="256">
        <f t="array" ref="E224">+XLOOKUP(B224,'Base de datos'!A:A,'Base de datos'!H:H,0)</f>
        <v>0.7125</v>
      </c>
      <c r="F224" s="271">
        <v>1.0</v>
      </c>
      <c r="G224" s="257"/>
      <c r="H224" s="258"/>
      <c r="I224" s="256">
        <f t="shared" si="19"/>
        <v>0.7125</v>
      </c>
      <c r="J224" s="241"/>
      <c r="K224" s="267" t="s">
        <v>325</v>
      </c>
      <c r="L224" s="268">
        <v>5.9</v>
      </c>
      <c r="M224" s="261"/>
      <c r="O224" s="267" t="s">
        <v>325</v>
      </c>
      <c r="P224" s="268">
        <v>9.0</v>
      </c>
      <c r="Q224" s="261"/>
    </row>
    <row r="225" ht="15.75" customHeight="1">
      <c r="A225" s="307"/>
      <c r="B225" s="269">
        <f t="array" ref="B225">+XLOOKUP(C225,'Base de datos'!C:C,'Base de datos'!A:A,"",FALSE)</f>
        <v>148</v>
      </c>
      <c r="C225" s="270" t="s">
        <v>177</v>
      </c>
      <c r="D225" s="255" t="s">
        <v>14</v>
      </c>
      <c r="E225" s="256">
        <f t="array" ref="E225">+XLOOKUP(B225,'Base de datos'!A:A,'Base de datos'!H:H,0)</f>
        <v>2.178378378</v>
      </c>
      <c r="F225" s="271">
        <v>0.02</v>
      </c>
      <c r="G225" s="271"/>
      <c r="H225" s="258"/>
      <c r="I225" s="256">
        <f t="shared" si="19"/>
        <v>0.04356756757</v>
      </c>
      <c r="J225" s="241"/>
      <c r="K225" s="272" t="s">
        <v>326</v>
      </c>
      <c r="L225" s="273">
        <f>L224/1.1</f>
        <v>5.363636364</v>
      </c>
      <c r="M225" s="274"/>
      <c r="O225" s="272" t="s">
        <v>326</v>
      </c>
      <c r="P225" s="273">
        <f>P224/1.1</f>
        <v>8.181818182</v>
      </c>
      <c r="Q225" s="274"/>
    </row>
    <row r="226" ht="15.75" customHeight="1">
      <c r="A226" s="307"/>
      <c r="B226" s="269">
        <f t="array" ref="B226">+XLOOKUP(C226,'Base de datos'!C:C,'Base de datos'!A:A,"",FALSE)</f>
        <v>4</v>
      </c>
      <c r="C226" s="270" t="s">
        <v>16</v>
      </c>
      <c r="D226" s="255" t="s">
        <v>14</v>
      </c>
      <c r="E226" s="256">
        <f t="array" ref="E226">+XLOOKUP(B226,'Base de datos'!A:A,'Base de datos'!H:H,0)</f>
        <v>4.8165</v>
      </c>
      <c r="F226" s="271">
        <f>0.014*2</f>
        <v>0.028</v>
      </c>
      <c r="G226" s="271"/>
      <c r="H226" s="258"/>
      <c r="I226" s="256">
        <f t="shared" si="19"/>
        <v>0.134862</v>
      </c>
      <c r="J226" s="241"/>
      <c r="K226" s="276" t="s">
        <v>327</v>
      </c>
      <c r="L226" s="277">
        <v>0.1</v>
      </c>
      <c r="M226" s="278"/>
      <c r="O226" s="276" t="s">
        <v>327</v>
      </c>
      <c r="P226" s="277">
        <v>0.1</v>
      </c>
      <c r="Q226" s="278"/>
    </row>
    <row r="227" ht="15.75" customHeight="1">
      <c r="A227" s="307"/>
      <c r="B227" s="269">
        <f t="array" ref="B227">+XLOOKUP(C227,'Base de datos'!C:C,'Base de datos'!A:A,"",FALSE)</f>
        <v>21</v>
      </c>
      <c r="C227" s="270" t="s">
        <v>44</v>
      </c>
      <c r="D227" s="255" t="s">
        <v>14</v>
      </c>
      <c r="E227" s="256">
        <f t="array" ref="E227">+XLOOKUP(B227,'Base de datos'!A:A,'Base de datos'!H:H,0)</f>
        <v>8.56</v>
      </c>
      <c r="F227" s="271">
        <v>0.02</v>
      </c>
      <c r="G227" s="271"/>
      <c r="H227" s="258"/>
      <c r="I227" s="256">
        <f t="shared" si="19"/>
        <v>0.1712</v>
      </c>
      <c r="J227" s="241"/>
      <c r="K227" s="279" t="s">
        <v>328</v>
      </c>
      <c r="L227" s="280">
        <f>L223/L225*100</f>
        <v>38.52105973</v>
      </c>
      <c r="M227" s="281" t="s">
        <v>329</v>
      </c>
      <c r="O227" s="279" t="s">
        <v>328</v>
      </c>
      <c r="P227" s="280">
        <f>P223/P225*100</f>
        <v>25.25269471</v>
      </c>
      <c r="Q227" s="281" t="s">
        <v>329</v>
      </c>
    </row>
    <row r="228" ht="15.75" customHeight="1">
      <c r="A228" s="307"/>
      <c r="B228" s="253" t="str">
        <f t="array" ref="B228">+XLOOKUP(C228,'Base de datos'!C:C,'Base de datos'!A:A,"",FALSE)</f>
        <v/>
      </c>
      <c r="C228" s="270"/>
      <c r="D228" s="255" t="s">
        <v>14</v>
      </c>
      <c r="E228" s="256">
        <f t="array" ref="E228">+XLOOKUP(B228,'Base de datos'!A:A,'Base de datos'!H:H,0)</f>
        <v>0</v>
      </c>
      <c r="F228" s="271">
        <v>0.02</v>
      </c>
      <c r="G228" s="257"/>
      <c r="H228" s="258"/>
      <c r="I228" s="256">
        <f t="shared" si="19"/>
        <v>0</v>
      </c>
      <c r="J228" s="241"/>
      <c r="K228" s="282" t="s">
        <v>330</v>
      </c>
      <c r="L228" s="283">
        <f>100-L227</f>
        <v>61.47894027</v>
      </c>
      <c r="M228" s="284" t="s">
        <v>329</v>
      </c>
      <c r="O228" s="285" t="s">
        <v>330</v>
      </c>
      <c r="P228" s="286">
        <f>P225-P223</f>
        <v>6.115688614</v>
      </c>
      <c r="Q228" s="287" t="s">
        <v>331</v>
      </c>
    </row>
    <row r="229" ht="15.75" customHeight="1">
      <c r="A229" s="307"/>
      <c r="B229" s="253" t="str">
        <f t="array" ref="B229">+XLOOKUP(C229,'Base de datos'!C:C,'Base de datos'!A:A,"",FALSE)</f>
        <v/>
      </c>
      <c r="C229" s="270"/>
      <c r="D229" s="255" t="s">
        <v>14</v>
      </c>
      <c r="E229" s="256">
        <f t="array" ref="E229">+XLOOKUP(B229,'Base de datos'!A:A,'Base de datos'!H:H,0)</f>
        <v>0</v>
      </c>
      <c r="F229" s="271">
        <v>0.02</v>
      </c>
      <c r="G229" s="257"/>
      <c r="H229" s="258"/>
      <c r="I229" s="256">
        <f t="shared" si="19"/>
        <v>0</v>
      </c>
      <c r="J229" s="241"/>
      <c r="L229" s="288"/>
      <c r="O229" s="289" t="s">
        <v>332</v>
      </c>
      <c r="P229" s="290">
        <f>P225-P223-(P224*0.2)</f>
        <v>4.315688614</v>
      </c>
      <c r="Q229" s="291" t="s">
        <v>331</v>
      </c>
    </row>
    <row r="230" ht="15.75" customHeight="1">
      <c r="A230" s="307"/>
      <c r="B230" s="253" t="str">
        <f t="array" ref="B230">+XLOOKUP(C230,'Base de datos'!C:C,'Base de datos'!A:A,"",FALSE)</f>
        <v/>
      </c>
      <c r="C230" s="270"/>
      <c r="D230" s="255" t="s">
        <v>14</v>
      </c>
      <c r="E230" s="256">
        <f t="array" ref="E230">+XLOOKUP(B230,'Base de datos'!A:A,'Base de datos'!H:H,0)</f>
        <v>0</v>
      </c>
      <c r="F230" s="271">
        <v>0.02</v>
      </c>
      <c r="G230" s="257"/>
      <c r="H230" s="258"/>
      <c r="I230" s="256">
        <f t="shared" si="19"/>
        <v>0</v>
      </c>
      <c r="J230" s="241"/>
      <c r="O230" s="289" t="s">
        <v>332</v>
      </c>
      <c r="P230" s="292">
        <f>P229/P225</f>
        <v>0.5274730529</v>
      </c>
      <c r="Q230" s="291" t="s">
        <v>329</v>
      </c>
    </row>
    <row r="231" ht="15.75" customHeight="1">
      <c r="A231" s="307"/>
      <c r="B231" s="269">
        <f t="array" ref="B231">+XLOOKUP(C231,'Base de datos'!C:C,'Base de datos'!A:A,"",FALSE)</f>
        <v>58</v>
      </c>
      <c r="C231" s="270" t="s">
        <v>85</v>
      </c>
      <c r="D231" s="275" t="s">
        <v>14</v>
      </c>
      <c r="E231" s="256">
        <f t="array" ref="E231">+XLOOKUP(B231,'Base de datos'!A:A,'Base de datos'!H:H,0)</f>
        <v>2.15</v>
      </c>
      <c r="F231" s="271">
        <v>0.09</v>
      </c>
      <c r="G231" s="271"/>
      <c r="H231" s="258">
        <f t="shared" ref="H231:H233" si="20">IFERROR(1-G231/F231,"")</f>
        <v>1</v>
      </c>
      <c r="I231" s="256">
        <f t="shared" si="19"/>
        <v>0.1935</v>
      </c>
      <c r="J231" s="241"/>
    </row>
    <row r="232" ht="15.75" customHeight="1">
      <c r="A232" s="307"/>
      <c r="B232" s="269">
        <f t="array" ref="B232">+XLOOKUP(C232,'Base de datos'!C:C,'Base de datos'!A:A,"",FALSE)</f>
        <v>29</v>
      </c>
      <c r="C232" s="270" t="s">
        <v>54</v>
      </c>
      <c r="D232" s="275" t="s">
        <v>20</v>
      </c>
      <c r="E232" s="256">
        <f t="array" ref="E232">+XLOOKUP(B232,'Base de datos'!A:A,'Base de datos'!H:H,0)</f>
        <v>0.1946</v>
      </c>
      <c r="F232" s="271">
        <v>1.0</v>
      </c>
      <c r="G232" s="271"/>
      <c r="H232" s="258">
        <f t="shared" si="20"/>
        <v>1</v>
      </c>
      <c r="I232" s="256">
        <f t="shared" si="19"/>
        <v>0.1946</v>
      </c>
      <c r="J232" s="241"/>
    </row>
    <row r="233" ht="15.75" customHeight="1">
      <c r="A233" s="307"/>
      <c r="B233" s="269">
        <f t="array" ref="B233">+XLOOKUP(C233,'Base de datos'!C:C,'Base de datos'!A:A,"",FALSE)</f>
        <v>93</v>
      </c>
      <c r="C233" s="270" t="s">
        <v>114</v>
      </c>
      <c r="D233" s="275" t="s">
        <v>20</v>
      </c>
      <c r="E233" s="256">
        <f t="array" ref="E233">+XLOOKUP(B233,'Base de datos'!A:A,'Base de datos'!H:H,0)</f>
        <v>0.0277</v>
      </c>
      <c r="F233" s="271">
        <v>2.0</v>
      </c>
      <c r="G233" s="271"/>
      <c r="H233" s="258">
        <f t="shared" si="20"/>
        <v>1</v>
      </c>
      <c r="I233" s="256">
        <f t="shared" si="19"/>
        <v>0.0554</v>
      </c>
      <c r="J233" s="241"/>
    </row>
    <row r="234" ht="15.75" customHeight="1">
      <c r="A234" s="307"/>
      <c r="B234" s="307"/>
      <c r="D234" s="308"/>
      <c r="E234" s="309"/>
    </row>
    <row r="235" ht="15.75" customHeight="1">
      <c r="A235" s="307"/>
      <c r="B235" s="307"/>
    </row>
    <row r="236" ht="15.75" customHeight="1">
      <c r="A236" s="307"/>
      <c r="B236" s="230"/>
      <c r="C236" s="230"/>
      <c r="D236" s="230"/>
      <c r="E236" s="231"/>
      <c r="F236" s="232"/>
      <c r="G236" s="232"/>
      <c r="H236" s="230"/>
      <c r="I236" s="230"/>
      <c r="J236" s="230"/>
      <c r="K236" s="230"/>
      <c r="L236" s="230"/>
      <c r="M236" s="233"/>
    </row>
    <row r="237" ht="15.75" customHeight="1">
      <c r="A237" s="307"/>
      <c r="B237" s="234"/>
      <c r="C237" s="235" t="s">
        <v>313</v>
      </c>
      <c r="D237" s="236" t="s">
        <v>273</v>
      </c>
      <c r="E237" s="237"/>
      <c r="F237" s="237"/>
      <c r="G237" s="237"/>
      <c r="H237" s="237"/>
      <c r="I237" s="237"/>
      <c r="J237" s="238"/>
      <c r="K237" s="231"/>
      <c r="L237" s="230"/>
      <c r="M237" s="233"/>
    </row>
    <row r="238" ht="15.75" customHeight="1">
      <c r="A238" s="307"/>
      <c r="B238" s="239"/>
      <c r="C238" s="230"/>
      <c r="D238" s="230"/>
      <c r="E238" s="231"/>
      <c r="F238" s="232"/>
      <c r="G238" s="232"/>
      <c r="H238" s="230"/>
      <c r="I238" s="230"/>
      <c r="J238" s="230"/>
      <c r="K238" s="230"/>
      <c r="L238" s="230"/>
      <c r="M238" s="233"/>
    </row>
    <row r="239" ht="15.75" customHeight="1">
      <c r="A239" s="307"/>
      <c r="B239" s="240"/>
      <c r="C239" s="241"/>
      <c r="D239" s="242"/>
      <c r="E239" s="243"/>
      <c r="F239" s="244"/>
      <c r="G239" s="244"/>
      <c r="H239" s="241"/>
      <c r="I239" s="241"/>
      <c r="J239" s="241"/>
      <c r="K239" s="241"/>
      <c r="L239" s="241"/>
    </row>
    <row r="240" ht="15.75" customHeight="1">
      <c r="A240" s="307"/>
      <c r="B240" s="246" t="s">
        <v>0</v>
      </c>
      <c r="C240" s="246" t="s">
        <v>315</v>
      </c>
      <c r="D240" s="246" t="s">
        <v>316</v>
      </c>
      <c r="E240" s="247" t="s">
        <v>317</v>
      </c>
      <c r="F240" s="248" t="s">
        <v>318</v>
      </c>
      <c r="G240" s="248" t="s">
        <v>319</v>
      </c>
      <c r="H240" s="246" t="s">
        <v>320</v>
      </c>
      <c r="I240" s="246" t="s">
        <v>321</v>
      </c>
      <c r="J240" s="249"/>
      <c r="K240" s="250" t="s">
        <v>322</v>
      </c>
      <c r="L240" s="477" t="s">
        <v>754</v>
      </c>
      <c r="M240" s="251"/>
      <c r="O240" s="250" t="s">
        <v>323</v>
      </c>
      <c r="Q240" s="251"/>
    </row>
    <row r="241" ht="15.75" customHeight="1">
      <c r="A241" s="307"/>
      <c r="B241" s="269">
        <f t="array" ref="B241">+XLOOKUP(C241,'Base de datos'!C:C,'Base de datos'!A:A,"",FALSE)</f>
        <v>47</v>
      </c>
      <c r="C241" s="270" t="s">
        <v>79</v>
      </c>
      <c r="D241" s="275" t="s">
        <v>20</v>
      </c>
      <c r="E241" s="256">
        <f t="array" ref="E241">+XLOOKUP(B241,'Base de datos'!A:A,'Base de datos'!H:H,0)</f>
        <v>0.5605</v>
      </c>
      <c r="F241" s="271">
        <v>1.0</v>
      </c>
      <c r="G241" s="271"/>
      <c r="H241" s="258"/>
      <c r="I241" s="256">
        <f t="shared" ref="I241:I248" si="21">IFERROR(E241*F241,"")</f>
        <v>0.5605</v>
      </c>
      <c r="J241" s="241"/>
      <c r="K241" s="259" t="s">
        <v>324</v>
      </c>
      <c r="L241" s="260">
        <f>SUM(I241:I251)</f>
        <v>1.828322402</v>
      </c>
      <c r="M241" s="261"/>
      <c r="O241" s="259" t="s">
        <v>324</v>
      </c>
      <c r="P241" s="260">
        <f>L241</f>
        <v>1.828322402</v>
      </c>
      <c r="Q241" s="261"/>
    </row>
    <row r="242" ht="15.75" customHeight="1">
      <c r="A242" s="307"/>
      <c r="B242" s="269">
        <f t="array" ref="B242">+XLOOKUP(C242,'Base de datos'!C:C,'Base de datos'!A:A,"",FALSE)</f>
        <v>31</v>
      </c>
      <c r="C242" s="270" t="s">
        <v>57</v>
      </c>
      <c r="D242" s="255" t="s">
        <v>14</v>
      </c>
      <c r="E242" s="256">
        <f t="array" ref="E242">+XLOOKUP(B242,'Base de datos'!A:A,'Base de datos'!H:H,0)</f>
        <v>0.7125</v>
      </c>
      <c r="F242" s="271">
        <v>1.0</v>
      </c>
      <c r="G242" s="257"/>
      <c r="H242" s="258"/>
      <c r="I242" s="256">
        <f t="shared" si="21"/>
        <v>0.7125</v>
      </c>
      <c r="J242" s="241"/>
      <c r="K242" s="267" t="s">
        <v>325</v>
      </c>
      <c r="L242" s="268">
        <v>7.0</v>
      </c>
      <c r="M242" s="261"/>
      <c r="O242" s="267" t="s">
        <v>325</v>
      </c>
      <c r="P242" s="268">
        <v>7.5</v>
      </c>
      <c r="Q242" s="261"/>
    </row>
    <row r="243" ht="15.75" customHeight="1">
      <c r="B243" s="269">
        <f t="array" ref="B243">+XLOOKUP(C243,'Base de datos'!C:C,'Base de datos'!A:A,"",FALSE)</f>
        <v>142</v>
      </c>
      <c r="C243" s="270" t="s">
        <v>170</v>
      </c>
      <c r="D243" s="255" t="s">
        <v>14</v>
      </c>
      <c r="E243" s="256">
        <f t="array" ref="E243">+XLOOKUP(B243,'Base de datos'!A:A,'Base de datos'!H:H,0)</f>
        <v>2.875675676</v>
      </c>
      <c r="F243" s="271">
        <v>0.02</v>
      </c>
      <c r="G243" s="271"/>
      <c r="H243" s="258"/>
      <c r="I243" s="256">
        <f t="shared" si="21"/>
        <v>0.05751351351</v>
      </c>
      <c r="J243" s="241"/>
      <c r="K243" s="272" t="s">
        <v>326</v>
      </c>
      <c r="L243" s="273">
        <f>L242/1.1</f>
        <v>6.363636364</v>
      </c>
      <c r="M243" s="274"/>
      <c r="O243" s="272" t="s">
        <v>326</v>
      </c>
      <c r="P243" s="273">
        <f>P242/1.1</f>
        <v>6.818181818</v>
      </c>
      <c r="Q243" s="274"/>
    </row>
    <row r="244" ht="15.75" customHeight="1">
      <c r="B244" s="269">
        <f t="array" ref="B244">+XLOOKUP(C244,'Base de datos'!C:C,'Base de datos'!A:A,"",FALSE)</f>
        <v>23</v>
      </c>
      <c r="C244" s="270" t="s">
        <v>46</v>
      </c>
      <c r="D244" s="255" t="s">
        <v>14</v>
      </c>
      <c r="E244" s="256">
        <f t="array" ref="E244">+XLOOKUP(B244,'Base de datos'!A:A,'Base de datos'!H:H,0)</f>
        <v>4.39</v>
      </c>
      <c r="F244" s="271">
        <f>0.014*2</f>
        <v>0.028</v>
      </c>
      <c r="G244" s="271"/>
      <c r="H244" s="258"/>
      <c r="I244" s="256">
        <f t="shared" si="21"/>
        <v>0.12292</v>
      </c>
      <c r="J244" s="241"/>
      <c r="K244" s="276" t="s">
        <v>327</v>
      </c>
      <c r="L244" s="277">
        <v>0.1</v>
      </c>
      <c r="M244" s="278"/>
      <c r="O244" s="276" t="s">
        <v>327</v>
      </c>
      <c r="P244" s="277">
        <v>0.1</v>
      </c>
      <c r="Q244" s="278"/>
    </row>
    <row r="245" ht="15.75" customHeight="1">
      <c r="B245" s="269">
        <f t="array" ref="B245">+XLOOKUP(C245,'Base de datos'!C:C,'Base de datos'!A:A,"",FALSE)</f>
        <v>13</v>
      </c>
      <c r="C245" s="270" t="s">
        <v>32</v>
      </c>
      <c r="D245" s="255" t="s">
        <v>14</v>
      </c>
      <c r="E245" s="256">
        <f t="array" ref="E245">+XLOOKUP(B245,'Base de datos'!A:A,'Base de datos'!H:H,0)</f>
        <v>6.244444444</v>
      </c>
      <c r="F245" s="271">
        <v>0.02</v>
      </c>
      <c r="G245" s="271"/>
      <c r="H245" s="258"/>
      <c r="I245" s="256">
        <f t="shared" si="21"/>
        <v>0.1248888889</v>
      </c>
      <c r="J245" s="241"/>
      <c r="K245" s="279" t="s">
        <v>328</v>
      </c>
      <c r="L245" s="280">
        <f>L241/L243*100</f>
        <v>28.73078061</v>
      </c>
      <c r="M245" s="281" t="s">
        <v>329</v>
      </c>
      <c r="O245" s="279" t="s">
        <v>328</v>
      </c>
      <c r="P245" s="280">
        <f>P241/P243*100</f>
        <v>26.81539524</v>
      </c>
      <c r="Q245" s="281" t="s">
        <v>329</v>
      </c>
    </row>
    <row r="246" ht="15.75" customHeight="1">
      <c r="B246" s="253" t="str">
        <f t="array" ref="B246">+XLOOKUP(C246,'Base de datos'!C:C,'Base de datos'!A:A,"",FALSE)</f>
        <v/>
      </c>
      <c r="C246" s="270"/>
      <c r="D246" s="255" t="s">
        <v>14</v>
      </c>
      <c r="E246" s="256">
        <f t="array" ref="E246">+XLOOKUP(B246,'Base de datos'!A:A,'Base de datos'!H:H,0)</f>
        <v>0</v>
      </c>
      <c r="F246" s="271">
        <v>0.02</v>
      </c>
      <c r="G246" s="257"/>
      <c r="H246" s="258"/>
      <c r="I246" s="256">
        <f t="shared" si="21"/>
        <v>0</v>
      </c>
      <c r="J246" s="241"/>
      <c r="K246" s="282" t="s">
        <v>330</v>
      </c>
      <c r="L246" s="283">
        <f>100-L245</f>
        <v>71.26921939</v>
      </c>
      <c r="M246" s="284" t="s">
        <v>329</v>
      </c>
      <c r="O246" s="285" t="s">
        <v>330</v>
      </c>
      <c r="P246" s="286">
        <f>P243-P241</f>
        <v>4.989859416</v>
      </c>
      <c r="Q246" s="287" t="s">
        <v>331</v>
      </c>
    </row>
    <row r="247" ht="15.75" customHeight="1">
      <c r="B247" s="253" t="str">
        <f t="array" ref="B247">+XLOOKUP(C247,'Base de datos'!C:C,'Base de datos'!A:A,"",FALSE)</f>
        <v/>
      </c>
      <c r="C247" s="270"/>
      <c r="D247" s="255" t="s">
        <v>14</v>
      </c>
      <c r="E247" s="256">
        <f t="array" ref="E247">+XLOOKUP(B247,'Base de datos'!A:A,'Base de datos'!H:H,0)</f>
        <v>0</v>
      </c>
      <c r="F247" s="271">
        <v>0.02</v>
      </c>
      <c r="G247" s="257"/>
      <c r="H247" s="258"/>
      <c r="I247" s="256">
        <f t="shared" si="21"/>
        <v>0</v>
      </c>
      <c r="J247" s="241"/>
      <c r="L247" s="288"/>
      <c r="O247" s="289" t="s">
        <v>332</v>
      </c>
      <c r="P247" s="290">
        <f>P243-P241-(P242*0.2)</f>
        <v>3.489859416</v>
      </c>
      <c r="Q247" s="291" t="s">
        <v>331</v>
      </c>
    </row>
    <row r="248" ht="15.75" customHeight="1">
      <c r="B248" s="253" t="str">
        <f t="array" ref="B248">+XLOOKUP(C248,'Base de datos'!C:C,'Base de datos'!A:A,"",FALSE)</f>
        <v/>
      </c>
      <c r="C248" s="270"/>
      <c r="D248" s="255" t="s">
        <v>14</v>
      </c>
      <c r="E248" s="256">
        <f t="array" ref="E248">+XLOOKUP(B248,'Base de datos'!A:A,'Base de datos'!H:H,0)</f>
        <v>0</v>
      </c>
      <c r="F248" s="271">
        <v>0.02</v>
      </c>
      <c r="G248" s="257"/>
      <c r="H248" s="258"/>
      <c r="I248" s="256">
        <f t="shared" si="21"/>
        <v>0</v>
      </c>
      <c r="J248" s="241"/>
      <c r="O248" s="289" t="s">
        <v>332</v>
      </c>
      <c r="P248" s="292">
        <f>P247/P243</f>
        <v>0.5118460476</v>
      </c>
      <c r="Q248" s="291" t="s">
        <v>329</v>
      </c>
    </row>
    <row r="249" ht="15.75" customHeight="1">
      <c r="B249" s="253"/>
      <c r="C249" s="270"/>
      <c r="D249" s="275"/>
      <c r="E249" s="256"/>
      <c r="F249" s="271"/>
      <c r="G249" s="271"/>
      <c r="H249" s="258"/>
      <c r="I249" s="256"/>
      <c r="J249" s="241"/>
    </row>
    <row r="250" ht="15.75" customHeight="1">
      <c r="B250" s="269">
        <f t="array" ref="B250">+XLOOKUP(C250,'Base de datos'!C:C,'Base de datos'!A:A,"",FALSE)</f>
        <v>29</v>
      </c>
      <c r="C250" s="270" t="s">
        <v>54</v>
      </c>
      <c r="D250" s="275" t="s">
        <v>20</v>
      </c>
      <c r="E250" s="256">
        <f t="array" ref="E250">+XLOOKUP(B250,'Base de datos'!A:A,'Base de datos'!H:H,0)</f>
        <v>0.1946</v>
      </c>
      <c r="F250" s="271">
        <v>1.0</v>
      </c>
      <c r="G250" s="271"/>
      <c r="H250" s="258">
        <f t="shared" ref="H250:H251" si="22">IFERROR(1-G250/F250,"")</f>
        <v>1</v>
      </c>
      <c r="I250" s="256">
        <f t="shared" ref="I250:I251" si="23">IFERROR(E250*F250,"")</f>
        <v>0.1946</v>
      </c>
      <c r="J250" s="241"/>
    </row>
    <row r="251" ht="15.75" customHeight="1">
      <c r="B251" s="269">
        <f t="array" ref="B251">+XLOOKUP(C251,'Base de datos'!C:C,'Base de datos'!A:A,"",FALSE)</f>
        <v>93</v>
      </c>
      <c r="C251" s="270" t="s">
        <v>114</v>
      </c>
      <c r="D251" s="275" t="s">
        <v>20</v>
      </c>
      <c r="E251" s="256">
        <f t="array" ref="E251">+XLOOKUP(B251,'Base de datos'!A:A,'Base de datos'!H:H,0)</f>
        <v>0.0277</v>
      </c>
      <c r="F251" s="271">
        <v>2.0</v>
      </c>
      <c r="G251" s="271"/>
      <c r="H251" s="258">
        <f t="shared" si="22"/>
        <v>1</v>
      </c>
      <c r="I251" s="256">
        <f t="shared" si="23"/>
        <v>0.0554</v>
      </c>
      <c r="J251" s="241"/>
    </row>
    <row r="252" ht="15.75" customHeight="1"/>
    <row r="253" ht="15.75" customHeight="1"/>
    <row r="254" ht="15.75" customHeight="1"/>
    <row r="255" ht="15.75" customHeight="1">
      <c r="C255" s="190" t="s">
        <v>755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>
      <c r="B261" s="230"/>
      <c r="C261" s="230"/>
      <c r="D261" s="230"/>
      <c r="E261" s="231"/>
      <c r="F261" s="232"/>
      <c r="G261" s="232"/>
      <c r="H261" s="230"/>
      <c r="I261" s="230"/>
      <c r="J261" s="230"/>
      <c r="K261" s="230"/>
      <c r="L261" s="230"/>
      <c r="M261" s="233"/>
    </row>
    <row r="262" ht="15.75" customHeight="1">
      <c r="B262" s="234"/>
      <c r="C262" s="235" t="s">
        <v>313</v>
      </c>
      <c r="D262" s="236" t="s">
        <v>756</v>
      </c>
      <c r="E262" s="237"/>
      <c r="F262" s="237"/>
      <c r="G262" s="237"/>
      <c r="H262" s="237"/>
      <c r="I262" s="237"/>
      <c r="J262" s="238"/>
      <c r="K262" s="231"/>
      <c r="L262" s="230"/>
      <c r="M262" s="233"/>
    </row>
    <row r="263" ht="15.75" customHeight="1">
      <c r="B263" s="239"/>
      <c r="C263" s="230"/>
      <c r="D263" s="230"/>
      <c r="E263" s="231"/>
      <c r="F263" s="232"/>
      <c r="G263" s="232"/>
      <c r="H263" s="230"/>
      <c r="I263" s="230"/>
      <c r="J263" s="230"/>
      <c r="K263" s="230"/>
      <c r="L263" s="230"/>
      <c r="M263" s="233"/>
    </row>
    <row r="264" ht="15.75" customHeight="1">
      <c r="B264" s="240"/>
      <c r="C264" s="241"/>
      <c r="D264" s="242"/>
      <c r="E264" s="243"/>
      <c r="F264" s="244"/>
      <c r="G264" s="244"/>
      <c r="H264" s="241"/>
      <c r="I264" s="241"/>
      <c r="J264" s="241"/>
      <c r="K264" s="241"/>
      <c r="L264" s="241"/>
    </row>
    <row r="265" ht="15.75" customHeight="1">
      <c r="B265" s="246" t="s">
        <v>0</v>
      </c>
      <c r="C265" s="246" t="s">
        <v>315</v>
      </c>
      <c r="D265" s="246" t="s">
        <v>316</v>
      </c>
      <c r="E265" s="247" t="s">
        <v>317</v>
      </c>
      <c r="F265" s="248" t="s">
        <v>318</v>
      </c>
      <c r="G265" s="248" t="s">
        <v>319</v>
      </c>
      <c r="H265" s="246" t="s">
        <v>320</v>
      </c>
      <c r="I265" s="246" t="s">
        <v>321</v>
      </c>
      <c r="J265" s="249"/>
      <c r="K265" s="250" t="s">
        <v>322</v>
      </c>
      <c r="L265" s="477" t="s">
        <v>754</v>
      </c>
      <c r="M265" s="251"/>
      <c r="O265" s="250" t="s">
        <v>323</v>
      </c>
      <c r="Q265" s="251"/>
    </row>
    <row r="266" ht="15.75" customHeight="1">
      <c r="B266" s="269">
        <f t="array" ref="B266">+XLOOKUP(C266,'Base de datos'!C:C,'Base de datos'!A:A,"",FALSE)</f>
        <v>47</v>
      </c>
      <c r="C266" s="270" t="s">
        <v>79</v>
      </c>
      <c r="D266" s="275" t="s">
        <v>20</v>
      </c>
      <c r="E266" s="256">
        <f t="array" ref="E266">+XLOOKUP(B266,'Base de datos'!A:A,'Base de datos'!H:H,0)</f>
        <v>0.5605</v>
      </c>
      <c r="F266" s="271">
        <v>1.0</v>
      </c>
      <c r="G266" s="271"/>
      <c r="H266" s="258"/>
      <c r="I266" s="256">
        <f t="shared" ref="I266:I273" si="24">IFERROR(E266*F266,"")</f>
        <v>0.5605</v>
      </c>
      <c r="J266" s="241"/>
      <c r="K266" s="259" t="s">
        <v>324</v>
      </c>
      <c r="L266" s="260">
        <f>SUM(I266:I276)</f>
        <v>2.070790684</v>
      </c>
      <c r="M266" s="261"/>
      <c r="O266" s="259" t="s">
        <v>324</v>
      </c>
      <c r="P266" s="260">
        <f>L266</f>
        <v>2.070790684</v>
      </c>
      <c r="Q266" s="261"/>
    </row>
    <row r="267" ht="15.75" customHeight="1">
      <c r="B267" s="269">
        <f t="array" ref="B267">+XLOOKUP(C267,'Base de datos'!C:C,'Base de datos'!A:A,"",FALSE)</f>
        <v>165</v>
      </c>
      <c r="C267" s="270" t="s">
        <v>200</v>
      </c>
      <c r="D267" s="255" t="s">
        <v>14</v>
      </c>
      <c r="E267" s="256">
        <f t="array" ref="E267">+XLOOKUP(B267,'Base de datos'!A:A,'Base de datos'!H:H,0)</f>
        <v>12</v>
      </c>
      <c r="F267" s="271">
        <v>0.1</v>
      </c>
      <c r="G267" s="257"/>
      <c r="H267" s="258"/>
      <c r="I267" s="256">
        <f t="shared" si="24"/>
        <v>1.2</v>
      </c>
      <c r="J267" s="241"/>
      <c r="K267" s="267" t="s">
        <v>325</v>
      </c>
      <c r="L267" s="268">
        <v>7.0</v>
      </c>
      <c r="M267" s="261"/>
      <c r="O267" s="267" t="s">
        <v>325</v>
      </c>
      <c r="P267" s="268">
        <v>7.5</v>
      </c>
      <c r="Q267" s="261"/>
    </row>
    <row r="268" ht="15.75" customHeight="1">
      <c r="B268" s="269">
        <f t="array" ref="B268">+XLOOKUP(C268,'Base de datos'!C:C,'Base de datos'!A:A,"",FALSE)</f>
        <v>132</v>
      </c>
      <c r="C268" s="270" t="s">
        <v>159</v>
      </c>
      <c r="D268" s="255" t="s">
        <v>14</v>
      </c>
      <c r="E268" s="256">
        <f t="array" ref="E268">+XLOOKUP(B268,'Base de datos'!A:A,'Base de datos'!H:H,0)</f>
        <v>3.014534211</v>
      </c>
      <c r="F268" s="271">
        <v>0.02</v>
      </c>
      <c r="G268" s="271"/>
      <c r="H268" s="258"/>
      <c r="I268" s="256">
        <f t="shared" si="24"/>
        <v>0.06029068421</v>
      </c>
      <c r="J268" s="241"/>
      <c r="K268" s="272" t="s">
        <v>326</v>
      </c>
      <c r="L268" s="273">
        <f>L267/1.1</f>
        <v>6.363636364</v>
      </c>
      <c r="M268" s="274"/>
      <c r="O268" s="272" t="s">
        <v>326</v>
      </c>
      <c r="P268" s="273">
        <f>P267/1.1</f>
        <v>6.818181818</v>
      </c>
      <c r="Q268" s="274"/>
    </row>
    <row r="269" ht="15.75" customHeight="1">
      <c r="B269" s="253" t="str">
        <f t="array" ref="B269">+XLOOKUP(C269,'Base de datos'!C:C,'Base de datos'!A:A,"",FALSE)</f>
        <v/>
      </c>
      <c r="C269" s="270"/>
      <c r="D269" s="255" t="s">
        <v>14</v>
      </c>
      <c r="E269" s="256">
        <f t="array" ref="E269">+XLOOKUP(B269,'Base de datos'!A:A,'Base de datos'!H:H,0)</f>
        <v>0</v>
      </c>
      <c r="F269" s="271">
        <f>0.014*2</f>
        <v>0.028</v>
      </c>
      <c r="G269" s="271"/>
      <c r="H269" s="258"/>
      <c r="I269" s="256">
        <f t="shared" si="24"/>
        <v>0</v>
      </c>
      <c r="J269" s="241"/>
      <c r="K269" s="276" t="s">
        <v>327</v>
      </c>
      <c r="L269" s="277">
        <v>0.1</v>
      </c>
      <c r="M269" s="278"/>
      <c r="O269" s="276" t="s">
        <v>327</v>
      </c>
      <c r="P269" s="277">
        <v>0.1</v>
      </c>
      <c r="Q269" s="278"/>
    </row>
    <row r="270" ht="15.75" customHeight="1">
      <c r="B270" s="253" t="str">
        <f t="array" ref="B270">+XLOOKUP(C270,'Base de datos'!C:C,'Base de datos'!A:A,"",FALSE)</f>
        <v/>
      </c>
      <c r="C270" s="270"/>
      <c r="D270" s="255" t="s">
        <v>14</v>
      </c>
      <c r="E270" s="256">
        <f t="array" ref="E270">+XLOOKUP(B270,'Base de datos'!A:A,'Base de datos'!H:H,0)</f>
        <v>0</v>
      </c>
      <c r="F270" s="271">
        <v>0.02</v>
      </c>
      <c r="G270" s="271"/>
      <c r="H270" s="258"/>
      <c r="I270" s="256">
        <f t="shared" si="24"/>
        <v>0</v>
      </c>
      <c r="J270" s="241"/>
      <c r="K270" s="279" t="s">
        <v>328</v>
      </c>
      <c r="L270" s="280">
        <f>L266/L268*100</f>
        <v>32.54099647</v>
      </c>
      <c r="M270" s="281" t="s">
        <v>329</v>
      </c>
      <c r="O270" s="279" t="s">
        <v>328</v>
      </c>
      <c r="P270" s="280">
        <f>P266/P268*100</f>
        <v>30.3715967</v>
      </c>
      <c r="Q270" s="281" t="s">
        <v>329</v>
      </c>
    </row>
    <row r="271" ht="15.75" customHeight="1">
      <c r="B271" s="253" t="str">
        <f t="array" ref="B271">+XLOOKUP(C271,'Base de datos'!C:C,'Base de datos'!A:A,"",FALSE)</f>
        <v/>
      </c>
      <c r="C271" s="270"/>
      <c r="D271" s="255" t="s">
        <v>14</v>
      </c>
      <c r="E271" s="256">
        <f t="array" ref="E271">+XLOOKUP(B271,'Base de datos'!A:A,'Base de datos'!H:H,0)</f>
        <v>0</v>
      </c>
      <c r="F271" s="271">
        <v>0.02</v>
      </c>
      <c r="G271" s="257"/>
      <c r="H271" s="258"/>
      <c r="I271" s="256">
        <f t="shared" si="24"/>
        <v>0</v>
      </c>
      <c r="J271" s="241"/>
      <c r="K271" s="282" t="s">
        <v>330</v>
      </c>
      <c r="L271" s="283">
        <f>100-L270</f>
        <v>67.45900353</v>
      </c>
      <c r="M271" s="284" t="s">
        <v>329</v>
      </c>
      <c r="O271" s="285" t="s">
        <v>330</v>
      </c>
      <c r="P271" s="286">
        <f>P268-P266</f>
        <v>4.747391134</v>
      </c>
      <c r="Q271" s="287" t="s">
        <v>331</v>
      </c>
    </row>
    <row r="272" ht="15.75" customHeight="1">
      <c r="B272" s="253" t="str">
        <f t="array" ref="B272">+XLOOKUP(C272,'Base de datos'!C:C,'Base de datos'!A:A,"",FALSE)</f>
        <v/>
      </c>
      <c r="C272" s="270"/>
      <c r="D272" s="255" t="s">
        <v>14</v>
      </c>
      <c r="E272" s="256">
        <f t="array" ref="E272">+XLOOKUP(B272,'Base de datos'!A:A,'Base de datos'!H:H,0)</f>
        <v>0</v>
      </c>
      <c r="F272" s="271">
        <v>0.02</v>
      </c>
      <c r="G272" s="257"/>
      <c r="H272" s="258"/>
      <c r="I272" s="256">
        <f t="shared" si="24"/>
        <v>0</v>
      </c>
      <c r="J272" s="241"/>
      <c r="L272" s="288"/>
      <c r="O272" s="289" t="s">
        <v>332</v>
      </c>
      <c r="P272" s="290">
        <f>P268-P266-(P267*0.2)</f>
        <v>3.247391134</v>
      </c>
      <c r="Q272" s="291" t="s">
        <v>331</v>
      </c>
    </row>
    <row r="273" ht="15.75" customHeight="1">
      <c r="B273" s="253" t="str">
        <f t="array" ref="B273">+XLOOKUP(C273,'Base de datos'!C:C,'Base de datos'!A:A,"",FALSE)</f>
        <v/>
      </c>
      <c r="C273" s="270"/>
      <c r="D273" s="255" t="s">
        <v>14</v>
      </c>
      <c r="E273" s="256">
        <f t="array" ref="E273">+XLOOKUP(B273,'Base de datos'!A:A,'Base de datos'!H:H,0)</f>
        <v>0</v>
      </c>
      <c r="F273" s="271">
        <v>0.02</v>
      </c>
      <c r="G273" s="257"/>
      <c r="H273" s="258"/>
      <c r="I273" s="256">
        <f t="shared" si="24"/>
        <v>0</v>
      </c>
      <c r="J273" s="241"/>
      <c r="O273" s="289" t="s">
        <v>332</v>
      </c>
      <c r="P273" s="292">
        <f>P272/P268</f>
        <v>0.476284033</v>
      </c>
      <c r="Q273" s="291" t="s">
        <v>329</v>
      </c>
    </row>
    <row r="274" ht="15.75" customHeight="1">
      <c r="B274" s="253"/>
      <c r="C274" s="270"/>
      <c r="D274" s="275"/>
      <c r="E274" s="256"/>
      <c r="F274" s="271"/>
      <c r="G274" s="271"/>
      <c r="H274" s="258"/>
      <c r="I274" s="256"/>
      <c r="J274" s="241"/>
    </row>
    <row r="275" ht="15.75" customHeight="1">
      <c r="B275" s="269">
        <f t="array" ref="B275">+XLOOKUP(C275,'Base de datos'!C:C,'Base de datos'!A:A,"",FALSE)</f>
        <v>29</v>
      </c>
      <c r="C275" s="270" t="s">
        <v>54</v>
      </c>
      <c r="D275" s="275" t="s">
        <v>20</v>
      </c>
      <c r="E275" s="256">
        <f t="array" ref="E275">+XLOOKUP(B275,'Base de datos'!A:A,'Base de datos'!H:H,0)</f>
        <v>0.1946</v>
      </c>
      <c r="F275" s="271">
        <v>1.0</v>
      </c>
      <c r="G275" s="271"/>
      <c r="H275" s="258">
        <f t="shared" ref="H275:H276" si="25">IFERROR(1-G275/F275,"")</f>
        <v>1</v>
      </c>
      <c r="I275" s="256">
        <f t="shared" ref="I275:I276" si="26">IFERROR(E275*F275,"")</f>
        <v>0.1946</v>
      </c>
      <c r="J275" s="241"/>
    </row>
    <row r="276" ht="15.75" customHeight="1">
      <c r="B276" s="269">
        <f t="array" ref="B276">+XLOOKUP(C276,'Base de datos'!C:C,'Base de datos'!A:A,"",FALSE)</f>
        <v>93</v>
      </c>
      <c r="C276" s="270" t="s">
        <v>114</v>
      </c>
      <c r="D276" s="275" t="s">
        <v>20</v>
      </c>
      <c r="E276" s="256">
        <f t="array" ref="E276">+XLOOKUP(B276,'Base de datos'!A:A,'Base de datos'!H:H,0)</f>
        <v>0.0277</v>
      </c>
      <c r="F276" s="271">
        <v>2.0</v>
      </c>
      <c r="G276" s="271"/>
      <c r="H276" s="258">
        <f t="shared" si="25"/>
        <v>1</v>
      </c>
      <c r="I276" s="256">
        <f t="shared" si="26"/>
        <v>0.0554</v>
      </c>
      <c r="J276" s="24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4">
    <mergeCell ref="D2:I2"/>
    <mergeCell ref="L6:M6"/>
    <mergeCell ref="L7:M7"/>
    <mergeCell ref="L8:M8"/>
    <mergeCell ref="L9:M9"/>
    <mergeCell ref="L14:M14"/>
    <mergeCell ref="L15:M15"/>
    <mergeCell ref="L16:M16"/>
    <mergeCell ref="L17:M17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D31:I31"/>
    <mergeCell ref="L35:M35"/>
    <mergeCell ref="L36:M36"/>
    <mergeCell ref="L37:M37"/>
    <mergeCell ref="L38:M38"/>
    <mergeCell ref="C49:I49"/>
    <mergeCell ref="C50:I50"/>
    <mergeCell ref="C51:I51"/>
    <mergeCell ref="C52:I52"/>
    <mergeCell ref="C53:I53"/>
    <mergeCell ref="C54:I54"/>
    <mergeCell ref="C55:I55"/>
    <mergeCell ref="C56:I56"/>
    <mergeCell ref="C57:I57"/>
    <mergeCell ref="D60:I60"/>
    <mergeCell ref="L64:M64"/>
    <mergeCell ref="L65:M65"/>
    <mergeCell ref="L66:M66"/>
    <mergeCell ref="L67:M67"/>
    <mergeCell ref="L72:M72"/>
    <mergeCell ref="L73:M73"/>
    <mergeCell ref="L74:M74"/>
    <mergeCell ref="L75:M75"/>
    <mergeCell ref="C78:I78"/>
    <mergeCell ref="C79:I79"/>
    <mergeCell ref="C80:I80"/>
    <mergeCell ref="C81:I81"/>
    <mergeCell ref="C82:I82"/>
    <mergeCell ref="C83:I83"/>
    <mergeCell ref="C84:I84"/>
    <mergeCell ref="C85:I85"/>
    <mergeCell ref="L149:M149"/>
    <mergeCell ref="L150:M150"/>
    <mergeCell ref="L151:M151"/>
    <mergeCell ref="L152:M152"/>
    <mergeCell ref="L157:M157"/>
    <mergeCell ref="L158:M158"/>
    <mergeCell ref="L159:M159"/>
    <mergeCell ref="L160:M160"/>
    <mergeCell ref="L177:M177"/>
    <mergeCell ref="L178:M178"/>
    <mergeCell ref="L179:M179"/>
    <mergeCell ref="L180:M180"/>
    <mergeCell ref="L205:M205"/>
    <mergeCell ref="L206:M206"/>
    <mergeCell ref="L242:M242"/>
    <mergeCell ref="L243:M243"/>
    <mergeCell ref="L244:M244"/>
    <mergeCell ref="L266:M266"/>
    <mergeCell ref="L267:M267"/>
    <mergeCell ref="L268:M268"/>
    <mergeCell ref="L269:M269"/>
    <mergeCell ref="L207:M207"/>
    <mergeCell ref="L208:M208"/>
    <mergeCell ref="L223:M223"/>
    <mergeCell ref="L224:M224"/>
    <mergeCell ref="L225:M225"/>
    <mergeCell ref="L226:M226"/>
    <mergeCell ref="L241:M241"/>
    <mergeCell ref="C198:I198"/>
    <mergeCell ref="D201:I201"/>
    <mergeCell ref="P205:Q205"/>
    <mergeCell ref="P206:Q206"/>
    <mergeCell ref="P207:Q207"/>
    <mergeCell ref="P208:Q208"/>
    <mergeCell ref="P223:Q223"/>
    <mergeCell ref="D219:I219"/>
    <mergeCell ref="D237:I237"/>
    <mergeCell ref="D262:I262"/>
    <mergeCell ref="C191:I191"/>
    <mergeCell ref="C192:I192"/>
    <mergeCell ref="C193:I193"/>
    <mergeCell ref="C194:I194"/>
    <mergeCell ref="C195:I195"/>
    <mergeCell ref="C196:I196"/>
    <mergeCell ref="C197:I197"/>
    <mergeCell ref="P266:Q266"/>
    <mergeCell ref="P267:Q267"/>
    <mergeCell ref="P268:Q268"/>
    <mergeCell ref="P269:Q269"/>
    <mergeCell ref="P224:Q224"/>
    <mergeCell ref="P225:Q225"/>
    <mergeCell ref="P226:Q226"/>
    <mergeCell ref="P241:Q241"/>
    <mergeCell ref="P242:Q242"/>
    <mergeCell ref="P243:Q243"/>
    <mergeCell ref="P244:Q244"/>
    <mergeCell ref="C86:I86"/>
    <mergeCell ref="D89:I89"/>
    <mergeCell ref="L93:M93"/>
    <mergeCell ref="L94:M94"/>
    <mergeCell ref="L95:M95"/>
    <mergeCell ref="L96:M96"/>
    <mergeCell ref="L101:M101"/>
    <mergeCell ref="L102:M102"/>
    <mergeCell ref="L103:M103"/>
    <mergeCell ref="L104:M104"/>
    <mergeCell ref="C106:I106"/>
    <mergeCell ref="C107:I107"/>
    <mergeCell ref="C108:I108"/>
    <mergeCell ref="C109:I109"/>
    <mergeCell ref="C110:I110"/>
    <mergeCell ref="C111:I111"/>
    <mergeCell ref="C112:I112"/>
    <mergeCell ref="C113:I113"/>
    <mergeCell ref="C114:I114"/>
    <mergeCell ref="D117:I117"/>
    <mergeCell ref="L121:M121"/>
    <mergeCell ref="C134:I134"/>
    <mergeCell ref="C135:I135"/>
    <mergeCell ref="C136:I136"/>
    <mergeCell ref="C137:I137"/>
    <mergeCell ref="C138:I138"/>
    <mergeCell ref="C139:I139"/>
    <mergeCell ref="C140:I140"/>
    <mergeCell ref="L122:M122"/>
    <mergeCell ref="L123:M123"/>
    <mergeCell ref="L124:M124"/>
    <mergeCell ref="L129:M129"/>
    <mergeCell ref="L130:M130"/>
    <mergeCell ref="L131:M131"/>
    <mergeCell ref="L132:M132"/>
    <mergeCell ref="C141:I141"/>
    <mergeCell ref="C142:I142"/>
    <mergeCell ref="D145:I145"/>
    <mergeCell ref="C162:I162"/>
    <mergeCell ref="C163:I163"/>
    <mergeCell ref="C164:I164"/>
    <mergeCell ref="C165:I165"/>
    <mergeCell ref="C166:I166"/>
    <mergeCell ref="C167:I167"/>
    <mergeCell ref="C168:I168"/>
    <mergeCell ref="C169:I169"/>
    <mergeCell ref="C170:I170"/>
    <mergeCell ref="D173:I173"/>
    <mergeCell ref="C190:I190"/>
  </mergeCells>
  <dataValidations>
    <dataValidation type="list" allowBlank="1" showErrorMessage="1" sqref="C121 C123:C132 C149 C151:C160">
      <formula1>'Base de datos'!$C$2:$C$965</formula1>
    </dataValidation>
    <dataValidation type="list" allowBlank="1" showErrorMessage="1" sqref="C64 C66:C76">
      <formula1>'Base de datos'!$C$2:$C$964</formula1>
    </dataValidation>
    <dataValidation type="list" allowBlank="1" showErrorMessage="1" sqref="C6 C8:C18 C35 C37:C47 C93 C95:C104 C177 C179:C188 C205:C215 C223:C233 C241:C251 C266:C276">
      <formula1>'Base de datos'!$C$2:$C$1333</formula1>
    </dataValidation>
    <dataValidation type="list" allowBlank="1" showErrorMessage="1" sqref="D6:D18 D35:D47 D64:D76 D93:D104 D121:D132 D149:D160 D177:D188 D205:D215 D223:D233 D241:D251 D266:D276">
      <formula1>'Hoja 2'!$A$2:$A$4</formula1>
    </dataValidation>
  </dataValidations>
  <hyperlinks>
    <hyperlink display="INDICE" location="'INDICE 25'!A1" ref="K5"/>
    <hyperlink display="INDICE UBER " location="'INDICE UBER'!A1" ref="K13"/>
    <hyperlink display="INDICE" location="'INDICE 25'!A1" ref="K34"/>
    <hyperlink display="INDICE" location="'INDICE 25'!A1" ref="K63"/>
    <hyperlink display="INDICE UBER " location="'INDICE UBER'!A1" ref="K71"/>
    <hyperlink display="INDICE" location="'INDICE 25'!A1" ref="K92"/>
    <hyperlink display="INDICE 26 " location="'INDICE 2026'!A1" ref="L92"/>
    <hyperlink display="INDICE UBER " location="'INDICE UBER'!A1" ref="K100"/>
    <hyperlink display="IR A BASE DE DATOS" location="'Base de datos'!A1" ref="K117"/>
    <hyperlink display="INDICE" location="'INDICE 25'!A1" ref="K120"/>
    <hyperlink display="INDICE 26" location="'INDICE 2026'!A1" ref="L120"/>
    <hyperlink display="INDICE UBER " location="'INDICE UBER'!A1" ref="K128"/>
    <hyperlink display="IR A BASE DE DATOS" location="'Base de datos'!A1" ref="K145"/>
    <hyperlink display="INDICE" location="'INDICE 25'!A1" ref="K148"/>
    <hyperlink display="INDICE 26" location="'INDICE 2026'!A1" ref="L148"/>
    <hyperlink display="INDICE UBER " location="'INDICE UBER'!A1" ref="K156"/>
    <hyperlink display="INDICE" location="'INDICE 25'!A1" ref="K176"/>
    <hyperlink display="INDICE" location="'INDICE 25'!A1" ref="K204"/>
    <hyperlink display="INDICE UBER " location="'INDICE UBER'!A1" ref="O204"/>
    <hyperlink display="INDICE" location="'INDICE 25'!A1" ref="K222"/>
    <hyperlink display="INDICE UBER " location="'INDICE UBER'!A1" ref="O222"/>
    <hyperlink display="INDICE" location="'INDICE 25'!A1" ref="K240"/>
    <hyperlink display="INDICE UBER " location="'INDICE UBER'!A1" ref="O240"/>
    <hyperlink display="INDICE" location="'INDICE 25'!A1" ref="K265"/>
    <hyperlink display="INDICE UBER " location="'INDICE UBER'!A1" ref="O26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757</v>
      </c>
      <c r="E2" s="237"/>
      <c r="F2" s="237"/>
      <c r="G2" s="237"/>
      <c r="H2" s="237"/>
      <c r="I2" s="237"/>
      <c r="J2" s="238"/>
      <c r="K2" s="310" t="s">
        <v>340</v>
      </c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8" si="1">IFERROR(1-G6/F6,"")</f>
        <v/>
      </c>
      <c r="I6" s="256">
        <f t="shared" ref="I6:I11" si="2">IFERROR(E6*F6,"")</f>
        <v>0</v>
      </c>
      <c r="J6" s="241"/>
      <c r="K6" s="259" t="s">
        <v>324</v>
      </c>
      <c r="L6" s="260">
        <f>SUM(I6:I11)</f>
        <v>4.3</v>
      </c>
      <c r="M6" s="261"/>
    </row>
    <row r="7" ht="15.75" customHeight="1">
      <c r="A7" s="252"/>
      <c r="B7" s="262" t="str">
        <f>K23</f>
        <v/>
      </c>
      <c r="C7" s="262" t="str">
        <f>C23</f>
        <v/>
      </c>
      <c r="D7" s="263" t="s">
        <v>14</v>
      </c>
      <c r="E7" s="264" t="str">
        <f>K29</f>
        <v>PVP</v>
      </c>
      <c r="F7" s="265"/>
      <c r="G7" s="265"/>
      <c r="H7" s="266" t="str">
        <f t="shared" si="1"/>
        <v/>
      </c>
      <c r="I7" s="264" t="str">
        <f t="shared" si="2"/>
        <v/>
      </c>
      <c r="J7" s="241"/>
      <c r="K7" s="267" t="s">
        <v>325</v>
      </c>
      <c r="L7" s="268">
        <v>6.0</v>
      </c>
      <c r="M7" s="261"/>
    </row>
    <row r="8" ht="15.75" customHeight="1">
      <c r="A8" s="252"/>
      <c r="B8" s="269">
        <f t="array" ref="B8">+XLOOKUP(C8,'Base de datos'!C:C,'Base de datos'!A:A,"",FALSE)</f>
        <v>95</v>
      </c>
      <c r="C8" s="270" t="s">
        <v>117</v>
      </c>
      <c r="D8" s="255" t="s">
        <v>14</v>
      </c>
      <c r="E8" s="256">
        <f t="array" ref="E8">+XLOOKUP(B8,'Base de datos'!A:A,'Base de datos'!H:H,0)</f>
        <v>4.3</v>
      </c>
      <c r="F8" s="271">
        <v>1.0</v>
      </c>
      <c r="G8" s="271">
        <v>1.0</v>
      </c>
      <c r="H8" s="258">
        <f t="shared" si="1"/>
        <v>0</v>
      </c>
      <c r="I8" s="256">
        <f t="shared" si="2"/>
        <v>4.3</v>
      </c>
      <c r="J8" s="241"/>
      <c r="K8" s="272" t="s">
        <v>326</v>
      </c>
      <c r="L8" s="273">
        <f>L7/1.1</f>
        <v>5.454545455</v>
      </c>
      <c r="M8" s="274"/>
    </row>
    <row r="9" ht="15.75" customHeight="1">
      <c r="A9" s="252"/>
      <c r="B9" s="253" t="str">
        <f t="array" ref="B9">+XLOOKUP(C9,'Base de datos'!C:C,'Base de datos'!A:A,"",FALSE)</f>
        <v/>
      </c>
      <c r="C9" s="270"/>
      <c r="D9" s="275" t="s">
        <v>20</v>
      </c>
      <c r="E9" s="256">
        <f t="array" ref="E9">+XLOOKUP(B9,'Base de datos'!A:A,'Base de datos'!H:H,0)</f>
        <v>0</v>
      </c>
      <c r="F9" s="271"/>
      <c r="G9" s="271"/>
      <c r="H9" s="258"/>
      <c r="I9" s="256">
        <f t="shared" si="2"/>
        <v>0</v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253" t="str">
        <f t="array" ref="B10">+XLOOKUP(C10,'Base de datos'!C:C,'Base de datos'!A:A,"",FALSE)</f>
        <v/>
      </c>
      <c r="C10" s="270"/>
      <c r="D10" s="275" t="s">
        <v>14</v>
      </c>
      <c r="E10" s="256">
        <f t="array" ref="E10">+XLOOKUP(B10,'Base de datos'!A:A,'Base de datos'!H:H,0)</f>
        <v>0</v>
      </c>
      <c r="F10" s="271"/>
      <c r="G10" s="271"/>
      <c r="H10" s="258"/>
      <c r="I10" s="256">
        <f t="shared" si="2"/>
        <v>0</v>
      </c>
      <c r="J10" s="241"/>
      <c r="K10" s="279" t="s">
        <v>328</v>
      </c>
      <c r="L10" s="280">
        <f>L6/L8*100</f>
        <v>78.83333333</v>
      </c>
      <c r="M10" s="281" t="s">
        <v>329</v>
      </c>
    </row>
    <row r="11" ht="15.75" customHeight="1">
      <c r="A11" s="252"/>
      <c r="B11" s="253" t="str">
        <f t="array" ref="B11">+XLOOKUP(C11,'Base de datos'!C:C,'Base de datos'!A:A,"",FALSE)</f>
        <v/>
      </c>
      <c r="C11" s="270"/>
      <c r="D11" s="275" t="s">
        <v>20</v>
      </c>
      <c r="E11" s="256">
        <f t="array" ref="E11">+XLOOKUP(B11,'Base de datos'!A:A,'Base de datos'!H:H,0)</f>
        <v>0</v>
      </c>
      <c r="F11" s="271"/>
      <c r="G11" s="271"/>
      <c r="H11" s="258"/>
      <c r="I11" s="256">
        <f t="shared" si="2"/>
        <v>0</v>
      </c>
      <c r="J11" s="241"/>
      <c r="K11" s="282" t="s">
        <v>330</v>
      </c>
      <c r="L11" s="283">
        <f>100-L10</f>
        <v>21.16666667</v>
      </c>
      <c r="M11" s="284" t="s">
        <v>329</v>
      </c>
    </row>
    <row r="12" ht="15.75" customHeight="1">
      <c r="A12" s="240"/>
      <c r="B12" s="240"/>
      <c r="C12" s="241"/>
      <c r="D12" s="242"/>
      <c r="E12" s="243"/>
      <c r="F12" s="244"/>
      <c r="G12" s="244"/>
      <c r="H12" s="241"/>
      <c r="I12" s="241"/>
      <c r="J12" s="241"/>
      <c r="K12" s="241"/>
      <c r="L12" s="241"/>
    </row>
    <row r="13" ht="15.75" customHeight="1">
      <c r="A13" s="295"/>
      <c r="B13" s="295"/>
      <c r="C13" s="296" t="s">
        <v>337</v>
      </c>
      <c r="D13" s="297"/>
      <c r="E13" s="297"/>
      <c r="F13" s="297"/>
      <c r="G13" s="297"/>
      <c r="H13" s="297"/>
      <c r="I13" s="298"/>
      <c r="J13" s="241"/>
      <c r="K13" s="250" t="s">
        <v>323</v>
      </c>
      <c r="L13" s="251"/>
      <c r="M13" s="251"/>
    </row>
    <row r="14" ht="15.75" customHeight="1">
      <c r="A14" s="299"/>
      <c r="B14" s="299"/>
      <c r="C14" s="300"/>
      <c r="D14" s="297"/>
      <c r="E14" s="297"/>
      <c r="F14" s="297"/>
      <c r="G14" s="297"/>
      <c r="H14" s="297"/>
      <c r="I14" s="298"/>
      <c r="J14" s="241"/>
      <c r="K14" s="259" t="s">
        <v>324</v>
      </c>
      <c r="L14" s="260">
        <f>L6</f>
        <v>4.3</v>
      </c>
      <c r="M14" s="261"/>
    </row>
    <row r="15" ht="15.75" customHeight="1">
      <c r="A15" s="301"/>
      <c r="B15" s="301"/>
      <c r="C15" s="302"/>
      <c r="I15" s="278"/>
      <c r="J15" s="241"/>
      <c r="K15" s="267" t="s">
        <v>325</v>
      </c>
      <c r="L15" s="268">
        <v>8.0</v>
      </c>
      <c r="M15" s="261"/>
    </row>
    <row r="16" ht="15.75" customHeight="1">
      <c r="A16" s="301"/>
      <c r="B16" s="301"/>
      <c r="C16" s="302"/>
      <c r="I16" s="278"/>
      <c r="J16" s="241"/>
      <c r="K16" s="272" t="s">
        <v>326</v>
      </c>
      <c r="L16" s="273">
        <f>L15/1.1</f>
        <v>7.272727273</v>
      </c>
      <c r="M16" s="274"/>
    </row>
    <row r="17" ht="15.75" customHeight="1">
      <c r="A17" s="301"/>
      <c r="B17" s="301"/>
      <c r="C17" s="302"/>
      <c r="I17" s="278"/>
      <c r="J17" s="241"/>
      <c r="K17" s="276" t="s">
        <v>327</v>
      </c>
      <c r="L17" s="277">
        <v>0.1</v>
      </c>
      <c r="M17" s="278"/>
    </row>
    <row r="18" ht="15.75" customHeight="1">
      <c r="A18" s="301"/>
      <c r="B18" s="301"/>
      <c r="C18" s="302"/>
      <c r="I18" s="278"/>
      <c r="J18" s="241"/>
      <c r="K18" s="279" t="s">
        <v>328</v>
      </c>
      <c r="L18" s="280">
        <f>L14/L16*100</f>
        <v>59.125</v>
      </c>
      <c r="M18" s="281" t="s">
        <v>329</v>
      </c>
    </row>
    <row r="19" ht="15.75" customHeight="1">
      <c r="A19" s="301"/>
      <c r="B19" s="301"/>
      <c r="C19" s="302"/>
      <c r="I19" s="278"/>
      <c r="J19" s="241"/>
      <c r="K19" s="285" t="s">
        <v>330</v>
      </c>
      <c r="L19" s="286">
        <f>L16-L14</f>
        <v>2.972727273</v>
      </c>
      <c r="M19" s="287" t="s">
        <v>331</v>
      </c>
    </row>
    <row r="20" ht="15.75" customHeight="1">
      <c r="A20" s="301"/>
      <c r="B20" s="301"/>
      <c r="C20" s="302"/>
      <c r="I20" s="278"/>
      <c r="J20" s="241"/>
      <c r="K20" s="289" t="s">
        <v>332</v>
      </c>
      <c r="L20" s="290">
        <f>L16-L14-(L15*0.2)</f>
        <v>1.372727273</v>
      </c>
      <c r="M20" s="291" t="s">
        <v>331</v>
      </c>
    </row>
    <row r="21" ht="15.75" customHeight="1">
      <c r="A21" s="301"/>
      <c r="B21" s="301"/>
      <c r="C21" s="304"/>
      <c r="D21" s="305"/>
      <c r="E21" s="305"/>
      <c r="F21" s="305"/>
      <c r="G21" s="305"/>
      <c r="H21" s="305"/>
      <c r="I21" s="274"/>
      <c r="J21" s="241"/>
      <c r="K21" s="289" t="s">
        <v>332</v>
      </c>
      <c r="L21" s="292">
        <f>L20/L16</f>
        <v>0.18875</v>
      </c>
      <c r="M21" s="291" t="s">
        <v>329</v>
      </c>
    </row>
    <row r="22" ht="15.75" customHeight="1">
      <c r="A22" s="240"/>
      <c r="B22" s="240"/>
      <c r="C22" s="241"/>
      <c r="D22" s="242"/>
      <c r="E22" s="243"/>
      <c r="F22" s="244"/>
      <c r="G22" s="244"/>
      <c r="H22" s="241"/>
      <c r="I22" s="241"/>
      <c r="J22" s="241"/>
      <c r="K22" s="241"/>
      <c r="L22" s="241"/>
    </row>
    <row r="23" ht="15.75" customHeight="1">
      <c r="A23" s="229"/>
      <c r="B23" s="230"/>
      <c r="C23" s="230"/>
      <c r="D23" s="230"/>
      <c r="E23" s="231"/>
      <c r="F23" s="232"/>
      <c r="G23" s="232"/>
      <c r="H23" s="230"/>
      <c r="I23" s="230"/>
      <c r="J23" s="230"/>
      <c r="K23" s="230"/>
      <c r="L23" s="230"/>
      <c r="M23" s="23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</row>
    <row r="24" ht="15.75" customHeight="1">
      <c r="A24" s="234"/>
      <c r="B24" s="234"/>
      <c r="C24" s="235" t="s">
        <v>313</v>
      </c>
      <c r="D24" s="236" t="s">
        <v>758</v>
      </c>
      <c r="E24" s="237"/>
      <c r="F24" s="237"/>
      <c r="G24" s="237"/>
      <c r="H24" s="237"/>
      <c r="I24" s="237"/>
      <c r="J24" s="238"/>
      <c r="K24" s="310" t="s">
        <v>340</v>
      </c>
      <c r="L24" s="230"/>
      <c r="M24" s="233"/>
    </row>
    <row r="25" ht="15.75" customHeight="1">
      <c r="A25" s="239"/>
      <c r="B25" s="239"/>
      <c r="C25" s="230"/>
      <c r="D25" s="230"/>
      <c r="E25" s="231"/>
      <c r="F25" s="232"/>
      <c r="G25" s="232"/>
      <c r="H25" s="230"/>
      <c r="I25" s="230"/>
      <c r="J25" s="230"/>
      <c r="K25" s="230"/>
      <c r="L25" s="230"/>
      <c r="M25" s="233"/>
    </row>
    <row r="26" ht="15.75" customHeight="1">
      <c r="A26" s="240"/>
      <c r="B26" s="240"/>
      <c r="C26" s="241"/>
      <c r="D26" s="242"/>
      <c r="E26" s="243"/>
      <c r="F26" s="244"/>
      <c r="G26" s="244"/>
      <c r="H26" s="241"/>
      <c r="I26" s="241"/>
      <c r="J26" s="241"/>
      <c r="K26" s="241"/>
      <c r="L26" s="241"/>
    </row>
    <row r="27" ht="15.75" customHeight="1">
      <c r="A27" s="245"/>
      <c r="B27" s="246" t="s">
        <v>0</v>
      </c>
      <c r="C27" s="246" t="s">
        <v>315</v>
      </c>
      <c r="D27" s="246" t="s">
        <v>316</v>
      </c>
      <c r="E27" s="247" t="s">
        <v>317</v>
      </c>
      <c r="F27" s="248" t="s">
        <v>318</v>
      </c>
      <c r="G27" s="248" t="s">
        <v>319</v>
      </c>
      <c r="H27" s="246" t="s">
        <v>320</v>
      </c>
      <c r="I27" s="246" t="s">
        <v>321</v>
      </c>
      <c r="J27" s="249"/>
      <c r="K27" s="250" t="s">
        <v>322</v>
      </c>
      <c r="L27" s="251"/>
      <c r="M27" s="251"/>
    </row>
    <row r="28" ht="15.75" customHeight="1">
      <c r="A28" s="252"/>
      <c r="B28" s="253" t="str">
        <f t="array" ref="B28">+XLOOKUP(C28,'Base de datos'!C:C,'Base de datos'!A:A,"",FALSE)</f>
        <v/>
      </c>
      <c r="C28" s="254"/>
      <c r="D28" s="255" t="s">
        <v>14</v>
      </c>
      <c r="E28" s="256">
        <f t="array" ref="E28">+XLOOKUP(B28,'Base de datos'!A:A,'Base de datos'!H:H,0)</f>
        <v>0</v>
      </c>
      <c r="F28" s="257"/>
      <c r="G28" s="257"/>
      <c r="H28" s="258" t="str">
        <f t="shared" ref="H28:H30" si="3">IFERROR(1-G28/F28,"")</f>
        <v/>
      </c>
      <c r="I28" s="256">
        <f t="shared" ref="I28:I33" si="4">IFERROR(E28*F28,"")</f>
        <v>0</v>
      </c>
      <c r="J28" s="241"/>
      <c r="K28" s="259" t="s">
        <v>324</v>
      </c>
      <c r="L28" s="260">
        <f>SUM(I28:I33)</f>
        <v>4.3</v>
      </c>
      <c r="M28" s="261"/>
    </row>
    <row r="29" ht="15.75" customHeight="1">
      <c r="A29" s="252"/>
      <c r="B29" s="262" t="str">
        <f>K47</f>
        <v/>
      </c>
      <c r="C29" s="262" t="str">
        <f>C47</f>
        <v/>
      </c>
      <c r="D29" s="263" t="s">
        <v>14</v>
      </c>
      <c r="E29" s="264" t="str">
        <f>K53</f>
        <v>IVA</v>
      </c>
      <c r="F29" s="265"/>
      <c r="G29" s="265"/>
      <c r="H29" s="266" t="str">
        <f t="shared" si="3"/>
        <v/>
      </c>
      <c r="I29" s="264" t="str">
        <f t="shared" si="4"/>
        <v/>
      </c>
      <c r="J29" s="241"/>
      <c r="K29" s="267" t="s">
        <v>325</v>
      </c>
      <c r="L29" s="268">
        <v>6.5</v>
      </c>
      <c r="M29" s="261"/>
    </row>
    <row r="30" ht="15.75" customHeight="1">
      <c r="A30" s="252"/>
      <c r="B30" s="269">
        <f t="array" ref="B30">+XLOOKUP(C30,'Base de datos'!C:C,'Base de datos'!A:A,"",FALSE)</f>
        <v>97</v>
      </c>
      <c r="C30" s="270" t="s">
        <v>119</v>
      </c>
      <c r="D30" s="255" t="s">
        <v>14</v>
      </c>
      <c r="E30" s="256">
        <f t="array" ref="E30">+XLOOKUP(B30,'Base de datos'!A:A,'Base de datos'!H:H,0)</f>
        <v>4.3</v>
      </c>
      <c r="F30" s="271">
        <v>1.0</v>
      </c>
      <c r="G30" s="271">
        <v>1.0</v>
      </c>
      <c r="H30" s="258">
        <f t="shared" si="3"/>
        <v>0</v>
      </c>
      <c r="I30" s="256">
        <f t="shared" si="4"/>
        <v>4.3</v>
      </c>
      <c r="J30" s="241"/>
      <c r="K30" s="272" t="s">
        <v>326</v>
      </c>
      <c r="L30" s="273">
        <f>L29/1.1</f>
        <v>5.909090909</v>
      </c>
      <c r="M30" s="274"/>
    </row>
    <row r="31" ht="15.75" customHeight="1">
      <c r="A31" s="252"/>
      <c r="B31" s="253" t="str">
        <f t="array" ref="B31">+XLOOKUP(C31,'Base de datos'!C:C,'Base de datos'!A:A,"",FALSE)</f>
        <v/>
      </c>
      <c r="C31" s="270"/>
      <c r="D31" s="275" t="s">
        <v>20</v>
      </c>
      <c r="E31" s="256">
        <f t="array" ref="E31">+XLOOKUP(B31,'Base de datos'!A:A,'Base de datos'!H:H,0)</f>
        <v>0</v>
      </c>
      <c r="F31" s="271"/>
      <c r="G31" s="271"/>
      <c r="H31" s="258"/>
      <c r="I31" s="256">
        <f t="shared" si="4"/>
        <v>0</v>
      </c>
      <c r="J31" s="241"/>
      <c r="K31" s="276" t="s">
        <v>327</v>
      </c>
      <c r="L31" s="277">
        <v>0.1</v>
      </c>
      <c r="M31" s="278"/>
    </row>
    <row r="32" ht="15.75" customHeight="1">
      <c r="A32" s="252"/>
      <c r="B32" s="253" t="str">
        <f t="array" ref="B32">+XLOOKUP(C32,'Base de datos'!C:C,'Base de datos'!A:A,"",FALSE)</f>
        <v/>
      </c>
      <c r="C32" s="270"/>
      <c r="D32" s="275" t="s">
        <v>14</v>
      </c>
      <c r="E32" s="256">
        <f t="array" ref="E32">+XLOOKUP(B32,'Base de datos'!A:A,'Base de datos'!H:H,0)</f>
        <v>0</v>
      </c>
      <c r="F32" s="271"/>
      <c r="G32" s="271"/>
      <c r="H32" s="258"/>
      <c r="I32" s="256">
        <f t="shared" si="4"/>
        <v>0</v>
      </c>
      <c r="J32" s="241"/>
      <c r="K32" s="279" t="s">
        <v>328</v>
      </c>
      <c r="L32" s="280">
        <f>L28/L30*100</f>
        <v>72.76923077</v>
      </c>
      <c r="M32" s="281" t="s">
        <v>329</v>
      </c>
    </row>
    <row r="33" ht="15.75" customHeight="1">
      <c r="A33" s="252"/>
      <c r="B33" s="253" t="str">
        <f t="array" ref="B33">+XLOOKUP(C33,'Base de datos'!C:C,'Base de datos'!A:A,"",FALSE)</f>
        <v/>
      </c>
      <c r="C33" s="270"/>
      <c r="D33" s="275" t="s">
        <v>20</v>
      </c>
      <c r="E33" s="256">
        <f t="array" ref="E33">+XLOOKUP(B33,'Base de datos'!A:A,'Base de datos'!H:H,0)</f>
        <v>0</v>
      </c>
      <c r="F33" s="271"/>
      <c r="G33" s="271"/>
      <c r="H33" s="258"/>
      <c r="I33" s="256">
        <f t="shared" si="4"/>
        <v>0</v>
      </c>
      <c r="J33" s="241"/>
      <c r="K33" s="282" t="s">
        <v>330</v>
      </c>
      <c r="L33" s="283">
        <f>100-L32</f>
        <v>27.23076923</v>
      </c>
      <c r="M33" s="284" t="s">
        <v>329</v>
      </c>
    </row>
    <row r="34" ht="15.75" customHeight="1">
      <c r="A34" s="240"/>
      <c r="B34" s="240"/>
      <c r="C34" s="241"/>
      <c r="D34" s="242"/>
      <c r="E34" s="243"/>
      <c r="F34" s="244"/>
      <c r="G34" s="244"/>
      <c r="H34" s="241"/>
      <c r="I34" s="241"/>
      <c r="J34" s="241"/>
      <c r="K34" s="241"/>
      <c r="L34" s="241"/>
    </row>
    <row r="35" ht="15.75" customHeight="1">
      <c r="A35" s="295"/>
      <c r="B35" s="295"/>
      <c r="C35" s="296" t="s">
        <v>338</v>
      </c>
      <c r="D35" s="297"/>
      <c r="E35" s="297"/>
      <c r="F35" s="297"/>
      <c r="G35" s="297"/>
      <c r="H35" s="297"/>
      <c r="I35" s="298"/>
      <c r="J35" s="241"/>
      <c r="K35" s="250" t="s">
        <v>323</v>
      </c>
      <c r="L35" s="251"/>
      <c r="M35" s="251"/>
    </row>
    <row r="36" ht="15.75" customHeight="1">
      <c r="A36" s="299"/>
      <c r="B36" s="299"/>
      <c r="C36" s="300"/>
      <c r="D36" s="297"/>
      <c r="E36" s="297"/>
      <c r="F36" s="297"/>
      <c r="G36" s="297"/>
      <c r="H36" s="297"/>
      <c r="I36" s="298"/>
      <c r="J36" s="241"/>
      <c r="K36" s="259" t="s">
        <v>324</v>
      </c>
      <c r="L36" s="260">
        <f>L28</f>
        <v>4.3</v>
      </c>
      <c r="M36" s="261"/>
    </row>
    <row r="37" ht="15.75" customHeight="1">
      <c r="A37" s="301"/>
      <c r="B37" s="301"/>
      <c r="C37" s="302"/>
      <c r="I37" s="278"/>
      <c r="J37" s="241"/>
      <c r="K37" s="267" t="s">
        <v>325</v>
      </c>
      <c r="L37" s="268">
        <v>8.0</v>
      </c>
      <c r="M37" s="261"/>
    </row>
    <row r="38" ht="15.75" customHeight="1">
      <c r="A38" s="301"/>
      <c r="B38" s="301"/>
      <c r="C38" s="306" t="s">
        <v>339</v>
      </c>
      <c r="I38" s="278"/>
      <c r="J38" s="241"/>
      <c r="K38" s="272" t="s">
        <v>326</v>
      </c>
      <c r="L38" s="273">
        <f>L37/1.1</f>
        <v>7.272727273</v>
      </c>
      <c r="M38" s="274"/>
    </row>
    <row r="39" ht="15.75" customHeight="1">
      <c r="A39" s="301"/>
      <c r="B39" s="301"/>
      <c r="C39" s="302"/>
      <c r="I39" s="278"/>
      <c r="J39" s="241"/>
      <c r="K39" s="276" t="s">
        <v>327</v>
      </c>
      <c r="L39" s="277">
        <v>0.1</v>
      </c>
      <c r="M39" s="278"/>
    </row>
    <row r="40" ht="15.75" customHeight="1">
      <c r="A40" s="301"/>
      <c r="B40" s="301"/>
      <c r="C40" s="304"/>
      <c r="D40" s="305"/>
      <c r="E40" s="305"/>
      <c r="F40" s="305"/>
      <c r="G40" s="305"/>
      <c r="H40" s="305"/>
      <c r="I40" s="274"/>
      <c r="J40" s="241"/>
      <c r="K40" s="279" t="s">
        <v>328</v>
      </c>
      <c r="L40" s="280">
        <f>L36/L38*100</f>
        <v>59.125</v>
      </c>
      <c r="M40" s="281" t="s">
        <v>329</v>
      </c>
    </row>
    <row r="41" ht="15.75" customHeight="1">
      <c r="A41" s="301"/>
      <c r="B41" s="301"/>
      <c r="C41" s="303"/>
      <c r="D41" s="303"/>
      <c r="E41" s="303"/>
      <c r="F41" s="303"/>
      <c r="G41" s="303"/>
      <c r="H41" s="303"/>
      <c r="I41" s="303"/>
      <c r="J41" s="241"/>
      <c r="K41" s="285" t="s">
        <v>330</v>
      </c>
      <c r="L41" s="286">
        <f>L38-L36</f>
        <v>2.972727273</v>
      </c>
      <c r="M41" s="287" t="s">
        <v>331</v>
      </c>
    </row>
    <row r="42" ht="15.75" customHeight="1">
      <c r="A42" s="307"/>
      <c r="B42" s="307"/>
      <c r="D42" s="308"/>
      <c r="E42" s="309"/>
      <c r="K42" s="289" t="s">
        <v>332</v>
      </c>
      <c r="L42" s="290">
        <f>L38-L36-(L37*0.2)</f>
        <v>1.372727273</v>
      </c>
      <c r="M42" s="291" t="s">
        <v>331</v>
      </c>
    </row>
    <row r="43" ht="15.75" customHeight="1">
      <c r="A43" s="307"/>
      <c r="B43" s="307"/>
      <c r="D43" s="308"/>
      <c r="E43" s="309"/>
      <c r="K43" s="289" t="s">
        <v>332</v>
      </c>
      <c r="L43" s="292">
        <f>L42/L38</f>
        <v>0.18875</v>
      </c>
      <c r="M43" s="291" t="s">
        <v>329</v>
      </c>
    </row>
    <row r="44" ht="15.75" customHeight="1">
      <c r="A44" s="307"/>
      <c r="B44" s="307"/>
      <c r="D44" s="308"/>
      <c r="E44" s="309"/>
    </row>
    <row r="45" ht="15.75" customHeight="1">
      <c r="A45" s="229"/>
      <c r="B45" s="230"/>
      <c r="C45" s="230"/>
      <c r="D45" s="230"/>
      <c r="E45" s="231"/>
      <c r="F45" s="232"/>
      <c r="G45" s="232"/>
      <c r="H45" s="230"/>
      <c r="I45" s="230"/>
      <c r="J45" s="230"/>
      <c r="K45" s="230"/>
      <c r="L45" s="230"/>
      <c r="M45" s="233"/>
    </row>
    <row r="46" ht="15.75" customHeight="1">
      <c r="A46" s="234"/>
      <c r="B46" s="234"/>
      <c r="C46" s="235" t="s">
        <v>313</v>
      </c>
      <c r="D46" s="236" t="s">
        <v>267</v>
      </c>
      <c r="E46" s="237"/>
      <c r="F46" s="237"/>
      <c r="G46" s="237"/>
      <c r="H46" s="237"/>
      <c r="I46" s="237"/>
      <c r="J46" s="238"/>
      <c r="K46" s="310" t="s">
        <v>340</v>
      </c>
      <c r="L46" s="230"/>
      <c r="M46" s="233"/>
    </row>
    <row r="47" ht="15.75" customHeight="1">
      <c r="A47" s="239"/>
      <c r="B47" s="239"/>
      <c r="C47" s="230"/>
      <c r="D47" s="230"/>
      <c r="E47" s="231"/>
      <c r="F47" s="232"/>
      <c r="G47" s="232"/>
      <c r="H47" s="230"/>
      <c r="I47" s="230"/>
      <c r="J47" s="230"/>
      <c r="K47" s="230"/>
      <c r="L47" s="230"/>
      <c r="M47" s="233"/>
    </row>
    <row r="48" ht="15.75" customHeight="1">
      <c r="A48" s="240"/>
      <c r="B48" s="240"/>
      <c r="C48" s="241"/>
      <c r="D48" s="242"/>
      <c r="E48" s="243"/>
      <c r="F48" s="244"/>
      <c r="G48" s="244"/>
      <c r="H48" s="241"/>
      <c r="I48" s="241"/>
      <c r="J48" s="241"/>
      <c r="K48" s="241"/>
      <c r="L48" s="241"/>
    </row>
    <row r="49" ht="15.75" customHeight="1">
      <c r="A49" s="245"/>
      <c r="B49" s="246" t="s">
        <v>0</v>
      </c>
      <c r="C49" s="246" t="s">
        <v>315</v>
      </c>
      <c r="D49" s="246" t="s">
        <v>316</v>
      </c>
      <c r="E49" s="247" t="s">
        <v>317</v>
      </c>
      <c r="F49" s="248" t="s">
        <v>318</v>
      </c>
      <c r="G49" s="248" t="s">
        <v>319</v>
      </c>
      <c r="H49" s="246" t="s">
        <v>320</v>
      </c>
      <c r="I49" s="246" t="s">
        <v>321</v>
      </c>
      <c r="J49" s="249"/>
      <c r="K49" s="250" t="s">
        <v>322</v>
      </c>
      <c r="L49" s="251"/>
      <c r="M49" s="251"/>
    </row>
    <row r="50" ht="15.75" customHeight="1">
      <c r="A50" s="252"/>
      <c r="B50" s="253" t="str">
        <f t="array" ref="B50">+XLOOKUP(C50,'Base de datos'!C:C,'Base de datos'!A:A,"",FALSE)</f>
        <v/>
      </c>
      <c r="C50" s="254"/>
      <c r="D50" s="255" t="s">
        <v>14</v>
      </c>
      <c r="E50" s="256">
        <f t="array" ref="E50">+XLOOKUP(B50,'Base de datos'!A:A,'Base de datos'!H:H,0)</f>
        <v>0</v>
      </c>
      <c r="F50" s="257"/>
      <c r="G50" s="257"/>
      <c r="H50" s="258" t="str">
        <f t="shared" ref="H50:H52" si="5">IFERROR(1-G50/F50,"")</f>
        <v/>
      </c>
      <c r="I50" s="256">
        <f t="shared" ref="I50:I55" si="6">IFERROR(E50*F50,"")</f>
        <v>0</v>
      </c>
      <c r="J50" s="241"/>
      <c r="K50" s="259" t="s">
        <v>324</v>
      </c>
      <c r="L50" s="260">
        <f>SUM(I50:I55)</f>
        <v>1.43</v>
      </c>
      <c r="M50" s="261"/>
    </row>
    <row r="51" ht="15.75" customHeight="1">
      <c r="A51" s="252"/>
      <c r="B51" s="262" t="str">
        <f>K67</f>
        <v/>
      </c>
      <c r="C51" s="262" t="str">
        <f>C67</f>
        <v/>
      </c>
      <c r="D51" s="263" t="s">
        <v>14</v>
      </c>
      <c r="E51" s="264" t="str">
        <f>K73</f>
        <v/>
      </c>
      <c r="F51" s="265"/>
      <c r="G51" s="265"/>
      <c r="H51" s="266" t="str">
        <f t="shared" si="5"/>
        <v/>
      </c>
      <c r="I51" s="264">
        <f t="shared" si="6"/>
        <v>0</v>
      </c>
      <c r="J51" s="241"/>
      <c r="K51" s="267" t="s">
        <v>325</v>
      </c>
      <c r="L51" s="268">
        <v>6.0</v>
      </c>
      <c r="M51" s="261"/>
    </row>
    <row r="52" ht="15.75" customHeight="1">
      <c r="A52" s="252"/>
      <c r="B52" s="269">
        <f t="array" ref="B52">+XLOOKUP(C52,'Base de datos'!C:C,'Base de datos'!A:A,"",FALSE)</f>
        <v>92</v>
      </c>
      <c r="C52" s="270" t="s">
        <v>113</v>
      </c>
      <c r="D52" s="255" t="s">
        <v>14</v>
      </c>
      <c r="E52" s="256">
        <f t="array" ref="E52">+XLOOKUP(B52,'Base de datos'!A:A,'Base de datos'!H:H,0)</f>
        <v>1.43</v>
      </c>
      <c r="F52" s="271">
        <v>1.0</v>
      </c>
      <c r="G52" s="271">
        <v>1.0</v>
      </c>
      <c r="H52" s="258">
        <f t="shared" si="5"/>
        <v>0</v>
      </c>
      <c r="I52" s="256">
        <f t="shared" si="6"/>
        <v>1.43</v>
      </c>
      <c r="J52" s="241"/>
      <c r="K52" s="272" t="s">
        <v>326</v>
      </c>
      <c r="L52" s="273">
        <f>L51/1.1</f>
        <v>5.454545455</v>
      </c>
      <c r="M52" s="274"/>
    </row>
    <row r="53" ht="15.75" customHeight="1">
      <c r="A53" s="252"/>
      <c r="B53" s="253" t="str">
        <f t="array" ref="B53">+XLOOKUP(C53,'Base de datos'!C:C,'Base de datos'!A:A,"",FALSE)</f>
        <v/>
      </c>
      <c r="C53" s="270"/>
      <c r="D53" s="275" t="s">
        <v>20</v>
      </c>
      <c r="E53" s="256">
        <f t="array" ref="E53">+XLOOKUP(B53,'Base de datos'!A:A,'Base de datos'!H:H,0)</f>
        <v>0</v>
      </c>
      <c r="F53" s="271"/>
      <c r="G53" s="271"/>
      <c r="H53" s="258"/>
      <c r="I53" s="256">
        <f t="shared" si="6"/>
        <v>0</v>
      </c>
      <c r="J53" s="241"/>
      <c r="K53" s="276" t="s">
        <v>327</v>
      </c>
      <c r="L53" s="277">
        <v>0.1</v>
      </c>
      <c r="M53" s="278"/>
    </row>
    <row r="54" ht="15.75" customHeight="1">
      <c r="A54" s="252"/>
      <c r="B54" s="253" t="str">
        <f t="array" ref="B54">+XLOOKUP(C54,'Base de datos'!C:C,'Base de datos'!A:A,"",FALSE)</f>
        <v/>
      </c>
      <c r="C54" s="270"/>
      <c r="D54" s="275" t="s">
        <v>14</v>
      </c>
      <c r="E54" s="256">
        <f t="array" ref="E54">+XLOOKUP(B54,'Base de datos'!A:A,'Base de datos'!H:H,0)</f>
        <v>0</v>
      </c>
      <c r="F54" s="271"/>
      <c r="G54" s="271"/>
      <c r="H54" s="258"/>
      <c r="I54" s="256">
        <f t="shared" si="6"/>
        <v>0</v>
      </c>
      <c r="J54" s="241"/>
      <c r="K54" s="279" t="s">
        <v>328</v>
      </c>
      <c r="L54" s="280">
        <f>L50/L52*100</f>
        <v>26.21666667</v>
      </c>
      <c r="M54" s="281" t="s">
        <v>329</v>
      </c>
    </row>
    <row r="55" ht="15.75" customHeight="1">
      <c r="A55" s="252"/>
      <c r="B55" s="253" t="str">
        <f t="array" ref="B55">+XLOOKUP(C55,'Base de datos'!C:C,'Base de datos'!A:A,"",FALSE)</f>
        <v/>
      </c>
      <c r="C55" s="270"/>
      <c r="D55" s="275" t="s">
        <v>20</v>
      </c>
      <c r="E55" s="256">
        <f t="array" ref="E55">+XLOOKUP(B55,'Base de datos'!A:A,'Base de datos'!H:H,0)</f>
        <v>0</v>
      </c>
      <c r="F55" s="271"/>
      <c r="G55" s="271"/>
      <c r="H55" s="258"/>
      <c r="I55" s="256">
        <f t="shared" si="6"/>
        <v>0</v>
      </c>
      <c r="J55" s="241"/>
      <c r="K55" s="282" t="s">
        <v>330</v>
      </c>
      <c r="L55" s="283">
        <f>100-L54</f>
        <v>73.78333333</v>
      </c>
      <c r="M55" s="284" t="s">
        <v>329</v>
      </c>
    </row>
    <row r="56" ht="15.75" customHeight="1">
      <c r="A56" s="240"/>
      <c r="B56" s="240"/>
      <c r="C56" s="241"/>
      <c r="D56" s="242"/>
      <c r="E56" s="243"/>
      <c r="F56" s="244"/>
      <c r="G56" s="244"/>
      <c r="H56" s="241"/>
      <c r="I56" s="241"/>
      <c r="J56" s="241"/>
      <c r="K56" s="241"/>
      <c r="L56" s="241"/>
    </row>
    <row r="57" ht="15.75" customHeight="1">
      <c r="A57" s="295"/>
      <c r="B57" s="295"/>
      <c r="C57" s="296" t="s">
        <v>337</v>
      </c>
      <c r="D57" s="297"/>
      <c r="E57" s="297"/>
      <c r="F57" s="297"/>
      <c r="G57" s="297"/>
      <c r="H57" s="297"/>
      <c r="I57" s="298"/>
      <c r="J57" s="241"/>
      <c r="K57" s="250" t="s">
        <v>323</v>
      </c>
      <c r="L57" s="251"/>
      <c r="M57" s="251"/>
    </row>
    <row r="58" ht="15.75" customHeight="1">
      <c r="A58" s="299"/>
      <c r="B58" s="299"/>
      <c r="C58" s="300"/>
      <c r="D58" s="297"/>
      <c r="E58" s="297"/>
      <c r="F58" s="297"/>
      <c r="G58" s="297"/>
      <c r="H58" s="297"/>
      <c r="I58" s="298"/>
      <c r="J58" s="241"/>
      <c r="K58" s="259" t="s">
        <v>324</v>
      </c>
      <c r="L58" s="260">
        <f>L50</f>
        <v>1.43</v>
      </c>
      <c r="M58" s="261"/>
    </row>
    <row r="59" ht="15.75" customHeight="1">
      <c r="A59" s="301"/>
      <c r="B59" s="301"/>
      <c r="C59" s="302"/>
      <c r="I59" s="278"/>
      <c r="J59" s="241"/>
      <c r="K59" s="267" t="s">
        <v>325</v>
      </c>
      <c r="L59" s="268">
        <v>8.0</v>
      </c>
      <c r="M59" s="261"/>
    </row>
    <row r="60" ht="15.75" customHeight="1">
      <c r="A60" s="301"/>
      <c r="B60" s="301"/>
      <c r="C60" s="302"/>
      <c r="I60" s="278"/>
      <c r="J60" s="241"/>
      <c r="K60" s="272" t="s">
        <v>326</v>
      </c>
      <c r="L60" s="273">
        <f>L59/1.1</f>
        <v>7.272727273</v>
      </c>
      <c r="M60" s="274"/>
    </row>
    <row r="61" ht="15.75" customHeight="1">
      <c r="A61" s="301"/>
      <c r="B61" s="301"/>
      <c r="C61" s="302"/>
      <c r="I61" s="278"/>
      <c r="J61" s="241"/>
      <c r="K61" s="276" t="s">
        <v>327</v>
      </c>
      <c r="L61" s="277">
        <v>0.1</v>
      </c>
      <c r="M61" s="278"/>
    </row>
    <row r="62" ht="15.75" customHeight="1">
      <c r="A62" s="301"/>
      <c r="B62" s="301"/>
      <c r="C62" s="302"/>
      <c r="I62" s="278"/>
      <c r="J62" s="241"/>
      <c r="K62" s="279" t="s">
        <v>328</v>
      </c>
      <c r="L62" s="280">
        <f>L58/L60*100</f>
        <v>19.6625</v>
      </c>
      <c r="M62" s="281" t="s">
        <v>329</v>
      </c>
    </row>
    <row r="63" ht="15.75" customHeight="1">
      <c r="A63" s="301"/>
      <c r="B63" s="301"/>
      <c r="C63" s="302"/>
      <c r="I63" s="278"/>
      <c r="J63" s="241"/>
      <c r="K63" s="285" t="s">
        <v>330</v>
      </c>
      <c r="L63" s="286">
        <f>L60-L58</f>
        <v>5.842727273</v>
      </c>
      <c r="M63" s="287" t="s">
        <v>331</v>
      </c>
    </row>
    <row r="64" ht="15.75" customHeight="1">
      <c r="A64" s="301"/>
      <c r="B64" s="301"/>
      <c r="C64" s="302"/>
      <c r="I64" s="278"/>
      <c r="J64" s="241"/>
      <c r="K64" s="289" t="s">
        <v>332</v>
      </c>
      <c r="L64" s="290">
        <f>L60-L58-(L59*0.2)</f>
        <v>4.242727273</v>
      </c>
      <c r="M64" s="291" t="s">
        <v>331</v>
      </c>
    </row>
    <row r="65" ht="15.75" customHeight="1">
      <c r="A65" s="301"/>
      <c r="B65" s="301"/>
      <c r="C65" s="304"/>
      <c r="D65" s="305"/>
      <c r="E65" s="305"/>
      <c r="F65" s="305"/>
      <c r="G65" s="305"/>
      <c r="H65" s="305"/>
      <c r="I65" s="274"/>
      <c r="J65" s="241"/>
      <c r="K65" s="289" t="s">
        <v>332</v>
      </c>
      <c r="L65" s="292">
        <f>L64/L60</f>
        <v>0.583375</v>
      </c>
      <c r="M65" s="291" t="s">
        <v>329</v>
      </c>
    </row>
    <row r="66" ht="15.75" customHeight="1">
      <c r="A66" s="307"/>
      <c r="B66" s="307"/>
      <c r="D66" s="308"/>
      <c r="E66" s="309"/>
    </row>
    <row r="67" ht="15.75" customHeight="1">
      <c r="A67" s="307"/>
      <c r="B67" s="307"/>
      <c r="D67" s="308"/>
      <c r="E67" s="309"/>
    </row>
    <row r="68" ht="15.75" customHeight="1">
      <c r="A68" s="307"/>
      <c r="B68" s="307"/>
      <c r="D68" s="308"/>
      <c r="E68" s="309"/>
    </row>
    <row r="69" ht="15.75" customHeight="1">
      <c r="A69" s="307"/>
      <c r="B69" s="307"/>
      <c r="D69" s="308"/>
      <c r="E69" s="309"/>
    </row>
    <row r="70" ht="15.75" customHeight="1">
      <c r="A70" s="307"/>
      <c r="B70" s="307"/>
      <c r="D70" s="308"/>
      <c r="E70" s="309"/>
    </row>
    <row r="71" ht="15.75" customHeight="1">
      <c r="A71" s="307"/>
      <c r="B71" s="307"/>
      <c r="D71" s="308"/>
      <c r="E71" s="309"/>
    </row>
    <row r="72" ht="15.75" customHeight="1">
      <c r="A72" s="307"/>
      <c r="B72" s="307"/>
      <c r="D72" s="308"/>
      <c r="E72" s="309"/>
    </row>
    <row r="73" ht="15.75" customHeight="1">
      <c r="A73" s="307"/>
      <c r="B73" s="307"/>
      <c r="D73" s="308"/>
      <c r="E73" s="309"/>
    </row>
    <row r="74" ht="15.75" customHeight="1">
      <c r="A74" s="307"/>
      <c r="B74" s="307"/>
      <c r="D74" s="308"/>
      <c r="E74" s="309"/>
    </row>
    <row r="75" ht="15.75" customHeight="1">
      <c r="A75" s="307"/>
      <c r="B75" s="307"/>
      <c r="D75" s="308"/>
      <c r="E75" s="309"/>
    </row>
    <row r="76" ht="15.75" customHeight="1">
      <c r="A76" s="307"/>
      <c r="B76" s="307"/>
      <c r="D76" s="308"/>
      <c r="E76" s="309"/>
    </row>
    <row r="77" ht="15.75" customHeight="1">
      <c r="A77" s="307"/>
      <c r="B77" s="307"/>
      <c r="D77" s="308"/>
      <c r="E77" s="309"/>
    </row>
    <row r="78" ht="15.75" customHeight="1">
      <c r="A78" s="307"/>
      <c r="B78" s="307"/>
      <c r="D78" s="308"/>
      <c r="E78" s="309"/>
    </row>
    <row r="79" ht="15.75" customHeight="1">
      <c r="A79" s="307"/>
      <c r="B79" s="307"/>
      <c r="D79" s="308"/>
      <c r="E79" s="309"/>
    </row>
    <row r="80" ht="15.75" customHeight="1">
      <c r="A80" s="307"/>
      <c r="B80" s="307"/>
      <c r="D80" s="308"/>
      <c r="E80" s="309"/>
    </row>
    <row r="81" ht="15.75" customHeight="1">
      <c r="A81" s="307"/>
      <c r="B81" s="307"/>
      <c r="D81" s="308"/>
      <c r="E81" s="309"/>
    </row>
    <row r="82" ht="15.75" customHeight="1">
      <c r="A82" s="307"/>
      <c r="B82" s="307"/>
      <c r="D82" s="308"/>
      <c r="E82" s="309"/>
    </row>
    <row r="83" ht="15.75" customHeight="1">
      <c r="A83" s="307"/>
      <c r="B83" s="307"/>
      <c r="D83" s="308"/>
      <c r="E83" s="309"/>
    </row>
    <row r="84" ht="15.75" customHeight="1">
      <c r="A84" s="307"/>
      <c r="B84" s="307"/>
      <c r="D84" s="308"/>
      <c r="E84" s="309"/>
    </row>
    <row r="85" ht="15.75" customHeight="1">
      <c r="A85" s="307"/>
      <c r="B85" s="307"/>
      <c r="D85" s="308"/>
      <c r="E85" s="309"/>
    </row>
    <row r="86" ht="15.75" customHeight="1">
      <c r="A86" s="307"/>
      <c r="B86" s="307"/>
      <c r="D86" s="308"/>
      <c r="E86" s="309"/>
    </row>
    <row r="87" ht="15.75" customHeight="1">
      <c r="A87" s="307"/>
      <c r="B87" s="307"/>
      <c r="D87" s="308"/>
      <c r="E87" s="309"/>
    </row>
    <row r="88" ht="15.75" customHeight="1">
      <c r="A88" s="307"/>
      <c r="B88" s="307"/>
      <c r="D88" s="308"/>
      <c r="E88" s="309"/>
    </row>
    <row r="89" ht="15.75" customHeight="1">
      <c r="A89" s="307"/>
      <c r="B89" s="307"/>
      <c r="D89" s="308"/>
      <c r="E89" s="309"/>
    </row>
    <row r="90" ht="15.75" customHeight="1">
      <c r="A90" s="307"/>
      <c r="B90" s="307"/>
      <c r="D90" s="308"/>
      <c r="E90" s="309"/>
    </row>
    <row r="91" ht="15.75" customHeight="1">
      <c r="A91" s="307"/>
      <c r="B91" s="307"/>
      <c r="D91" s="308"/>
      <c r="E91" s="309"/>
    </row>
    <row r="92" ht="15.75" customHeight="1">
      <c r="A92" s="307"/>
      <c r="B92" s="307"/>
      <c r="D92" s="308"/>
      <c r="E92" s="309"/>
    </row>
    <row r="93" ht="15.75" customHeight="1">
      <c r="A93" s="307"/>
      <c r="B93" s="307"/>
      <c r="D93" s="308"/>
      <c r="E93" s="309"/>
    </row>
    <row r="94" ht="15.75" customHeight="1">
      <c r="A94" s="307"/>
      <c r="B94" s="307"/>
      <c r="D94" s="308"/>
      <c r="E94" s="309"/>
    </row>
    <row r="95" ht="15.75" customHeight="1">
      <c r="A95" s="307"/>
      <c r="B95" s="307"/>
      <c r="D95" s="308"/>
      <c r="E95" s="309"/>
    </row>
    <row r="96" ht="15.75" customHeight="1">
      <c r="A96" s="307"/>
      <c r="B96" s="307"/>
      <c r="D96" s="308"/>
      <c r="E96" s="309"/>
    </row>
    <row r="97" ht="15.75" customHeight="1">
      <c r="A97" s="307"/>
      <c r="B97" s="307"/>
      <c r="D97" s="308"/>
      <c r="E97" s="309"/>
    </row>
    <row r="98" ht="15.75" customHeight="1">
      <c r="A98" s="307"/>
      <c r="B98" s="307"/>
      <c r="D98" s="308"/>
      <c r="E98" s="309"/>
    </row>
    <row r="99" ht="15.75" customHeight="1">
      <c r="A99" s="307"/>
      <c r="B99" s="307"/>
      <c r="D99" s="308"/>
      <c r="E99" s="309"/>
    </row>
    <row r="100" ht="15.75" customHeight="1">
      <c r="A100" s="307"/>
      <c r="B100" s="307"/>
      <c r="D100" s="308"/>
      <c r="E100" s="309"/>
    </row>
    <row r="101" ht="15.75" customHeight="1">
      <c r="A101" s="307"/>
      <c r="B101" s="307"/>
      <c r="D101" s="308"/>
      <c r="E101" s="309"/>
    </row>
    <row r="102" ht="15.75" customHeight="1">
      <c r="A102" s="307"/>
      <c r="B102" s="307"/>
      <c r="D102" s="308"/>
      <c r="E102" s="309"/>
    </row>
    <row r="103" ht="15.75" customHeight="1">
      <c r="A103" s="307"/>
      <c r="B103" s="307"/>
      <c r="D103" s="308"/>
      <c r="E103" s="309"/>
    </row>
    <row r="104" ht="15.75" customHeight="1">
      <c r="A104" s="307"/>
      <c r="B104" s="307"/>
      <c r="D104" s="308"/>
      <c r="E104" s="309"/>
    </row>
    <row r="105" ht="15.75" customHeight="1">
      <c r="A105" s="307"/>
      <c r="B105" s="307"/>
      <c r="D105" s="308"/>
      <c r="E105" s="309"/>
    </row>
    <row r="106" ht="15.75" customHeight="1">
      <c r="A106" s="307"/>
      <c r="B106" s="307"/>
      <c r="D106" s="308"/>
      <c r="E106" s="309"/>
    </row>
    <row r="107" ht="15.75" customHeight="1">
      <c r="A107" s="307"/>
      <c r="B107" s="307"/>
      <c r="D107" s="308"/>
      <c r="E107" s="309"/>
    </row>
    <row r="108" ht="15.75" customHeight="1">
      <c r="A108" s="307"/>
      <c r="B108" s="307"/>
      <c r="D108" s="308"/>
      <c r="E108" s="309"/>
    </row>
    <row r="109" ht="15.75" customHeight="1">
      <c r="A109" s="307"/>
      <c r="B109" s="307"/>
      <c r="D109" s="308"/>
      <c r="E109" s="309"/>
    </row>
    <row r="110" ht="15.75" customHeight="1">
      <c r="A110" s="307"/>
      <c r="B110" s="307"/>
      <c r="D110" s="308"/>
      <c r="E110" s="309"/>
    </row>
    <row r="111" ht="15.75" customHeight="1">
      <c r="A111" s="307"/>
      <c r="B111" s="307"/>
      <c r="D111" s="308"/>
      <c r="E111" s="309"/>
    </row>
    <row r="112" ht="15.75" customHeight="1">
      <c r="A112" s="307"/>
      <c r="B112" s="307"/>
      <c r="D112" s="308"/>
      <c r="E112" s="309"/>
    </row>
    <row r="113" ht="15.75" customHeight="1">
      <c r="A113" s="307"/>
      <c r="B113" s="307"/>
      <c r="D113" s="308"/>
      <c r="E113" s="309"/>
    </row>
    <row r="114" ht="15.75" customHeight="1">
      <c r="A114" s="307"/>
      <c r="B114" s="307"/>
      <c r="D114" s="308"/>
      <c r="E114" s="309"/>
    </row>
    <row r="115" ht="15.75" customHeight="1">
      <c r="A115" s="307"/>
      <c r="B115" s="307"/>
      <c r="D115" s="308"/>
      <c r="E115" s="309"/>
    </row>
    <row r="116" ht="15.75" customHeight="1">
      <c r="A116" s="307"/>
      <c r="B116" s="307"/>
      <c r="D116" s="308"/>
      <c r="E116" s="309"/>
    </row>
    <row r="117" ht="15.75" customHeight="1">
      <c r="A117" s="307"/>
      <c r="B117" s="307"/>
      <c r="D117" s="308"/>
      <c r="E117" s="309"/>
    </row>
    <row r="118" ht="15.75" customHeight="1">
      <c r="A118" s="307"/>
      <c r="B118" s="307"/>
      <c r="D118" s="308"/>
      <c r="E118" s="309"/>
    </row>
    <row r="119" ht="15.75" customHeight="1">
      <c r="A119" s="307"/>
      <c r="B119" s="307"/>
      <c r="D119" s="308"/>
      <c r="E119" s="309"/>
    </row>
    <row r="120" ht="15.75" customHeight="1">
      <c r="A120" s="307"/>
      <c r="B120" s="307"/>
      <c r="D120" s="308"/>
      <c r="E120" s="309"/>
    </row>
    <row r="121" ht="15.75" customHeight="1">
      <c r="A121" s="307"/>
      <c r="B121" s="307"/>
      <c r="D121" s="308"/>
      <c r="E121" s="309"/>
    </row>
    <row r="122" ht="15.75" customHeight="1">
      <c r="A122" s="307"/>
      <c r="B122" s="307"/>
      <c r="D122" s="308"/>
      <c r="E122" s="309"/>
    </row>
    <row r="123" ht="15.75" customHeight="1">
      <c r="A123" s="307"/>
      <c r="B123" s="307"/>
      <c r="D123" s="308"/>
      <c r="E123" s="309"/>
    </row>
    <row r="124" ht="15.75" customHeight="1">
      <c r="A124" s="307"/>
      <c r="B124" s="307"/>
      <c r="D124" s="308"/>
      <c r="E124" s="309"/>
    </row>
    <row r="125" ht="15.75" customHeight="1">
      <c r="A125" s="307"/>
      <c r="B125" s="307"/>
      <c r="D125" s="308"/>
      <c r="E125" s="309"/>
    </row>
    <row r="126" ht="15.75" customHeight="1">
      <c r="A126" s="307"/>
      <c r="B126" s="307"/>
      <c r="D126" s="308"/>
      <c r="E126" s="309"/>
    </row>
    <row r="127" ht="15.75" customHeight="1">
      <c r="A127" s="307"/>
      <c r="B127" s="307"/>
      <c r="D127" s="308"/>
      <c r="E127" s="309"/>
    </row>
    <row r="128" ht="15.75" customHeight="1">
      <c r="A128" s="307"/>
      <c r="B128" s="307"/>
      <c r="D128" s="308"/>
      <c r="E128" s="309"/>
    </row>
    <row r="129" ht="15.75" customHeight="1">
      <c r="A129" s="307"/>
      <c r="B129" s="307"/>
      <c r="D129" s="308"/>
      <c r="E129" s="309"/>
    </row>
    <row r="130" ht="15.75" customHeight="1">
      <c r="A130" s="307"/>
      <c r="B130" s="307"/>
      <c r="D130" s="308"/>
      <c r="E130" s="309"/>
    </row>
    <row r="131" ht="15.75" customHeight="1">
      <c r="A131" s="307"/>
      <c r="B131" s="307"/>
      <c r="D131" s="308"/>
      <c r="E131" s="309"/>
    </row>
    <row r="132" ht="15.75" customHeight="1">
      <c r="A132" s="307"/>
      <c r="B132" s="307"/>
      <c r="D132" s="308"/>
      <c r="E132" s="309"/>
    </row>
    <row r="133" ht="15.75" customHeight="1">
      <c r="A133" s="307"/>
      <c r="B133" s="307"/>
      <c r="D133" s="308"/>
      <c r="E133" s="309"/>
    </row>
    <row r="134" ht="15.75" customHeight="1">
      <c r="A134" s="307"/>
      <c r="B134" s="307"/>
      <c r="D134" s="308"/>
      <c r="E134" s="309"/>
    </row>
    <row r="135" ht="15.75" customHeight="1">
      <c r="A135" s="307"/>
      <c r="B135" s="307"/>
      <c r="D135" s="308"/>
      <c r="E135" s="309"/>
    </row>
    <row r="136" ht="15.75" customHeight="1">
      <c r="A136" s="307"/>
      <c r="B136" s="307"/>
      <c r="D136" s="308"/>
      <c r="E136" s="309"/>
    </row>
    <row r="137" ht="15.75" customHeight="1">
      <c r="A137" s="307"/>
      <c r="B137" s="307"/>
      <c r="D137" s="308"/>
      <c r="E137" s="309"/>
    </row>
    <row r="138" ht="15.75" customHeight="1">
      <c r="A138" s="307"/>
      <c r="B138" s="307"/>
      <c r="D138" s="308"/>
      <c r="E138" s="309"/>
    </row>
    <row r="139" ht="15.75" customHeight="1">
      <c r="A139" s="307"/>
      <c r="B139" s="307"/>
      <c r="D139" s="308"/>
      <c r="E139" s="309"/>
    </row>
    <row r="140" ht="15.75" customHeight="1">
      <c r="A140" s="307"/>
      <c r="B140" s="307"/>
      <c r="D140" s="308"/>
      <c r="E140" s="309"/>
    </row>
    <row r="141" ht="15.75" customHeight="1">
      <c r="A141" s="307"/>
      <c r="B141" s="307"/>
      <c r="D141" s="308"/>
      <c r="E141" s="309"/>
    </row>
    <row r="142" ht="15.75" customHeight="1">
      <c r="A142" s="307"/>
      <c r="B142" s="307"/>
      <c r="D142" s="308"/>
      <c r="E142" s="309"/>
    </row>
    <row r="143" ht="15.75" customHeight="1">
      <c r="A143" s="307"/>
      <c r="B143" s="307"/>
      <c r="D143" s="308"/>
      <c r="E143" s="309"/>
    </row>
    <row r="144" ht="15.75" customHeight="1">
      <c r="A144" s="307"/>
      <c r="B144" s="307"/>
      <c r="D144" s="308"/>
      <c r="E144" s="309"/>
    </row>
    <row r="145" ht="15.75" customHeight="1">
      <c r="A145" s="307"/>
      <c r="B145" s="307"/>
      <c r="D145" s="308"/>
      <c r="E145" s="309"/>
    </row>
    <row r="146" ht="15.75" customHeight="1">
      <c r="A146" s="307"/>
      <c r="B146" s="307"/>
      <c r="D146" s="308"/>
      <c r="E146" s="309"/>
    </row>
    <row r="147" ht="15.75" customHeight="1">
      <c r="A147" s="307"/>
      <c r="B147" s="307"/>
      <c r="D147" s="308"/>
      <c r="E147" s="309"/>
    </row>
    <row r="148" ht="15.75" customHeight="1">
      <c r="A148" s="307"/>
      <c r="B148" s="307"/>
      <c r="D148" s="308"/>
      <c r="E148" s="309"/>
    </row>
    <row r="149" ht="15.75" customHeight="1">
      <c r="A149" s="307"/>
      <c r="B149" s="307"/>
      <c r="D149" s="308"/>
      <c r="E149" s="309"/>
    </row>
    <row r="150" ht="15.75" customHeight="1">
      <c r="A150" s="307"/>
      <c r="B150" s="307"/>
      <c r="D150" s="308"/>
      <c r="E150" s="309"/>
    </row>
    <row r="151" ht="15.75" customHeight="1">
      <c r="A151" s="307"/>
      <c r="B151" s="307"/>
      <c r="D151" s="308"/>
      <c r="E151" s="309"/>
    </row>
    <row r="152" ht="15.75" customHeight="1">
      <c r="A152" s="307"/>
      <c r="B152" s="307"/>
      <c r="D152" s="308"/>
      <c r="E152" s="309"/>
    </row>
    <row r="153" ht="15.75" customHeight="1">
      <c r="A153" s="307"/>
      <c r="B153" s="307"/>
      <c r="D153" s="308"/>
      <c r="E153" s="309"/>
    </row>
    <row r="154" ht="15.75" customHeight="1">
      <c r="A154" s="307"/>
      <c r="B154" s="307"/>
      <c r="D154" s="308"/>
      <c r="E154" s="309"/>
    </row>
    <row r="155" ht="15.75" customHeight="1">
      <c r="A155" s="307"/>
      <c r="B155" s="307"/>
      <c r="D155" s="308"/>
      <c r="E155" s="309"/>
    </row>
    <row r="156" ht="15.75" customHeight="1">
      <c r="A156" s="307"/>
      <c r="B156" s="307"/>
      <c r="D156" s="308"/>
      <c r="E156" s="309"/>
    </row>
    <row r="157" ht="15.75" customHeight="1">
      <c r="A157" s="307"/>
      <c r="B157" s="307"/>
      <c r="D157" s="308"/>
      <c r="E157" s="309"/>
    </row>
    <row r="158" ht="15.75" customHeight="1">
      <c r="A158" s="307"/>
      <c r="B158" s="307"/>
      <c r="D158" s="308"/>
      <c r="E158" s="309"/>
    </row>
    <row r="159" ht="15.75" customHeight="1">
      <c r="A159" s="307"/>
      <c r="B159" s="307"/>
      <c r="D159" s="308"/>
      <c r="E159" s="309"/>
    </row>
    <row r="160" ht="15.75" customHeight="1">
      <c r="A160" s="307"/>
      <c r="B160" s="307"/>
      <c r="D160" s="308"/>
      <c r="E160" s="309"/>
    </row>
    <row r="161" ht="15.75" customHeight="1">
      <c r="A161" s="307"/>
      <c r="B161" s="307"/>
      <c r="D161" s="308"/>
      <c r="E161" s="309"/>
    </row>
    <row r="162" ht="15.75" customHeight="1">
      <c r="A162" s="307"/>
      <c r="B162" s="307"/>
      <c r="D162" s="308"/>
      <c r="E162" s="309"/>
    </row>
    <row r="163" ht="15.75" customHeight="1">
      <c r="A163" s="307"/>
      <c r="B163" s="307"/>
      <c r="D163" s="308"/>
      <c r="E163" s="309"/>
    </row>
    <row r="164" ht="15.75" customHeight="1">
      <c r="A164" s="307"/>
      <c r="B164" s="307"/>
      <c r="D164" s="308"/>
      <c r="E164" s="309"/>
    </row>
    <row r="165" ht="15.75" customHeight="1">
      <c r="A165" s="307"/>
      <c r="B165" s="307"/>
      <c r="D165" s="308"/>
      <c r="E165" s="309"/>
    </row>
    <row r="166" ht="15.75" customHeight="1">
      <c r="A166" s="307"/>
      <c r="B166" s="307"/>
      <c r="D166" s="308"/>
      <c r="E166" s="309"/>
    </row>
    <row r="167" ht="15.75" customHeight="1">
      <c r="A167" s="307"/>
      <c r="B167" s="307"/>
      <c r="D167" s="308"/>
      <c r="E167" s="309"/>
    </row>
    <row r="168" ht="15.75" customHeight="1">
      <c r="A168" s="307"/>
      <c r="B168" s="307"/>
      <c r="D168" s="308"/>
      <c r="E168" s="309"/>
    </row>
    <row r="169" ht="15.75" customHeight="1">
      <c r="A169" s="307"/>
      <c r="B169" s="307"/>
      <c r="D169" s="308"/>
      <c r="E169" s="309"/>
    </row>
    <row r="170" ht="15.75" customHeight="1">
      <c r="A170" s="307"/>
      <c r="B170" s="307"/>
      <c r="D170" s="308"/>
      <c r="E170" s="309"/>
    </row>
    <row r="171" ht="15.75" customHeight="1">
      <c r="A171" s="307"/>
      <c r="B171" s="307"/>
      <c r="D171" s="308"/>
      <c r="E171" s="309"/>
    </row>
    <row r="172" ht="15.75" customHeight="1">
      <c r="A172" s="307"/>
      <c r="B172" s="307"/>
      <c r="D172" s="308"/>
      <c r="E172" s="309"/>
    </row>
    <row r="173" ht="15.75" customHeight="1">
      <c r="A173" s="307"/>
      <c r="B173" s="307"/>
      <c r="D173" s="308"/>
      <c r="E173" s="309"/>
    </row>
    <row r="174" ht="15.75" customHeight="1">
      <c r="A174" s="307"/>
      <c r="B174" s="307"/>
      <c r="D174" s="308"/>
      <c r="E174" s="309"/>
    </row>
    <row r="175" ht="15.75" customHeight="1">
      <c r="A175" s="307"/>
      <c r="B175" s="307"/>
      <c r="D175" s="308"/>
      <c r="E175" s="309"/>
    </row>
    <row r="176" ht="15.75" customHeight="1">
      <c r="A176" s="307"/>
      <c r="B176" s="307"/>
      <c r="D176" s="308"/>
      <c r="E176" s="309"/>
    </row>
    <row r="177" ht="15.75" customHeight="1">
      <c r="A177" s="307"/>
      <c r="B177" s="307"/>
      <c r="D177" s="308"/>
      <c r="E177" s="309"/>
    </row>
    <row r="178" ht="15.75" customHeight="1">
      <c r="A178" s="307"/>
      <c r="B178" s="307"/>
      <c r="D178" s="308"/>
      <c r="E178" s="309"/>
    </row>
    <row r="179" ht="15.75" customHeight="1">
      <c r="A179" s="307"/>
      <c r="B179" s="307"/>
      <c r="D179" s="308"/>
      <c r="E179" s="309"/>
    </row>
    <row r="180" ht="15.75" customHeight="1">
      <c r="A180" s="307"/>
      <c r="B180" s="307"/>
      <c r="D180" s="308"/>
      <c r="E180" s="309"/>
    </row>
    <row r="181" ht="15.75" customHeight="1">
      <c r="A181" s="307"/>
      <c r="B181" s="307"/>
      <c r="D181" s="308"/>
      <c r="E181" s="309"/>
    </row>
    <row r="182" ht="15.75" customHeight="1">
      <c r="A182" s="307"/>
      <c r="B182" s="307"/>
      <c r="D182" s="308"/>
      <c r="E182" s="309"/>
    </row>
    <row r="183" ht="15.75" customHeight="1">
      <c r="A183" s="307"/>
      <c r="B183" s="307"/>
      <c r="D183" s="308"/>
      <c r="E183" s="309"/>
    </row>
    <row r="184" ht="15.75" customHeight="1">
      <c r="A184" s="307"/>
      <c r="B184" s="307"/>
      <c r="D184" s="308"/>
      <c r="E184" s="309"/>
    </row>
    <row r="185" ht="15.75" customHeight="1">
      <c r="A185" s="307"/>
      <c r="B185" s="307"/>
      <c r="D185" s="308"/>
      <c r="E185" s="309"/>
    </row>
    <row r="186" ht="15.75" customHeight="1">
      <c r="A186" s="307"/>
      <c r="B186" s="307"/>
      <c r="D186" s="308"/>
      <c r="E186" s="309"/>
    </row>
    <row r="187" ht="15.75" customHeight="1">
      <c r="A187" s="307"/>
      <c r="B187" s="307"/>
      <c r="D187" s="308"/>
      <c r="E187" s="309"/>
    </row>
    <row r="188" ht="15.75" customHeight="1">
      <c r="A188" s="307"/>
      <c r="B188" s="307"/>
      <c r="D188" s="308"/>
      <c r="E188" s="309"/>
    </row>
    <row r="189" ht="15.75" customHeight="1">
      <c r="A189" s="307"/>
      <c r="B189" s="307"/>
      <c r="D189" s="308"/>
      <c r="E189" s="309"/>
    </row>
    <row r="190" ht="15.75" customHeight="1">
      <c r="A190" s="307"/>
      <c r="B190" s="307"/>
      <c r="D190" s="308"/>
      <c r="E190" s="309"/>
    </row>
    <row r="191" ht="15.75" customHeight="1">
      <c r="A191" s="307"/>
      <c r="B191" s="307"/>
      <c r="D191" s="308"/>
      <c r="E191" s="309"/>
    </row>
    <row r="192" ht="15.75" customHeight="1">
      <c r="A192" s="307"/>
      <c r="B192" s="307"/>
      <c r="D192" s="308"/>
      <c r="E192" s="309"/>
    </row>
    <row r="193" ht="15.75" customHeight="1">
      <c r="A193" s="307"/>
      <c r="B193" s="307"/>
      <c r="D193" s="308"/>
      <c r="E193" s="309"/>
    </row>
    <row r="194" ht="15.75" customHeight="1">
      <c r="A194" s="307"/>
      <c r="B194" s="307"/>
      <c r="D194" s="308"/>
      <c r="E194" s="309"/>
    </row>
    <row r="195" ht="15.75" customHeight="1">
      <c r="A195" s="307"/>
      <c r="B195" s="307"/>
      <c r="D195" s="308"/>
      <c r="E195" s="309"/>
    </row>
    <row r="196" ht="15.75" customHeight="1">
      <c r="A196" s="307"/>
      <c r="B196" s="307"/>
      <c r="D196" s="308"/>
      <c r="E196" s="309"/>
    </row>
    <row r="197" ht="15.75" customHeight="1">
      <c r="A197" s="307"/>
      <c r="B197" s="307"/>
      <c r="D197" s="308"/>
      <c r="E197" s="309"/>
    </row>
    <row r="198" ht="15.75" customHeight="1">
      <c r="A198" s="307"/>
      <c r="B198" s="307"/>
      <c r="D198" s="308"/>
      <c r="E198" s="309"/>
    </row>
    <row r="199" ht="15.75" customHeight="1">
      <c r="A199" s="307"/>
      <c r="B199" s="307"/>
      <c r="D199" s="308"/>
      <c r="E199" s="309"/>
    </row>
    <row r="200" ht="15.75" customHeight="1">
      <c r="A200" s="307"/>
      <c r="B200" s="307"/>
      <c r="D200" s="308"/>
      <c r="E200" s="309"/>
    </row>
    <row r="201" ht="15.75" customHeight="1">
      <c r="A201" s="307"/>
      <c r="B201" s="307"/>
      <c r="D201" s="308"/>
      <c r="E201" s="309"/>
    </row>
    <row r="202" ht="15.75" customHeight="1">
      <c r="A202" s="307"/>
      <c r="B202" s="307"/>
      <c r="D202" s="308"/>
      <c r="E202" s="309"/>
    </row>
    <row r="203" ht="15.75" customHeight="1">
      <c r="A203" s="307"/>
      <c r="B203" s="307"/>
      <c r="D203" s="308"/>
      <c r="E203" s="309"/>
    </row>
    <row r="204" ht="15.75" customHeight="1">
      <c r="A204" s="307"/>
      <c r="B204" s="307"/>
      <c r="D204" s="308"/>
      <c r="E204" s="309"/>
    </row>
    <row r="205" ht="15.75" customHeight="1">
      <c r="A205" s="307"/>
      <c r="B205" s="307"/>
      <c r="D205" s="308"/>
      <c r="E205" s="309"/>
    </row>
    <row r="206" ht="15.75" customHeight="1">
      <c r="A206" s="307"/>
      <c r="B206" s="307"/>
      <c r="D206" s="308"/>
      <c r="E206" s="309"/>
    </row>
    <row r="207" ht="15.75" customHeight="1">
      <c r="A207" s="307"/>
      <c r="B207" s="307"/>
      <c r="D207" s="308"/>
      <c r="E207" s="309"/>
    </row>
    <row r="208" ht="15.75" customHeight="1">
      <c r="A208" s="307"/>
      <c r="B208" s="307"/>
      <c r="D208" s="308"/>
      <c r="E208" s="309"/>
    </row>
    <row r="209" ht="15.75" customHeight="1">
      <c r="A209" s="307"/>
      <c r="B209" s="307"/>
      <c r="D209" s="308"/>
      <c r="E209" s="309"/>
    </row>
    <row r="210" ht="15.75" customHeight="1">
      <c r="A210" s="307"/>
      <c r="B210" s="307"/>
      <c r="D210" s="308"/>
      <c r="E210" s="309"/>
    </row>
    <row r="211" ht="15.75" customHeight="1">
      <c r="A211" s="307"/>
      <c r="B211" s="307"/>
      <c r="D211" s="308"/>
      <c r="E211" s="309"/>
    </row>
    <row r="212" ht="15.75" customHeight="1">
      <c r="A212" s="307"/>
      <c r="B212" s="307"/>
      <c r="D212" s="308"/>
      <c r="E212" s="309"/>
    </row>
    <row r="213" ht="15.75" customHeight="1">
      <c r="A213" s="307"/>
      <c r="B213" s="307"/>
      <c r="D213" s="308"/>
      <c r="E213" s="309"/>
    </row>
    <row r="214" ht="15.75" customHeight="1">
      <c r="A214" s="307"/>
      <c r="B214" s="307"/>
      <c r="D214" s="308"/>
      <c r="E214" s="309"/>
    </row>
    <row r="215" ht="15.75" customHeight="1">
      <c r="A215" s="307"/>
      <c r="B215" s="307"/>
      <c r="D215" s="308"/>
      <c r="E215" s="309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307"/>
      <c r="D218" s="308"/>
      <c r="E218" s="309"/>
    </row>
    <row r="219" ht="15.75" customHeight="1">
      <c r="A219" s="307"/>
      <c r="B219" s="307"/>
      <c r="D219" s="308"/>
      <c r="E219" s="309"/>
    </row>
    <row r="220" ht="15.75" customHeight="1">
      <c r="A220" s="307"/>
      <c r="B220" s="307"/>
      <c r="D220" s="308"/>
      <c r="E220" s="309"/>
    </row>
    <row r="221" ht="15.75" customHeight="1">
      <c r="A221" s="307"/>
      <c r="B221" s="307"/>
      <c r="D221" s="308"/>
      <c r="E221" s="309"/>
    </row>
    <row r="222" ht="15.75" customHeight="1">
      <c r="A222" s="307"/>
      <c r="B222" s="307"/>
      <c r="D222" s="308"/>
      <c r="E222" s="309"/>
    </row>
    <row r="223" ht="15.75" customHeight="1">
      <c r="A223" s="307"/>
      <c r="B223" s="307"/>
      <c r="D223" s="308"/>
      <c r="E223" s="309"/>
    </row>
    <row r="224" ht="15.75" customHeight="1">
      <c r="A224" s="307"/>
      <c r="B224" s="307"/>
      <c r="D224" s="308"/>
      <c r="E224" s="309"/>
    </row>
    <row r="225" ht="15.75" customHeight="1">
      <c r="A225" s="307"/>
      <c r="B225" s="307"/>
      <c r="D225" s="308"/>
      <c r="E225" s="309"/>
    </row>
    <row r="226" ht="15.75" customHeight="1">
      <c r="A226" s="307"/>
      <c r="B226" s="307"/>
      <c r="D226" s="308"/>
      <c r="E226" s="309"/>
    </row>
    <row r="227" ht="15.75" customHeight="1">
      <c r="A227" s="307"/>
      <c r="B227" s="307"/>
      <c r="D227" s="308"/>
      <c r="E227" s="309"/>
    </row>
    <row r="228" ht="15.75" customHeight="1">
      <c r="A228" s="307"/>
      <c r="B228" s="307"/>
      <c r="D228" s="308"/>
      <c r="E228" s="309"/>
    </row>
    <row r="229" ht="15.75" customHeight="1">
      <c r="A229" s="307"/>
      <c r="B229" s="307"/>
      <c r="D229" s="308"/>
      <c r="E229" s="309"/>
    </row>
    <row r="230" ht="15.75" customHeight="1">
      <c r="A230" s="307"/>
      <c r="B230" s="307"/>
    </row>
    <row r="231" ht="15.75" customHeight="1">
      <c r="A231" s="307"/>
      <c r="B231" s="307"/>
    </row>
    <row r="232" ht="15.75" customHeight="1">
      <c r="A232" s="307"/>
      <c r="B232" s="307"/>
    </row>
    <row r="233" ht="15.75" customHeight="1">
      <c r="A233" s="307"/>
      <c r="B233" s="307"/>
    </row>
    <row r="234" ht="15.75" customHeight="1">
      <c r="A234" s="307"/>
      <c r="B234" s="307"/>
    </row>
    <row r="235" ht="15.75" customHeight="1">
      <c r="A235" s="307"/>
      <c r="B235" s="307"/>
    </row>
    <row r="236" ht="15.75" customHeight="1">
      <c r="A236" s="307"/>
      <c r="B236" s="307"/>
    </row>
    <row r="237" ht="15.75" customHeight="1">
      <c r="A237" s="307"/>
      <c r="B237" s="30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1">
    <mergeCell ref="D2:I2"/>
    <mergeCell ref="L6:M6"/>
    <mergeCell ref="L7:M7"/>
    <mergeCell ref="L8:M8"/>
    <mergeCell ref="L9:M9"/>
    <mergeCell ref="C13:I13"/>
    <mergeCell ref="L14:M14"/>
    <mergeCell ref="C14:I14"/>
    <mergeCell ref="C15:I15"/>
    <mergeCell ref="L15:M15"/>
    <mergeCell ref="C16:I16"/>
    <mergeCell ref="L16:M16"/>
    <mergeCell ref="C17:I17"/>
    <mergeCell ref="L17:M17"/>
    <mergeCell ref="C18:I18"/>
    <mergeCell ref="C19:I19"/>
    <mergeCell ref="C20:I20"/>
    <mergeCell ref="C21:I21"/>
    <mergeCell ref="D24:I24"/>
    <mergeCell ref="L28:M28"/>
    <mergeCell ref="L29:M29"/>
    <mergeCell ref="L37:M37"/>
    <mergeCell ref="L38:M38"/>
    <mergeCell ref="L50:M50"/>
    <mergeCell ref="L51:M51"/>
    <mergeCell ref="L52:M52"/>
    <mergeCell ref="L53:M53"/>
    <mergeCell ref="L30:M30"/>
    <mergeCell ref="L31:M31"/>
    <mergeCell ref="C35:I35"/>
    <mergeCell ref="C36:I36"/>
    <mergeCell ref="L36:M36"/>
    <mergeCell ref="C37:I37"/>
    <mergeCell ref="C38:I38"/>
    <mergeCell ref="L58:M58"/>
    <mergeCell ref="L59:M59"/>
    <mergeCell ref="C60:I60"/>
    <mergeCell ref="L60:M60"/>
    <mergeCell ref="C61:I61"/>
    <mergeCell ref="L61:M61"/>
    <mergeCell ref="C62:I62"/>
    <mergeCell ref="C63:I63"/>
    <mergeCell ref="C64:I64"/>
    <mergeCell ref="C65:I65"/>
    <mergeCell ref="C39:I39"/>
    <mergeCell ref="L39:M39"/>
    <mergeCell ref="C40:I40"/>
    <mergeCell ref="D46:I46"/>
    <mergeCell ref="C57:I57"/>
    <mergeCell ref="C58:I58"/>
    <mergeCell ref="C59:I59"/>
  </mergeCells>
  <dataValidations>
    <dataValidation type="list" allowBlank="1" showErrorMessage="1" sqref="D6:D11 D28:D33 D50:D55">
      <formula1>'Hoja 2'!$A$2:$A$4</formula1>
    </dataValidation>
    <dataValidation type="list" allowBlank="1" showErrorMessage="1" sqref="C6 C8:C11 C28 C30:C33 C50 C52:C55">
      <formula1>'Base de datos'!$C$2:$C$133</formula1>
    </dataValidation>
  </dataValidations>
  <hyperlinks>
    <hyperlink display="IR A BASE DE DATOS" location="'Base de datos'!A1" ref="K2"/>
    <hyperlink display="INDICE" location="'INDICE 25'!A1" ref="K5"/>
    <hyperlink display="INDICE UBER " location="'INDICE UBER'!A1" ref="K13"/>
    <hyperlink display="IR A BASE DE DATOS" location="'Base de datos'!A1" ref="K24"/>
    <hyperlink display="INDICE" location="'INDICE 25'!A1" ref="K27"/>
    <hyperlink display="INDICE UBER " location="'INDICE UBER'!A1" ref="K35"/>
    <hyperlink display="IR A BASE DE DATOS" location="'Base de datos'!A1" ref="K46"/>
    <hyperlink display="INDICE" location="'INDICE 25'!A1" ref="K49"/>
    <hyperlink display="INDICE UBER " location="'INDICE UBER'!A1" ref="K57"/>
  </hyperlin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759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475" t="s">
        <v>745</v>
      </c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13" si="1">IFERROR(1-G6/F6,"")</f>
        <v/>
      </c>
      <c r="I6" s="256">
        <f t="shared" ref="I6:I18" si="2">IFERROR(E6*F6,"")</f>
        <v>0</v>
      </c>
      <c r="J6" s="241"/>
      <c r="K6" s="259" t="s">
        <v>324</v>
      </c>
      <c r="L6" s="260">
        <f>SUM(I6:I17)</f>
        <v>2.187102348</v>
      </c>
      <c r="M6" s="261"/>
    </row>
    <row r="7" ht="15.75" customHeight="1">
      <c r="A7" s="252"/>
      <c r="B7" s="262" t="str">
        <f>K30</f>
        <v/>
      </c>
      <c r="C7" s="262" t="str">
        <f>C30</f>
        <v/>
      </c>
      <c r="D7" s="263" t="s">
        <v>14</v>
      </c>
      <c r="E7" s="264" t="str">
        <f>K36</f>
        <v>PVP</v>
      </c>
      <c r="F7" s="265"/>
      <c r="G7" s="265"/>
      <c r="H7" s="266" t="str">
        <f t="shared" si="1"/>
        <v/>
      </c>
      <c r="I7" s="264" t="str">
        <f t="shared" si="2"/>
        <v/>
      </c>
      <c r="J7" s="241"/>
      <c r="K7" s="267" t="s">
        <v>325</v>
      </c>
      <c r="L7" s="268">
        <v>8.0</v>
      </c>
      <c r="M7" s="261"/>
    </row>
    <row r="8" ht="15.75" customHeight="1">
      <c r="A8" s="252"/>
      <c r="B8" s="269">
        <f t="array" ref="B8">+XLOOKUP(C8,'Base de datos'!C:C,'Base de datos'!A:A,"",FALSE)</f>
        <v>12</v>
      </c>
      <c r="C8" s="270" t="s">
        <v>30</v>
      </c>
      <c r="D8" s="255" t="s">
        <v>14</v>
      </c>
      <c r="E8" s="256">
        <f t="array" ref="E8">+XLOOKUP(B8,'Base de datos'!A:A,'Base de datos'!H:H,0)</f>
        <v>8.181818182</v>
      </c>
      <c r="F8" s="271">
        <v>0.12</v>
      </c>
      <c r="G8" s="271">
        <v>0.12</v>
      </c>
      <c r="H8" s="258">
        <f t="shared" si="1"/>
        <v>0</v>
      </c>
      <c r="I8" s="256">
        <f t="shared" si="2"/>
        <v>0.9818181818</v>
      </c>
      <c r="J8" s="241"/>
      <c r="K8" s="272" t="s">
        <v>326</v>
      </c>
      <c r="L8" s="273">
        <f>L7/1.1</f>
        <v>7.272727273</v>
      </c>
      <c r="M8" s="274"/>
    </row>
    <row r="9" ht="15.75" customHeight="1">
      <c r="A9" s="252"/>
      <c r="B9" s="269">
        <f t="array" ref="B9">+XLOOKUP(C9,'Base de datos'!C:C,'Base de datos'!A:A,"",FALSE)</f>
        <v>46</v>
      </c>
      <c r="C9" s="270" t="s">
        <v>78</v>
      </c>
      <c r="D9" s="275" t="s">
        <v>20</v>
      </c>
      <c r="E9" s="256">
        <f t="array" ref="E9">+XLOOKUP(B9,'Base de datos'!A:A,'Base de datos'!H:H,0)</f>
        <v>0.3558541667</v>
      </c>
      <c r="F9" s="271">
        <v>1.0</v>
      </c>
      <c r="G9" s="271">
        <v>1.0</v>
      </c>
      <c r="H9" s="258">
        <f t="shared" si="1"/>
        <v>0</v>
      </c>
      <c r="I9" s="256">
        <f t="shared" si="2"/>
        <v>0.3558541667</v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269">
        <f t="array" ref="B10">+XLOOKUP(C10,'Base de datos'!C:C,'Base de datos'!A:A,"",FALSE)</f>
        <v>23</v>
      </c>
      <c r="C10" s="270" t="s">
        <v>46</v>
      </c>
      <c r="D10" s="275" t="s">
        <v>14</v>
      </c>
      <c r="E10" s="256">
        <f t="array" ref="E10">+XLOOKUP(B10,'Base de datos'!A:A,'Base de datos'!H:H,0)</f>
        <v>4.39</v>
      </c>
      <c r="F10" s="271">
        <v>0.01</v>
      </c>
      <c r="G10" s="271">
        <v>0.01</v>
      </c>
      <c r="H10" s="258">
        <f t="shared" si="1"/>
        <v>0</v>
      </c>
      <c r="I10" s="256">
        <f t="shared" si="2"/>
        <v>0.0439</v>
      </c>
      <c r="J10" s="241"/>
      <c r="K10" s="279" t="s">
        <v>328</v>
      </c>
      <c r="L10" s="280">
        <f>L6/L8*100</f>
        <v>30.07265729</v>
      </c>
      <c r="M10" s="281" t="s">
        <v>329</v>
      </c>
    </row>
    <row r="11" ht="15.75" customHeight="1">
      <c r="A11" s="252"/>
      <c r="B11" s="269">
        <f t="array" ref="B11">+XLOOKUP(C11,'Base de datos'!C:C,'Base de datos'!A:A,"",FALSE)</f>
        <v>21</v>
      </c>
      <c r="C11" s="270" t="s">
        <v>44</v>
      </c>
      <c r="D11" s="275" t="s">
        <v>14</v>
      </c>
      <c r="E11" s="256">
        <f t="array" ref="E11">+XLOOKUP(B11,'Base de datos'!A:A,'Base de datos'!H:H,0)</f>
        <v>8.56</v>
      </c>
      <c r="F11" s="271">
        <v>0.02</v>
      </c>
      <c r="G11" s="271">
        <v>0.01</v>
      </c>
      <c r="H11" s="258">
        <f t="shared" si="1"/>
        <v>0.5</v>
      </c>
      <c r="I11" s="256">
        <f t="shared" si="2"/>
        <v>0.1712</v>
      </c>
      <c r="J11" s="241"/>
      <c r="K11" s="282" t="s">
        <v>330</v>
      </c>
      <c r="L11" s="283">
        <f>100-L10</f>
        <v>69.92734271</v>
      </c>
      <c r="M11" s="284" t="s">
        <v>329</v>
      </c>
    </row>
    <row r="12" ht="15.75" customHeight="1">
      <c r="A12" s="252"/>
      <c r="B12" s="269">
        <f t="array" ref="B12">+XLOOKUP(C12,'Base de datos'!C:C,'Base de datos'!A:A,"",FALSE)</f>
        <v>22</v>
      </c>
      <c r="C12" s="270" t="s">
        <v>45</v>
      </c>
      <c r="D12" s="255" t="s">
        <v>14</v>
      </c>
      <c r="E12" s="256">
        <f t="array" ref="E12">+XLOOKUP(B12,'Base de datos'!A:A,'Base de datos'!H:H,0)</f>
        <v>7.11</v>
      </c>
      <c r="F12" s="271">
        <v>0.02</v>
      </c>
      <c r="G12" s="271">
        <v>0.02</v>
      </c>
      <c r="H12" s="258">
        <f t="shared" si="1"/>
        <v>0</v>
      </c>
      <c r="I12" s="256">
        <f t="shared" si="2"/>
        <v>0.1422</v>
      </c>
      <c r="J12" s="241"/>
      <c r="L12" s="288"/>
    </row>
    <row r="13" ht="15.75" customHeight="1">
      <c r="A13" s="252"/>
      <c r="B13" s="269">
        <f t="array" ref="B13">+XLOOKUP(C13,'Base de datos'!C:C,'Base de datos'!A:A,"",FALSE)</f>
        <v>4</v>
      </c>
      <c r="C13" s="270" t="s">
        <v>16</v>
      </c>
      <c r="D13" s="275" t="s">
        <v>14</v>
      </c>
      <c r="E13" s="256">
        <f t="array" ref="E13">+XLOOKUP(B13,'Base de datos'!A:A,'Base de datos'!H:H,0)</f>
        <v>4.8165</v>
      </c>
      <c r="F13" s="271">
        <v>0.02</v>
      </c>
      <c r="G13" s="271">
        <v>0.02</v>
      </c>
      <c r="H13" s="258">
        <f t="shared" si="1"/>
        <v>0</v>
      </c>
      <c r="I13" s="256">
        <f t="shared" si="2"/>
        <v>0.09633</v>
      </c>
      <c r="J13" s="241"/>
      <c r="K13" s="250" t="s">
        <v>323</v>
      </c>
      <c r="L13" s="251"/>
      <c r="M13" s="251"/>
    </row>
    <row r="14" ht="15.75" customHeight="1">
      <c r="A14" s="252"/>
      <c r="B14" s="253" t="str">
        <f t="array" ref="B14">+XLOOKUP(C14,'Base de datos'!C:C,'Base de datos'!A:A,"",FALSE)</f>
        <v/>
      </c>
      <c r="C14" s="270"/>
      <c r="D14" s="255" t="s">
        <v>14</v>
      </c>
      <c r="E14" s="256">
        <f t="array" ref="E14">+XLOOKUP(B14,'Base de datos'!A:A,'Base de datos'!H:H,0)</f>
        <v>0</v>
      </c>
      <c r="F14" s="257"/>
      <c r="G14" s="257"/>
      <c r="H14" s="258"/>
      <c r="I14" s="256">
        <f t="shared" si="2"/>
        <v>0</v>
      </c>
      <c r="J14" s="241"/>
      <c r="K14" s="259" t="s">
        <v>324</v>
      </c>
      <c r="L14" s="260">
        <f>L6</f>
        <v>2.187102348</v>
      </c>
      <c r="M14" s="261"/>
    </row>
    <row r="15" ht="15.75" customHeight="1">
      <c r="A15" s="252"/>
      <c r="B15" s="269">
        <f t="array" ref="B15">+XLOOKUP(C15,'Base de datos'!C:C,'Base de datos'!A:A,"",FALSE)</f>
        <v>93</v>
      </c>
      <c r="C15" s="270" t="s">
        <v>114</v>
      </c>
      <c r="D15" s="275" t="s">
        <v>20</v>
      </c>
      <c r="E15" s="256">
        <f t="array" ref="E15">+XLOOKUP(B15,'Base de datos'!A:A,'Base de datos'!H:H,0)</f>
        <v>0.0277</v>
      </c>
      <c r="F15" s="271">
        <v>1.0</v>
      </c>
      <c r="G15" s="271">
        <v>1.0</v>
      </c>
      <c r="H15" s="258">
        <f t="shared" ref="H15:H18" si="3">IFERROR(1-G15/F15,"")</f>
        <v>0</v>
      </c>
      <c r="I15" s="256">
        <f t="shared" si="2"/>
        <v>0.0277</v>
      </c>
      <c r="J15" s="241"/>
      <c r="K15" s="267" t="s">
        <v>325</v>
      </c>
      <c r="L15" s="268">
        <v>11.9</v>
      </c>
      <c r="M15" s="261"/>
    </row>
    <row r="16" ht="15.75" customHeight="1">
      <c r="A16" s="252"/>
      <c r="B16" s="269">
        <f t="array" ref="B16">+XLOOKUP(C16,'Base de datos'!C:C,'Base de datos'!A:A,"",FALSE)</f>
        <v>28</v>
      </c>
      <c r="C16" s="270" t="s">
        <v>53</v>
      </c>
      <c r="D16" s="275" t="s">
        <v>20</v>
      </c>
      <c r="E16" s="256">
        <f t="array" ref="E16">+XLOOKUP(B16,'Base de datos'!A:A,'Base de datos'!H:H,0)</f>
        <v>0.1746</v>
      </c>
      <c r="F16" s="271">
        <v>1.0</v>
      </c>
      <c r="G16" s="271">
        <v>1.0</v>
      </c>
      <c r="H16" s="258">
        <f t="shared" si="3"/>
        <v>0</v>
      </c>
      <c r="I16" s="256">
        <f t="shared" si="2"/>
        <v>0.1746</v>
      </c>
      <c r="J16" s="241"/>
      <c r="K16" s="272" t="s">
        <v>326</v>
      </c>
      <c r="L16" s="273">
        <f>L15/1.1</f>
        <v>10.81818182</v>
      </c>
      <c r="M16" s="274"/>
    </row>
    <row r="17" ht="15.75" customHeight="1">
      <c r="A17" s="252"/>
      <c r="B17" s="269">
        <f t="array" ref="B17">+XLOOKUP(C17,'Base de datos'!C:C,'Base de datos'!A:A,"",FALSE)</f>
        <v>58</v>
      </c>
      <c r="C17" s="270" t="s">
        <v>85</v>
      </c>
      <c r="D17" s="255" t="s">
        <v>14</v>
      </c>
      <c r="E17" s="256">
        <f t="array" ref="E17">+XLOOKUP(B17,'Base de datos'!A:A,'Base de datos'!H:H,0)</f>
        <v>2.15</v>
      </c>
      <c r="F17" s="271">
        <v>0.09</v>
      </c>
      <c r="G17" s="257"/>
      <c r="H17" s="258">
        <f t="shared" si="3"/>
        <v>1</v>
      </c>
      <c r="I17" s="256">
        <f t="shared" si="2"/>
        <v>0.1935</v>
      </c>
      <c r="J17" s="241"/>
      <c r="K17" s="276" t="s">
        <v>327</v>
      </c>
      <c r="L17" s="277">
        <v>0.1</v>
      </c>
      <c r="M17" s="278"/>
    </row>
    <row r="18" ht="15.75" customHeight="1">
      <c r="A18" s="252"/>
      <c r="B18" s="269">
        <f t="array" ref="B18">+XLOOKUP(C18,'Base de datos'!C:C,'Base de datos'!A:A,"",FALSE)</f>
        <v>69</v>
      </c>
      <c r="C18" s="270" t="s">
        <v>91</v>
      </c>
      <c r="D18" s="275" t="s">
        <v>20</v>
      </c>
      <c r="E18" s="256">
        <f t="array" ref="E18">+XLOOKUP(B18,'Base de datos'!A:A,'Base de datos'!H:H,0)</f>
        <v>0.07054166667</v>
      </c>
      <c r="F18" s="271">
        <v>1.0</v>
      </c>
      <c r="G18" s="257"/>
      <c r="H18" s="258">
        <f t="shared" si="3"/>
        <v>1</v>
      </c>
      <c r="I18" s="256">
        <f t="shared" si="2"/>
        <v>0.07054166667</v>
      </c>
      <c r="J18" s="241"/>
      <c r="K18" s="279" t="s">
        <v>328</v>
      </c>
      <c r="L18" s="280">
        <f>L14/L16*100</f>
        <v>20.21691246</v>
      </c>
      <c r="M18" s="281" t="s">
        <v>329</v>
      </c>
    </row>
    <row r="19" ht="15.75" customHeight="1">
      <c r="A19" s="240"/>
      <c r="B19" s="240"/>
      <c r="C19" s="241"/>
      <c r="D19" s="242"/>
      <c r="E19" s="243"/>
      <c r="F19" s="244"/>
      <c r="G19" s="244"/>
      <c r="H19" s="241"/>
      <c r="I19" s="241"/>
      <c r="J19" s="241"/>
      <c r="K19" s="285" t="s">
        <v>330</v>
      </c>
      <c r="L19" s="286">
        <f>L16-L14</f>
        <v>8.63107947</v>
      </c>
      <c r="M19" s="287" t="s">
        <v>331</v>
      </c>
    </row>
    <row r="20" ht="15.75" customHeight="1">
      <c r="A20" s="295"/>
      <c r="B20" s="295"/>
      <c r="C20" s="296" t="s">
        <v>337</v>
      </c>
      <c r="D20" s="297"/>
      <c r="E20" s="297"/>
      <c r="F20" s="297"/>
      <c r="G20" s="297"/>
      <c r="H20" s="297"/>
      <c r="I20" s="298"/>
      <c r="J20" s="241"/>
      <c r="K20" s="289" t="s">
        <v>332</v>
      </c>
      <c r="L20" s="290">
        <f>L16-L14-(L15*0.2)</f>
        <v>6.25107947</v>
      </c>
      <c r="M20" s="291" t="s">
        <v>331</v>
      </c>
    </row>
    <row r="21" ht="15.75" customHeight="1">
      <c r="A21" s="299"/>
      <c r="B21" s="299"/>
      <c r="C21" s="300"/>
      <c r="D21" s="297"/>
      <c r="E21" s="297"/>
      <c r="F21" s="297"/>
      <c r="G21" s="297"/>
      <c r="H21" s="297"/>
      <c r="I21" s="298"/>
      <c r="J21" s="241"/>
      <c r="K21" s="289" t="s">
        <v>332</v>
      </c>
      <c r="L21" s="292">
        <f>L20/L16</f>
        <v>0.5778308754</v>
      </c>
      <c r="M21" s="291" t="s">
        <v>329</v>
      </c>
    </row>
    <row r="22" ht="15.75" customHeight="1">
      <c r="A22" s="301"/>
      <c r="B22" s="301"/>
      <c r="C22" s="302"/>
      <c r="I22" s="278"/>
      <c r="J22" s="241"/>
      <c r="K22" s="241"/>
      <c r="L22" s="241"/>
    </row>
    <row r="23" ht="15.75" customHeight="1">
      <c r="A23" s="301"/>
      <c r="B23" s="301"/>
      <c r="C23" s="302"/>
      <c r="I23" s="278"/>
      <c r="J23" s="241"/>
      <c r="K23" s="241"/>
      <c r="L23" s="241"/>
    </row>
    <row r="24" ht="15.75" customHeight="1">
      <c r="A24" s="301"/>
      <c r="B24" s="301"/>
      <c r="C24" s="302"/>
      <c r="I24" s="278"/>
      <c r="J24" s="241"/>
      <c r="K24" s="241"/>
      <c r="L24" s="241"/>
    </row>
    <row r="25" ht="15.75" customHeight="1">
      <c r="A25" s="301"/>
      <c r="B25" s="301"/>
      <c r="C25" s="302"/>
      <c r="I25" s="278"/>
      <c r="J25" s="241"/>
      <c r="K25" s="241"/>
      <c r="L25" s="241"/>
    </row>
    <row r="26" ht="15.75" customHeight="1">
      <c r="A26" s="301"/>
      <c r="B26" s="301"/>
      <c r="C26" s="302"/>
      <c r="I26" s="278"/>
      <c r="J26" s="241"/>
      <c r="K26" s="241"/>
      <c r="L26" s="241"/>
    </row>
    <row r="27" ht="15.75" customHeight="1">
      <c r="A27" s="301"/>
      <c r="B27" s="301"/>
      <c r="C27" s="302"/>
      <c r="I27" s="278"/>
      <c r="J27" s="241"/>
      <c r="K27" s="241"/>
      <c r="L27" s="241"/>
    </row>
    <row r="28" ht="15.75" customHeight="1">
      <c r="A28" s="301"/>
      <c r="B28" s="301"/>
      <c r="C28" s="304"/>
      <c r="D28" s="305"/>
      <c r="E28" s="305"/>
      <c r="F28" s="305"/>
      <c r="G28" s="305"/>
      <c r="H28" s="305"/>
      <c r="I28" s="274"/>
      <c r="J28" s="241"/>
      <c r="K28" s="241"/>
      <c r="L28" s="241"/>
    </row>
    <row r="29" ht="15.75" customHeight="1">
      <c r="A29" s="240"/>
      <c r="B29" s="240"/>
      <c r="C29" s="241"/>
      <c r="D29" s="242"/>
      <c r="E29" s="243"/>
      <c r="F29" s="244"/>
      <c r="G29" s="244"/>
      <c r="H29" s="241"/>
      <c r="I29" s="241"/>
      <c r="J29" s="241"/>
      <c r="K29" s="241"/>
      <c r="L29" s="241"/>
    </row>
    <row r="30" ht="15.75" customHeight="1">
      <c r="A30" s="360"/>
      <c r="B30" s="230"/>
      <c r="C30" s="230"/>
      <c r="D30" s="230"/>
      <c r="E30" s="231"/>
      <c r="F30" s="232"/>
      <c r="G30" s="232"/>
      <c r="H30" s="230"/>
      <c r="I30" s="230"/>
      <c r="J30" s="230"/>
      <c r="K30" s="230"/>
      <c r="L30" s="230"/>
      <c r="M30" s="23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</row>
    <row r="31" ht="15.75" customHeight="1">
      <c r="A31" s="301"/>
      <c r="B31" s="234"/>
      <c r="C31" s="235" t="s">
        <v>313</v>
      </c>
      <c r="D31" s="236" t="s">
        <v>760</v>
      </c>
      <c r="E31" s="237"/>
      <c r="F31" s="237"/>
      <c r="G31" s="237"/>
      <c r="H31" s="237"/>
      <c r="I31" s="237"/>
      <c r="J31" s="238"/>
      <c r="K31" s="231"/>
      <c r="L31" s="230"/>
      <c r="M31" s="233"/>
    </row>
    <row r="32" ht="15.75" customHeight="1">
      <c r="A32" s="301"/>
      <c r="B32" s="239"/>
      <c r="C32" s="230"/>
      <c r="D32" s="230"/>
      <c r="E32" s="231"/>
      <c r="F32" s="232"/>
      <c r="G32" s="232"/>
      <c r="H32" s="230"/>
      <c r="I32" s="230"/>
      <c r="J32" s="230"/>
      <c r="K32" s="230"/>
      <c r="L32" s="230"/>
      <c r="M32" s="233"/>
    </row>
    <row r="33" ht="15.75" customHeight="1">
      <c r="A33" s="301"/>
      <c r="B33" s="240"/>
      <c r="C33" s="241"/>
      <c r="D33" s="242"/>
      <c r="E33" s="243"/>
      <c r="F33" s="244"/>
      <c r="G33" s="244"/>
      <c r="H33" s="241"/>
      <c r="I33" s="241"/>
      <c r="J33" s="241"/>
      <c r="K33" s="241"/>
      <c r="L33" s="241"/>
    </row>
    <row r="34" ht="15.75" customHeight="1">
      <c r="A34" s="301"/>
      <c r="B34" s="246" t="s">
        <v>0</v>
      </c>
      <c r="C34" s="246" t="s">
        <v>315</v>
      </c>
      <c r="D34" s="246" t="s">
        <v>316</v>
      </c>
      <c r="E34" s="247" t="s">
        <v>317</v>
      </c>
      <c r="F34" s="248" t="s">
        <v>318</v>
      </c>
      <c r="G34" s="248" t="s">
        <v>319</v>
      </c>
      <c r="H34" s="246" t="s">
        <v>320</v>
      </c>
      <c r="I34" s="246" t="s">
        <v>321</v>
      </c>
      <c r="J34" s="249"/>
      <c r="K34" s="250" t="s">
        <v>322</v>
      </c>
      <c r="L34" s="475" t="s">
        <v>745</v>
      </c>
      <c r="M34" s="251"/>
    </row>
    <row r="35" ht="15.75" customHeight="1">
      <c r="A35" s="301"/>
      <c r="B35" s="253" t="str">
        <f t="array" ref="B35">+XLOOKUP(C35,'Base de datos'!C:C,'Base de datos'!A:A,"",FALSE)</f>
        <v/>
      </c>
      <c r="C35" s="254"/>
      <c r="D35" s="255" t="s">
        <v>14</v>
      </c>
      <c r="E35" s="256">
        <f t="array" ref="E35">+XLOOKUP(B35,'Base de datos'!A:A,'Base de datos'!H:H,0)</f>
        <v>0</v>
      </c>
      <c r="F35" s="257"/>
      <c r="G35" s="257"/>
      <c r="H35" s="258" t="str">
        <f t="shared" ref="H35:H42" si="4">IFERROR(1-G35/F35,"")</f>
        <v/>
      </c>
      <c r="I35" s="256">
        <f t="shared" ref="I35:I47" si="5">IFERROR(E35*F35,"")</f>
        <v>0</v>
      </c>
      <c r="J35" s="241"/>
      <c r="K35" s="259" t="s">
        <v>324</v>
      </c>
      <c r="L35" s="260">
        <f>SUM(I35:I46)</f>
        <v>2.375473598</v>
      </c>
      <c r="M35" s="261"/>
    </row>
    <row r="36" ht="15.75" customHeight="1">
      <c r="A36" s="301"/>
      <c r="B36" s="262" t="str">
        <f>'BURGER CERO15'!K30</f>
        <v>#REF!</v>
      </c>
      <c r="C36" s="262" t="str">
        <f>'BURGER CERO15'!C30</f>
        <v>#REF!</v>
      </c>
      <c r="D36" s="263" t="s">
        <v>14</v>
      </c>
      <c r="E36" s="264" t="str">
        <f>'BURGER CERO15'!K36</f>
        <v>#REF!</v>
      </c>
      <c r="F36" s="265"/>
      <c r="G36" s="265"/>
      <c r="H36" s="266" t="str">
        <f t="shared" si="4"/>
        <v/>
      </c>
      <c r="I36" s="264" t="str">
        <f t="shared" si="5"/>
        <v/>
      </c>
      <c r="J36" s="241"/>
      <c r="K36" s="267" t="s">
        <v>325</v>
      </c>
      <c r="L36" s="268">
        <v>8.0</v>
      </c>
      <c r="M36" s="261"/>
    </row>
    <row r="37" ht="15.75" customHeight="1">
      <c r="A37" s="301"/>
      <c r="B37" s="269">
        <f t="array" ref="B37">+XLOOKUP(C37,'Base de datos'!C:C,'Base de datos'!A:A,"",FALSE)</f>
        <v>12</v>
      </c>
      <c r="C37" s="270" t="s">
        <v>30</v>
      </c>
      <c r="D37" s="255" t="s">
        <v>14</v>
      </c>
      <c r="E37" s="256">
        <f t="array" ref="E37">+XLOOKUP(B37,'Base de datos'!A:A,'Base de datos'!H:H,0)</f>
        <v>8.181818182</v>
      </c>
      <c r="F37" s="271">
        <v>0.12</v>
      </c>
      <c r="G37" s="271">
        <v>0.12</v>
      </c>
      <c r="H37" s="258">
        <f t="shared" si="4"/>
        <v>0</v>
      </c>
      <c r="I37" s="256">
        <f t="shared" si="5"/>
        <v>0.9818181818</v>
      </c>
      <c r="J37" s="241"/>
      <c r="K37" s="272" t="s">
        <v>326</v>
      </c>
      <c r="L37" s="273">
        <f>L36/1.1</f>
        <v>7.272727273</v>
      </c>
      <c r="M37" s="274"/>
    </row>
    <row r="38" ht="15.75" customHeight="1">
      <c r="A38" s="301"/>
      <c r="B38" s="269">
        <f t="array" ref="B38">+XLOOKUP(C38,'Base de datos'!C:C,'Base de datos'!A:A,"",FALSE)</f>
        <v>46</v>
      </c>
      <c r="C38" s="270" t="s">
        <v>78</v>
      </c>
      <c r="D38" s="275" t="s">
        <v>20</v>
      </c>
      <c r="E38" s="256">
        <f t="array" ref="E38">+XLOOKUP(B38,'Base de datos'!A:A,'Base de datos'!H:H,0)</f>
        <v>0.3558541667</v>
      </c>
      <c r="F38" s="271">
        <v>1.0</v>
      </c>
      <c r="G38" s="271">
        <v>1.0</v>
      </c>
      <c r="H38" s="258">
        <f t="shared" si="4"/>
        <v>0</v>
      </c>
      <c r="I38" s="256">
        <f t="shared" si="5"/>
        <v>0.3558541667</v>
      </c>
      <c r="J38" s="241"/>
      <c r="K38" s="276" t="s">
        <v>327</v>
      </c>
      <c r="L38" s="277">
        <v>0.1</v>
      </c>
      <c r="M38" s="278"/>
    </row>
    <row r="39" ht="15.75" customHeight="1">
      <c r="A39" s="301"/>
      <c r="B39" s="253" t="str">
        <f t="array" ref="B39">+XLOOKUP(C39,'Base de datos'!C:C,'Base de datos'!A:A,"",FALSE)</f>
        <v/>
      </c>
      <c r="C39" s="270"/>
      <c r="D39" s="275" t="s">
        <v>14</v>
      </c>
      <c r="E39" s="256">
        <f t="array" ref="E39">+XLOOKUP(B39,'Base de datos'!A:A,'Base de datos'!H:H,0)</f>
        <v>0</v>
      </c>
      <c r="F39" s="271">
        <v>0.01</v>
      </c>
      <c r="G39" s="271">
        <v>0.01</v>
      </c>
      <c r="H39" s="258">
        <f t="shared" si="4"/>
        <v>0</v>
      </c>
      <c r="I39" s="256">
        <f t="shared" si="5"/>
        <v>0</v>
      </c>
      <c r="J39" s="241"/>
      <c r="K39" s="279" t="s">
        <v>328</v>
      </c>
      <c r="L39" s="280">
        <f>L35/L37*100</f>
        <v>32.66276198</v>
      </c>
      <c r="M39" s="281" t="s">
        <v>329</v>
      </c>
    </row>
    <row r="40" ht="15.75" customHeight="1">
      <c r="A40" s="301"/>
      <c r="B40" s="269">
        <f t="array" ref="B40">+XLOOKUP(C40,'Base de datos'!C:C,'Base de datos'!A:A,"",FALSE)</f>
        <v>21</v>
      </c>
      <c r="C40" s="270" t="s">
        <v>44</v>
      </c>
      <c r="D40" s="275" t="s">
        <v>14</v>
      </c>
      <c r="E40" s="256">
        <f t="array" ref="E40">+XLOOKUP(B40,'Base de datos'!A:A,'Base de datos'!H:H,0)</f>
        <v>8.56</v>
      </c>
      <c r="F40" s="271">
        <v>0.02</v>
      </c>
      <c r="G40" s="271">
        <v>0.02</v>
      </c>
      <c r="H40" s="258">
        <f t="shared" si="4"/>
        <v>0</v>
      </c>
      <c r="I40" s="256">
        <f t="shared" si="5"/>
        <v>0.1712</v>
      </c>
      <c r="J40" s="241"/>
      <c r="K40" s="282" t="s">
        <v>330</v>
      </c>
      <c r="L40" s="283">
        <f>100-L39</f>
        <v>67.33723802</v>
      </c>
      <c r="M40" s="284" t="s">
        <v>329</v>
      </c>
    </row>
    <row r="41" ht="15.75" customHeight="1">
      <c r="A41" s="240"/>
      <c r="B41" s="269">
        <f t="array" ref="B41">+XLOOKUP(C41,'Base de datos'!C:C,'Base de datos'!A:A,"",FALSE)</f>
        <v>78</v>
      </c>
      <c r="C41" s="270" t="s">
        <v>99</v>
      </c>
      <c r="D41" s="255" t="s">
        <v>14</v>
      </c>
      <c r="E41" s="256">
        <f t="array" ref="E41">+XLOOKUP(B41,'Base de datos'!A:A,'Base de datos'!H:H,0)</f>
        <v>8.321583333</v>
      </c>
      <c r="F41" s="271">
        <v>0.045</v>
      </c>
      <c r="G41" s="271">
        <v>0.045</v>
      </c>
      <c r="H41" s="258">
        <f t="shared" si="4"/>
        <v>0</v>
      </c>
      <c r="I41" s="256">
        <f t="shared" si="5"/>
        <v>0.37447125</v>
      </c>
      <c r="J41" s="241"/>
      <c r="L41" s="288"/>
    </row>
    <row r="42" ht="15.75" customHeight="1">
      <c r="A42" s="295"/>
      <c r="B42" s="269">
        <f t="array" ref="B42">+XLOOKUP(C42,'Base de datos'!C:C,'Base de datos'!A:A,"",FALSE)</f>
        <v>4</v>
      </c>
      <c r="C42" s="270" t="s">
        <v>16</v>
      </c>
      <c r="D42" s="275" t="s">
        <v>14</v>
      </c>
      <c r="E42" s="256">
        <f t="array" ref="E42">+XLOOKUP(B42,'Base de datos'!A:A,'Base de datos'!H:H,0)</f>
        <v>4.8165</v>
      </c>
      <c r="F42" s="271">
        <v>0.02</v>
      </c>
      <c r="G42" s="271">
        <v>0.02</v>
      </c>
      <c r="H42" s="258">
        <f t="shared" si="4"/>
        <v>0</v>
      </c>
      <c r="I42" s="256">
        <f t="shared" si="5"/>
        <v>0.09633</v>
      </c>
      <c r="J42" s="241"/>
      <c r="K42" s="250" t="s">
        <v>323</v>
      </c>
      <c r="L42" s="251"/>
      <c r="M42" s="251"/>
    </row>
    <row r="43" ht="15.75" customHeight="1">
      <c r="A43" s="299"/>
      <c r="B43" s="253" t="str">
        <f t="array" ref="B43">+XLOOKUP(C43,'Base de datos'!C:C,'Base de datos'!A:A,"",FALSE)</f>
        <v/>
      </c>
      <c r="C43" s="270"/>
      <c r="D43" s="255" t="s">
        <v>14</v>
      </c>
      <c r="E43" s="256">
        <f t="array" ref="E43">+XLOOKUP(B43,'Base de datos'!A:A,'Base de datos'!H:H,0)</f>
        <v>0</v>
      </c>
      <c r="F43" s="257"/>
      <c r="G43" s="257"/>
      <c r="H43" s="258"/>
      <c r="I43" s="256">
        <f t="shared" si="5"/>
        <v>0</v>
      </c>
      <c r="J43" s="241"/>
      <c r="K43" s="259" t="s">
        <v>324</v>
      </c>
      <c r="L43" s="260">
        <f>L35</f>
        <v>2.375473598</v>
      </c>
      <c r="M43" s="261"/>
    </row>
    <row r="44" ht="15.75" customHeight="1">
      <c r="A44" s="301"/>
      <c r="B44" s="269">
        <f t="array" ref="B44">+XLOOKUP(C44,'Base de datos'!C:C,'Base de datos'!A:A,"",FALSE)</f>
        <v>93</v>
      </c>
      <c r="C44" s="270" t="s">
        <v>114</v>
      </c>
      <c r="D44" s="275" t="s">
        <v>20</v>
      </c>
      <c r="E44" s="256">
        <f t="array" ref="E44">+XLOOKUP(B44,'Base de datos'!A:A,'Base de datos'!H:H,0)</f>
        <v>0.0277</v>
      </c>
      <c r="F44" s="271">
        <v>1.0</v>
      </c>
      <c r="G44" s="271">
        <v>1.0</v>
      </c>
      <c r="H44" s="258">
        <f t="shared" ref="H44:H47" si="6">IFERROR(1-G44/F44,"")</f>
        <v>0</v>
      </c>
      <c r="I44" s="256">
        <f t="shared" si="5"/>
        <v>0.0277</v>
      </c>
      <c r="J44" s="241"/>
      <c r="K44" s="267" t="s">
        <v>325</v>
      </c>
      <c r="L44" s="268">
        <v>11.9</v>
      </c>
      <c r="M44" s="261"/>
    </row>
    <row r="45" ht="15.75" customHeight="1">
      <c r="A45" s="301"/>
      <c r="B45" s="269">
        <f t="array" ref="B45">+XLOOKUP(C45,'Base de datos'!C:C,'Base de datos'!A:A,"",FALSE)</f>
        <v>28</v>
      </c>
      <c r="C45" s="270" t="s">
        <v>53</v>
      </c>
      <c r="D45" s="275" t="s">
        <v>20</v>
      </c>
      <c r="E45" s="256">
        <f t="array" ref="E45">+XLOOKUP(B45,'Base de datos'!A:A,'Base de datos'!H:H,0)</f>
        <v>0.1746</v>
      </c>
      <c r="F45" s="271">
        <v>1.0</v>
      </c>
      <c r="G45" s="271">
        <v>1.0</v>
      </c>
      <c r="H45" s="258">
        <f t="shared" si="6"/>
        <v>0</v>
      </c>
      <c r="I45" s="256">
        <f t="shared" si="5"/>
        <v>0.1746</v>
      </c>
      <c r="J45" s="241"/>
      <c r="K45" s="272" t="s">
        <v>326</v>
      </c>
      <c r="L45" s="273">
        <f>L44/1.1</f>
        <v>10.81818182</v>
      </c>
      <c r="M45" s="274"/>
    </row>
    <row r="46" ht="15.75" customHeight="1">
      <c r="A46" s="301"/>
      <c r="B46" s="269">
        <f t="array" ref="B46">+XLOOKUP(C46,'Base de datos'!C:C,'Base de datos'!A:A,"",FALSE)</f>
        <v>58</v>
      </c>
      <c r="C46" s="270" t="s">
        <v>85</v>
      </c>
      <c r="D46" s="255" t="s">
        <v>14</v>
      </c>
      <c r="E46" s="256">
        <f t="array" ref="E46">+XLOOKUP(B46,'Base de datos'!A:A,'Base de datos'!H:H,0)</f>
        <v>2.15</v>
      </c>
      <c r="F46" s="271">
        <v>0.09</v>
      </c>
      <c r="G46" s="257"/>
      <c r="H46" s="258">
        <f t="shared" si="6"/>
        <v>1</v>
      </c>
      <c r="I46" s="256">
        <f t="shared" si="5"/>
        <v>0.1935</v>
      </c>
      <c r="J46" s="241"/>
      <c r="K46" s="276" t="s">
        <v>327</v>
      </c>
      <c r="L46" s="277">
        <v>0.1</v>
      </c>
      <c r="M46" s="278"/>
    </row>
    <row r="47" ht="15.75" customHeight="1">
      <c r="A47" s="301"/>
      <c r="B47" s="269">
        <f t="array" ref="B47">+XLOOKUP(C47,'Base de datos'!C:C,'Base de datos'!A:A,"",FALSE)</f>
        <v>69</v>
      </c>
      <c r="C47" s="270" t="s">
        <v>91</v>
      </c>
      <c r="D47" s="275" t="s">
        <v>20</v>
      </c>
      <c r="E47" s="256">
        <f t="array" ref="E47">+XLOOKUP(B47,'Base de datos'!A:A,'Base de datos'!H:H,0)</f>
        <v>0.07054166667</v>
      </c>
      <c r="F47" s="271">
        <v>1.0</v>
      </c>
      <c r="G47" s="257"/>
      <c r="H47" s="258">
        <f t="shared" si="6"/>
        <v>1</v>
      </c>
      <c r="I47" s="256">
        <f t="shared" si="5"/>
        <v>0.07054166667</v>
      </c>
      <c r="J47" s="241"/>
      <c r="K47" s="279" t="s">
        <v>328</v>
      </c>
      <c r="L47" s="280">
        <f>L43/L45*100</f>
        <v>21.95815931</v>
      </c>
      <c r="M47" s="281" t="s">
        <v>329</v>
      </c>
    </row>
    <row r="48" ht="15.75" customHeight="1">
      <c r="A48" s="301"/>
      <c r="B48" s="240"/>
      <c r="C48" s="241"/>
      <c r="D48" s="242"/>
      <c r="E48" s="243"/>
      <c r="F48" s="244"/>
      <c r="G48" s="244"/>
      <c r="H48" s="241"/>
      <c r="I48" s="241"/>
      <c r="J48" s="241"/>
      <c r="K48" s="285" t="s">
        <v>330</v>
      </c>
      <c r="L48" s="286">
        <f>L45-L43</f>
        <v>8.44270822</v>
      </c>
      <c r="M48" s="287" t="s">
        <v>331</v>
      </c>
    </row>
    <row r="49" ht="15.75" customHeight="1">
      <c r="A49" s="307"/>
      <c r="B49" s="295"/>
      <c r="C49" s="296" t="s">
        <v>337</v>
      </c>
      <c r="D49" s="297"/>
      <c r="E49" s="297"/>
      <c r="F49" s="297"/>
      <c r="G49" s="297"/>
      <c r="H49" s="297"/>
      <c r="I49" s="298"/>
      <c r="J49" s="241"/>
      <c r="K49" s="289" t="s">
        <v>332</v>
      </c>
      <c r="L49" s="290">
        <f>L45-L43-(L44*0.2)</f>
        <v>6.06270822</v>
      </c>
      <c r="M49" s="291" t="s">
        <v>331</v>
      </c>
    </row>
    <row r="50" ht="15.75" customHeight="1">
      <c r="A50" s="307"/>
      <c r="B50" s="299"/>
      <c r="C50" s="300"/>
      <c r="D50" s="297"/>
      <c r="E50" s="297"/>
      <c r="F50" s="297"/>
      <c r="G50" s="297"/>
      <c r="H50" s="297"/>
      <c r="I50" s="298"/>
      <c r="J50" s="241"/>
      <c r="K50" s="289" t="s">
        <v>332</v>
      </c>
      <c r="L50" s="292">
        <f>L49/L45</f>
        <v>0.5604184069</v>
      </c>
      <c r="M50" s="291" t="s">
        <v>329</v>
      </c>
    </row>
    <row r="51" ht="15.75" customHeight="1">
      <c r="A51" s="307"/>
      <c r="B51" s="301"/>
      <c r="C51" s="302"/>
      <c r="I51" s="278"/>
      <c r="J51" s="241"/>
      <c r="K51" s="241"/>
      <c r="L51" s="241"/>
    </row>
    <row r="52" ht="15.75" customHeight="1">
      <c r="A52" s="307"/>
      <c r="B52" s="301"/>
      <c r="C52" s="302"/>
      <c r="I52" s="278"/>
      <c r="J52" s="241"/>
      <c r="K52" s="241"/>
      <c r="L52" s="241"/>
    </row>
    <row r="53" ht="15.75" customHeight="1">
      <c r="A53" s="307"/>
      <c r="B53" s="301"/>
      <c r="C53" s="302"/>
      <c r="I53" s="278"/>
      <c r="J53" s="241"/>
      <c r="K53" s="241"/>
      <c r="L53" s="241"/>
    </row>
    <row r="54" ht="15.75" customHeight="1">
      <c r="A54" s="307"/>
      <c r="B54" s="301"/>
      <c r="C54" s="302"/>
      <c r="I54" s="278"/>
      <c r="J54" s="241"/>
      <c r="K54" s="241"/>
      <c r="L54" s="241"/>
    </row>
    <row r="55" ht="15.75" customHeight="1">
      <c r="A55" s="307"/>
      <c r="B55" s="301"/>
      <c r="C55" s="302"/>
      <c r="I55" s="278"/>
      <c r="J55" s="241"/>
      <c r="K55" s="241"/>
      <c r="L55" s="241"/>
    </row>
    <row r="56" ht="15.75" customHeight="1">
      <c r="A56" s="307"/>
      <c r="B56" s="301"/>
      <c r="C56" s="302"/>
      <c r="I56" s="278"/>
      <c r="J56" s="241"/>
      <c r="K56" s="241"/>
      <c r="L56" s="241"/>
    </row>
    <row r="57" ht="15.75" customHeight="1">
      <c r="A57" s="307"/>
      <c r="B57" s="301"/>
      <c r="C57" s="304"/>
      <c r="D57" s="305"/>
      <c r="E57" s="305"/>
      <c r="F57" s="305"/>
      <c r="G57" s="305"/>
      <c r="H57" s="305"/>
      <c r="I57" s="274"/>
      <c r="J57" s="241"/>
      <c r="K57" s="241"/>
      <c r="L57" s="241"/>
    </row>
    <row r="58" ht="15.75" customHeight="1">
      <c r="A58" s="307"/>
      <c r="B58" s="307"/>
      <c r="D58" s="308"/>
      <c r="E58" s="309"/>
    </row>
    <row r="59" ht="15.75" customHeight="1">
      <c r="A59" s="307"/>
      <c r="B59" s="230"/>
      <c r="C59" s="230"/>
      <c r="D59" s="230"/>
      <c r="E59" s="231"/>
      <c r="F59" s="232"/>
      <c r="G59" s="232"/>
      <c r="H59" s="230"/>
      <c r="I59" s="230"/>
      <c r="J59" s="230"/>
      <c r="K59" s="230"/>
      <c r="L59" s="230"/>
      <c r="M59" s="233"/>
    </row>
    <row r="60" ht="15.75" customHeight="1">
      <c r="A60" s="307"/>
      <c r="B60" s="234"/>
      <c r="C60" s="235" t="s">
        <v>313</v>
      </c>
      <c r="D60" s="236" t="s">
        <v>761</v>
      </c>
      <c r="E60" s="237"/>
      <c r="F60" s="237"/>
      <c r="G60" s="237"/>
      <c r="H60" s="237"/>
      <c r="I60" s="237"/>
      <c r="J60" s="238"/>
      <c r="K60" s="231"/>
      <c r="L60" s="230"/>
      <c r="M60" s="233"/>
    </row>
    <row r="61" ht="15.75" customHeight="1">
      <c r="A61" s="307"/>
      <c r="B61" s="239"/>
      <c r="C61" s="230"/>
      <c r="D61" s="230"/>
      <c r="E61" s="231"/>
      <c r="F61" s="232"/>
      <c r="G61" s="232"/>
      <c r="H61" s="230"/>
      <c r="I61" s="230"/>
      <c r="J61" s="230"/>
      <c r="K61" s="230"/>
      <c r="L61" s="230"/>
      <c r="M61" s="233"/>
    </row>
    <row r="62" ht="15.75" customHeight="1">
      <c r="A62" s="307"/>
      <c r="B62" s="240"/>
      <c r="C62" s="241"/>
      <c r="D62" s="242"/>
      <c r="E62" s="243"/>
      <c r="F62" s="244"/>
      <c r="G62" s="244"/>
      <c r="H62" s="241"/>
      <c r="I62" s="241"/>
      <c r="J62" s="241"/>
      <c r="K62" s="241"/>
      <c r="L62" s="241"/>
    </row>
    <row r="63" ht="15.75" customHeight="1">
      <c r="A63" s="307"/>
      <c r="B63" s="246" t="s">
        <v>0</v>
      </c>
      <c r="C63" s="246" t="s">
        <v>315</v>
      </c>
      <c r="D63" s="246" t="s">
        <v>316</v>
      </c>
      <c r="E63" s="247" t="s">
        <v>317</v>
      </c>
      <c r="F63" s="248" t="s">
        <v>318</v>
      </c>
      <c r="G63" s="248" t="s">
        <v>319</v>
      </c>
      <c r="H63" s="246" t="s">
        <v>320</v>
      </c>
      <c r="I63" s="246" t="s">
        <v>321</v>
      </c>
      <c r="J63" s="249"/>
      <c r="K63" s="250" t="s">
        <v>322</v>
      </c>
      <c r="L63" s="475" t="s">
        <v>745</v>
      </c>
      <c r="M63" s="251"/>
    </row>
    <row r="64" ht="15.75" customHeight="1">
      <c r="A64" s="307"/>
      <c r="B64" s="253" t="str">
        <f t="array" ref="B64">+XLOOKUP(C64,'Base de datos'!C:C,'Base de datos'!A:A,"",FALSE)</f>
        <v/>
      </c>
      <c r="C64" s="254"/>
      <c r="D64" s="255" t="s">
        <v>14</v>
      </c>
      <c r="E64" s="256">
        <f t="array" ref="E64">+XLOOKUP(B64,'Base de datos'!A:A,'Base de datos'!H:H,0)</f>
        <v>0</v>
      </c>
      <c r="F64" s="257"/>
      <c r="G64" s="257"/>
      <c r="H64" s="258" t="str">
        <f t="shared" ref="H64:H76" si="7">IFERROR(1-G64/F64,"")</f>
        <v/>
      </c>
      <c r="I64" s="256">
        <f t="shared" ref="I64:I76" si="8">IFERROR(E64*F64,"")</f>
        <v>0</v>
      </c>
      <c r="J64" s="241"/>
      <c r="K64" s="259" t="s">
        <v>324</v>
      </c>
      <c r="L64" s="260">
        <f>SUM(I64:I76)</f>
        <v>2.473112436</v>
      </c>
      <c r="M64" s="261"/>
    </row>
    <row r="65" ht="15.75" customHeight="1">
      <c r="A65" s="307"/>
      <c r="B65" s="262" t="str">
        <f>'BURGER CALLEJERA '!K30</f>
        <v>#REF!</v>
      </c>
      <c r="C65" s="262" t="str">
        <f>'BURGER CALLEJERA '!C30</f>
        <v>#REF!</v>
      </c>
      <c r="D65" s="263" t="s">
        <v>14</v>
      </c>
      <c r="E65" s="264" t="str">
        <f>'BURGER CALLEJERA '!K36</f>
        <v>#REF!</v>
      </c>
      <c r="F65" s="265"/>
      <c r="G65" s="265"/>
      <c r="H65" s="266" t="str">
        <f t="shared" si="7"/>
        <v/>
      </c>
      <c r="I65" s="264" t="str">
        <f t="shared" si="8"/>
        <v/>
      </c>
      <c r="J65" s="241"/>
      <c r="K65" s="267" t="s">
        <v>325</v>
      </c>
      <c r="L65" s="268">
        <v>9.9</v>
      </c>
      <c r="M65" s="261"/>
    </row>
    <row r="66" ht="15.75" customHeight="1">
      <c r="A66" s="307"/>
      <c r="B66" s="269">
        <f t="array" ref="B66">+XLOOKUP(C66,'Base de datos'!C:C,'Base de datos'!A:A,"",FALSE)</f>
        <v>12</v>
      </c>
      <c r="C66" s="270" t="s">
        <v>30</v>
      </c>
      <c r="D66" s="255" t="s">
        <v>14</v>
      </c>
      <c r="E66" s="256">
        <f t="array" ref="E66">+XLOOKUP(B66,'Base de datos'!A:A,'Base de datos'!H:H,0)</f>
        <v>8.181818182</v>
      </c>
      <c r="F66" s="271">
        <v>0.12</v>
      </c>
      <c r="G66" s="271">
        <v>0.12</v>
      </c>
      <c r="H66" s="258">
        <f t="shared" si="7"/>
        <v>0</v>
      </c>
      <c r="I66" s="256">
        <f t="shared" si="8"/>
        <v>0.9818181818</v>
      </c>
      <c r="J66" s="241"/>
      <c r="K66" s="272" t="s">
        <v>326</v>
      </c>
      <c r="L66" s="273">
        <f>L65/1.1</f>
        <v>9</v>
      </c>
      <c r="M66" s="274"/>
    </row>
    <row r="67" ht="15.75" customHeight="1">
      <c r="A67" s="307"/>
      <c r="B67" s="269">
        <f t="array" ref="B67">+XLOOKUP(C67,'Base de datos'!C:C,'Base de datos'!A:A,"",FALSE)</f>
        <v>46</v>
      </c>
      <c r="C67" s="270" t="s">
        <v>78</v>
      </c>
      <c r="D67" s="275" t="s">
        <v>20</v>
      </c>
      <c r="E67" s="256">
        <f t="array" ref="E67">+XLOOKUP(B67,'Base de datos'!A:A,'Base de datos'!H:H,0)</f>
        <v>0.3558541667</v>
      </c>
      <c r="F67" s="271">
        <v>1.0</v>
      </c>
      <c r="G67" s="271">
        <v>1.0</v>
      </c>
      <c r="H67" s="258">
        <f t="shared" si="7"/>
        <v>0</v>
      </c>
      <c r="I67" s="256">
        <f t="shared" si="8"/>
        <v>0.3558541667</v>
      </c>
      <c r="J67" s="241"/>
      <c r="K67" s="276" t="s">
        <v>327</v>
      </c>
      <c r="L67" s="277">
        <v>0.1</v>
      </c>
      <c r="M67" s="278"/>
    </row>
    <row r="68" ht="15.75" customHeight="1">
      <c r="A68" s="307"/>
      <c r="B68" s="269">
        <f t="array" ref="B68">+XLOOKUP(C68,'Base de datos'!C:C,'Base de datos'!A:A,"",FALSE)</f>
        <v>131</v>
      </c>
      <c r="C68" s="270" t="s">
        <v>158</v>
      </c>
      <c r="D68" s="275" t="s">
        <v>14</v>
      </c>
      <c r="E68" s="256">
        <f t="array" ref="E68">+XLOOKUP(B68,'Base de datos'!A:A,'Base de datos'!H:H,0)</f>
        <v>1.92</v>
      </c>
      <c r="F68" s="271">
        <v>0.01</v>
      </c>
      <c r="G68" s="271">
        <v>0.01</v>
      </c>
      <c r="H68" s="258">
        <f t="shared" si="7"/>
        <v>0</v>
      </c>
      <c r="I68" s="256">
        <f t="shared" si="8"/>
        <v>0.0192</v>
      </c>
      <c r="J68" s="241"/>
      <c r="K68" s="279" t="s">
        <v>328</v>
      </c>
      <c r="L68" s="280">
        <f>L64/L66*100</f>
        <v>27.47902707</v>
      </c>
      <c r="M68" s="281" t="s">
        <v>329</v>
      </c>
    </row>
    <row r="69" ht="15.75" customHeight="1">
      <c r="A69" s="307"/>
      <c r="B69" s="269">
        <f t="array" ref="B69">+XLOOKUP(C69,'Base de datos'!C:C,'Base de datos'!A:A,"",FALSE)</f>
        <v>22</v>
      </c>
      <c r="C69" s="270" t="s">
        <v>45</v>
      </c>
      <c r="D69" s="275" t="s">
        <v>14</v>
      </c>
      <c r="E69" s="256">
        <f t="array" ref="E69">+XLOOKUP(B69,'Base de datos'!A:A,'Base de datos'!H:H,0)</f>
        <v>7.11</v>
      </c>
      <c r="F69" s="271">
        <v>0.02</v>
      </c>
      <c r="G69" s="271">
        <v>0.02</v>
      </c>
      <c r="H69" s="258">
        <f t="shared" si="7"/>
        <v>0</v>
      </c>
      <c r="I69" s="256">
        <f t="shared" si="8"/>
        <v>0.1422</v>
      </c>
      <c r="J69" s="241"/>
      <c r="K69" s="282" t="s">
        <v>330</v>
      </c>
      <c r="L69" s="283">
        <f>100-L68</f>
        <v>72.52097293</v>
      </c>
      <c r="M69" s="284" t="s">
        <v>329</v>
      </c>
    </row>
    <row r="70" ht="15.75" customHeight="1">
      <c r="A70" s="307"/>
      <c r="B70" s="269">
        <f t="array" ref="B70">+XLOOKUP(C70,'Base de datos'!C:C,'Base de datos'!A:A,"",FALSE)</f>
        <v>4</v>
      </c>
      <c r="C70" s="270" t="s">
        <v>16</v>
      </c>
      <c r="D70" s="255" t="s">
        <v>14</v>
      </c>
      <c r="E70" s="256">
        <f t="array" ref="E70">+XLOOKUP(B70,'Base de datos'!A:A,'Base de datos'!H:H,0)</f>
        <v>4.8165</v>
      </c>
      <c r="F70" s="271">
        <v>0.02</v>
      </c>
      <c r="G70" s="271">
        <v>0.02</v>
      </c>
      <c r="H70" s="258">
        <f t="shared" si="7"/>
        <v>0</v>
      </c>
      <c r="I70" s="256">
        <f t="shared" si="8"/>
        <v>0.09633</v>
      </c>
      <c r="J70" s="241"/>
      <c r="L70" s="288"/>
    </row>
    <row r="71" ht="15.75" customHeight="1">
      <c r="A71" s="307"/>
      <c r="B71" s="269">
        <f t="array" ref="B71">+XLOOKUP(C71,'Base de datos'!C:C,'Base de datos'!A:A,"",FALSE)</f>
        <v>67</v>
      </c>
      <c r="C71" s="270" t="s">
        <v>90</v>
      </c>
      <c r="D71" s="275" t="s">
        <v>14</v>
      </c>
      <c r="E71" s="256">
        <f t="array" ref="E71">+XLOOKUP(B71,'Base de datos'!A:A,'Base de datos'!H:H,0)</f>
        <v>6.047368421</v>
      </c>
      <c r="F71" s="271">
        <v>0.05</v>
      </c>
      <c r="G71" s="271">
        <v>0.05</v>
      </c>
      <c r="H71" s="258">
        <f t="shared" si="7"/>
        <v>0</v>
      </c>
      <c r="I71" s="256">
        <f t="shared" si="8"/>
        <v>0.3023684211</v>
      </c>
      <c r="J71" s="241"/>
      <c r="K71" s="250" t="s">
        <v>323</v>
      </c>
      <c r="L71" s="251"/>
      <c r="M71" s="251"/>
    </row>
    <row r="72" ht="15.75" customHeight="1">
      <c r="A72" s="307"/>
      <c r="B72" s="269">
        <f t="array" ref="B72">+XLOOKUP(C72,'Base de datos'!C:C,'Base de datos'!A:A,"",FALSE)</f>
        <v>84</v>
      </c>
      <c r="C72" s="270" t="s">
        <v>104</v>
      </c>
      <c r="D72" s="275" t="s">
        <v>14</v>
      </c>
      <c r="E72" s="256">
        <f t="array" ref="E72">+XLOOKUP(B72,'Base de datos'!A:A,'Base de datos'!H:H,0)</f>
        <v>5.45</v>
      </c>
      <c r="F72" s="271">
        <v>0.02</v>
      </c>
      <c r="G72" s="271">
        <v>0.02</v>
      </c>
      <c r="H72" s="258">
        <f t="shared" si="7"/>
        <v>0</v>
      </c>
      <c r="I72" s="256">
        <f t="shared" si="8"/>
        <v>0.109</v>
      </c>
      <c r="J72" s="241"/>
      <c r="K72" s="259" t="s">
        <v>324</v>
      </c>
      <c r="L72" s="260">
        <f>L64</f>
        <v>2.473112436</v>
      </c>
      <c r="M72" s="261"/>
    </row>
    <row r="73" ht="15.75" customHeight="1">
      <c r="A73" s="307"/>
      <c r="B73" s="269">
        <f t="array" ref="B73">+XLOOKUP(C73,'Base de datos'!C:C,'Base de datos'!A:A,"",FALSE)</f>
        <v>93</v>
      </c>
      <c r="C73" s="270" t="s">
        <v>114</v>
      </c>
      <c r="D73" s="275" t="s">
        <v>20</v>
      </c>
      <c r="E73" s="256">
        <f t="array" ref="E73">+XLOOKUP(B73,'Base de datos'!A:A,'Base de datos'!H:H,0)</f>
        <v>0.0277</v>
      </c>
      <c r="F73" s="271">
        <v>1.0</v>
      </c>
      <c r="G73" s="271">
        <v>1.0</v>
      </c>
      <c r="H73" s="258">
        <f t="shared" si="7"/>
        <v>0</v>
      </c>
      <c r="I73" s="256">
        <f t="shared" si="8"/>
        <v>0.0277</v>
      </c>
      <c r="J73" s="241"/>
      <c r="K73" s="267" t="s">
        <v>325</v>
      </c>
      <c r="L73" s="268">
        <v>11.9</v>
      </c>
      <c r="M73" s="261"/>
    </row>
    <row r="74" ht="15.75" customHeight="1">
      <c r="A74" s="307"/>
      <c r="B74" s="269">
        <f t="array" ref="B74">+XLOOKUP(C74,'Base de datos'!C:C,'Base de datos'!A:A,"",FALSE)</f>
        <v>28</v>
      </c>
      <c r="C74" s="270" t="s">
        <v>53</v>
      </c>
      <c r="D74" s="275" t="s">
        <v>20</v>
      </c>
      <c r="E74" s="256">
        <f t="array" ref="E74">+XLOOKUP(B74,'Base de datos'!A:A,'Base de datos'!H:H,0)</f>
        <v>0.1746</v>
      </c>
      <c r="F74" s="271">
        <v>1.0</v>
      </c>
      <c r="G74" s="271">
        <v>1.0</v>
      </c>
      <c r="H74" s="258">
        <f t="shared" si="7"/>
        <v>0</v>
      </c>
      <c r="I74" s="256">
        <f t="shared" si="8"/>
        <v>0.1746</v>
      </c>
      <c r="J74" s="241"/>
      <c r="K74" s="272" t="s">
        <v>326</v>
      </c>
      <c r="L74" s="273">
        <f>L73/1.1</f>
        <v>10.81818182</v>
      </c>
      <c r="M74" s="274"/>
    </row>
    <row r="75" ht="15.75" customHeight="1">
      <c r="A75" s="307"/>
      <c r="B75" s="269">
        <f t="array" ref="B75">+XLOOKUP(C75,'Base de datos'!C:C,'Base de datos'!A:A,"",FALSE)</f>
        <v>58</v>
      </c>
      <c r="C75" s="270" t="s">
        <v>85</v>
      </c>
      <c r="D75" s="255" t="s">
        <v>14</v>
      </c>
      <c r="E75" s="256">
        <f t="array" ref="E75">+XLOOKUP(B75,'Base de datos'!A:A,'Base de datos'!H:H,0)</f>
        <v>2.15</v>
      </c>
      <c r="F75" s="271">
        <v>0.09</v>
      </c>
      <c r="G75" s="271">
        <v>0.09</v>
      </c>
      <c r="H75" s="258">
        <f t="shared" si="7"/>
        <v>0</v>
      </c>
      <c r="I75" s="256">
        <f t="shared" si="8"/>
        <v>0.1935</v>
      </c>
      <c r="J75" s="241"/>
      <c r="K75" s="276" t="s">
        <v>327</v>
      </c>
      <c r="L75" s="277">
        <v>0.1</v>
      </c>
      <c r="M75" s="278"/>
    </row>
    <row r="76" ht="15.75" customHeight="1">
      <c r="A76" s="307"/>
      <c r="B76" s="269">
        <f t="array" ref="B76">+XLOOKUP(C76,'Base de datos'!C:C,'Base de datos'!A:A,"",FALSE)</f>
        <v>69</v>
      </c>
      <c r="C76" s="270" t="s">
        <v>91</v>
      </c>
      <c r="D76" s="275" t="s">
        <v>20</v>
      </c>
      <c r="E76" s="256">
        <f t="array" ref="E76">+XLOOKUP(B76,'Base de datos'!A:A,'Base de datos'!H:H,0)</f>
        <v>0.07054166667</v>
      </c>
      <c r="F76" s="271">
        <v>1.0</v>
      </c>
      <c r="G76" s="271">
        <v>1.0</v>
      </c>
      <c r="H76" s="258">
        <f t="shared" si="7"/>
        <v>0</v>
      </c>
      <c r="I76" s="256">
        <f t="shared" si="8"/>
        <v>0.07054166667</v>
      </c>
      <c r="J76" s="241"/>
      <c r="K76" s="279" t="s">
        <v>328</v>
      </c>
      <c r="L76" s="280">
        <f>L72/L74*100</f>
        <v>22.86070319</v>
      </c>
      <c r="M76" s="281" t="s">
        <v>329</v>
      </c>
    </row>
    <row r="77" ht="15.75" customHeight="1">
      <c r="A77" s="307"/>
      <c r="B77" s="240"/>
      <c r="C77" s="241"/>
      <c r="D77" s="242"/>
      <c r="E77" s="243"/>
      <c r="F77" s="244"/>
      <c r="G77" s="244"/>
      <c r="H77" s="241"/>
      <c r="I77" s="241"/>
      <c r="J77" s="241"/>
      <c r="K77" s="285" t="s">
        <v>330</v>
      </c>
      <c r="L77" s="286">
        <f>L74-L72</f>
        <v>8.345069382</v>
      </c>
      <c r="M77" s="287" t="s">
        <v>331</v>
      </c>
    </row>
    <row r="78" ht="15.75" customHeight="1">
      <c r="A78" s="307"/>
      <c r="B78" s="295"/>
      <c r="C78" s="296" t="s">
        <v>337</v>
      </c>
      <c r="D78" s="297"/>
      <c r="E78" s="297"/>
      <c r="F78" s="297"/>
      <c r="G78" s="297"/>
      <c r="H78" s="297"/>
      <c r="I78" s="298"/>
      <c r="J78" s="241"/>
      <c r="K78" s="289" t="s">
        <v>332</v>
      </c>
      <c r="L78" s="290">
        <f>L74-L72-(L73*0.2)</f>
        <v>5.965069382</v>
      </c>
      <c r="M78" s="291" t="s">
        <v>331</v>
      </c>
    </row>
    <row r="79" ht="15.75" customHeight="1">
      <c r="A79" s="307"/>
      <c r="B79" s="299"/>
      <c r="C79" s="300"/>
      <c r="D79" s="297"/>
      <c r="E79" s="297"/>
      <c r="F79" s="297"/>
      <c r="G79" s="297"/>
      <c r="H79" s="297"/>
      <c r="I79" s="298"/>
      <c r="J79" s="241"/>
      <c r="K79" s="289" t="s">
        <v>332</v>
      </c>
      <c r="L79" s="292">
        <f>L78/L74</f>
        <v>0.5513929681</v>
      </c>
      <c r="M79" s="291" t="s">
        <v>329</v>
      </c>
    </row>
    <row r="80" ht="15.75" customHeight="1">
      <c r="A80" s="307"/>
      <c r="B80" s="301"/>
      <c r="C80" s="306" t="s">
        <v>762</v>
      </c>
      <c r="I80" s="278"/>
      <c r="J80" s="241"/>
      <c r="K80" s="241"/>
      <c r="L80" s="241"/>
    </row>
    <row r="81" ht="15.75" customHeight="1">
      <c r="A81" s="307"/>
      <c r="B81" s="301"/>
      <c r="C81" s="302"/>
      <c r="I81" s="278"/>
      <c r="J81" s="241"/>
      <c r="K81" s="241"/>
      <c r="L81" s="241"/>
    </row>
    <row r="82" ht="15.75" customHeight="1">
      <c r="A82" s="307"/>
      <c r="B82" s="301"/>
      <c r="C82" s="468" t="s">
        <v>763</v>
      </c>
      <c r="I82" s="278"/>
      <c r="J82" s="241"/>
      <c r="K82" s="241"/>
      <c r="L82" s="241"/>
    </row>
    <row r="83" ht="15.75" customHeight="1">
      <c r="A83" s="307"/>
      <c r="B83" s="301"/>
      <c r="C83" s="302"/>
      <c r="I83" s="278"/>
      <c r="J83" s="241"/>
      <c r="K83" s="241"/>
      <c r="L83" s="241"/>
    </row>
    <row r="84" ht="15.75" customHeight="1">
      <c r="A84" s="307"/>
      <c r="B84" s="301"/>
      <c r="C84" s="302"/>
      <c r="I84" s="278"/>
      <c r="J84" s="241"/>
      <c r="K84" s="241"/>
      <c r="L84" s="241"/>
    </row>
    <row r="85" ht="15.75" customHeight="1">
      <c r="A85" s="307"/>
      <c r="B85" s="301"/>
      <c r="C85" s="302"/>
      <c r="I85" s="278"/>
      <c r="J85" s="241"/>
      <c r="K85" s="241"/>
      <c r="L85" s="241"/>
    </row>
    <row r="86" ht="15.75" customHeight="1">
      <c r="A86" s="307"/>
      <c r="B86" s="301"/>
      <c r="C86" s="304"/>
      <c r="D86" s="305"/>
      <c r="E86" s="305"/>
      <c r="F86" s="305"/>
      <c r="G86" s="305"/>
      <c r="H86" s="305"/>
      <c r="I86" s="274"/>
      <c r="J86" s="241"/>
      <c r="K86" s="241"/>
      <c r="L86" s="241"/>
    </row>
    <row r="87" ht="15.75" customHeight="1">
      <c r="A87" s="307"/>
      <c r="B87" s="307"/>
      <c r="D87" s="308"/>
      <c r="E87" s="309"/>
    </row>
    <row r="88" ht="15.75" customHeight="1">
      <c r="A88" s="307"/>
      <c r="B88" s="230"/>
      <c r="C88" s="230"/>
      <c r="D88" s="230"/>
      <c r="E88" s="231"/>
      <c r="F88" s="232"/>
      <c r="G88" s="232"/>
      <c r="H88" s="230"/>
      <c r="I88" s="230"/>
      <c r="J88" s="230"/>
      <c r="K88" s="230"/>
      <c r="L88" s="230"/>
      <c r="M88" s="233"/>
    </row>
    <row r="89" ht="15.75" customHeight="1">
      <c r="A89" s="307"/>
      <c r="B89" s="234"/>
      <c r="C89" s="235" t="s">
        <v>313</v>
      </c>
      <c r="D89" s="236" t="s">
        <v>764</v>
      </c>
      <c r="E89" s="237"/>
      <c r="F89" s="237"/>
      <c r="G89" s="237"/>
      <c r="H89" s="237"/>
      <c r="I89" s="237"/>
      <c r="J89" s="238"/>
      <c r="K89" s="231"/>
      <c r="L89" s="230"/>
      <c r="M89" s="233"/>
    </row>
    <row r="90" ht="15.75" customHeight="1">
      <c r="A90" s="307"/>
      <c r="B90" s="239"/>
      <c r="C90" s="230"/>
      <c r="D90" s="230"/>
      <c r="E90" s="231"/>
      <c r="F90" s="232"/>
      <c r="G90" s="232"/>
      <c r="H90" s="230"/>
      <c r="I90" s="230"/>
      <c r="J90" s="230"/>
      <c r="K90" s="230"/>
      <c r="L90" s="230"/>
      <c r="M90" s="233"/>
    </row>
    <row r="91" ht="15.75" customHeight="1">
      <c r="A91" s="307"/>
      <c r="B91" s="240"/>
      <c r="C91" s="241"/>
      <c r="D91" s="242"/>
      <c r="E91" s="243"/>
      <c r="F91" s="244"/>
      <c r="G91" s="244"/>
      <c r="H91" s="241"/>
      <c r="I91" s="241"/>
      <c r="J91" s="241"/>
      <c r="K91" s="241"/>
      <c r="L91" s="241"/>
    </row>
    <row r="92" ht="15.75" customHeight="1">
      <c r="A92" s="307"/>
      <c r="B92" s="246" t="s">
        <v>0</v>
      </c>
      <c r="C92" s="246" t="s">
        <v>315</v>
      </c>
      <c r="D92" s="246" t="s">
        <v>316</v>
      </c>
      <c r="E92" s="247" t="s">
        <v>317</v>
      </c>
      <c r="F92" s="248" t="s">
        <v>318</v>
      </c>
      <c r="G92" s="248" t="s">
        <v>319</v>
      </c>
      <c r="H92" s="246" t="s">
        <v>320</v>
      </c>
      <c r="I92" s="246" t="s">
        <v>321</v>
      </c>
      <c r="J92" s="249"/>
      <c r="K92" s="250" t="s">
        <v>322</v>
      </c>
      <c r="L92" s="251"/>
      <c r="M92" s="251"/>
    </row>
    <row r="93" ht="15.75" customHeight="1">
      <c r="A93" s="307"/>
      <c r="B93" s="253" t="str">
        <f t="array" ref="B93">+XLOOKUP(C93,'Base de datos'!C:C,'Base de datos'!A:A,"",FALSE)</f>
        <v/>
      </c>
      <c r="C93" s="254"/>
      <c r="D93" s="255" t="s">
        <v>14</v>
      </c>
      <c r="E93" s="256">
        <f t="array" ref="E93">+XLOOKUP(B93,'Base de datos'!A:A,'Base de datos'!H:H,0)</f>
        <v>0</v>
      </c>
      <c r="F93" s="257"/>
      <c r="G93" s="257"/>
      <c r="H93" s="258" t="str">
        <f t="shared" ref="H93:H100" si="9">IFERROR(1-G93/F93,"")</f>
        <v/>
      </c>
      <c r="I93" s="256">
        <f t="shared" ref="I93:I105" si="10">IFERROR(E93*F93,"")</f>
        <v>0</v>
      </c>
      <c r="J93" s="241"/>
      <c r="K93" s="259" t="s">
        <v>324</v>
      </c>
      <c r="L93" s="260">
        <f>SUM(I93:I105)</f>
        <v>2.650674821</v>
      </c>
      <c r="M93" s="261"/>
    </row>
    <row r="94" ht="15.75" customHeight="1">
      <c r="A94" s="307"/>
      <c r="B94" s="262" t="str">
        <f>'BURGER BARRIERA'!K30</f>
        <v>#REF!</v>
      </c>
      <c r="C94" s="262" t="str">
        <f>'BURGER BARRIERA'!C30</f>
        <v>#REF!</v>
      </c>
      <c r="D94" s="263" t="s">
        <v>14</v>
      </c>
      <c r="E94" s="264" t="str">
        <f>'BURGER BARRIERA'!K36</f>
        <v>#REF!</v>
      </c>
      <c r="F94" s="265"/>
      <c r="G94" s="265"/>
      <c r="H94" s="266" t="str">
        <f t="shared" si="9"/>
        <v/>
      </c>
      <c r="I94" s="264" t="str">
        <f t="shared" si="10"/>
        <v/>
      </c>
      <c r="J94" s="241"/>
      <c r="K94" s="267" t="s">
        <v>325</v>
      </c>
      <c r="L94" s="268">
        <v>7.0</v>
      </c>
      <c r="M94" s="261"/>
    </row>
    <row r="95" ht="15.75" customHeight="1">
      <c r="A95" s="307"/>
      <c r="B95" s="269">
        <f t="array" ref="B95">+XLOOKUP(C95,'Base de datos'!C:C,'Base de datos'!A:A,"",FALSE)</f>
        <v>12</v>
      </c>
      <c r="C95" s="270" t="s">
        <v>30</v>
      </c>
      <c r="D95" s="255" t="s">
        <v>14</v>
      </c>
      <c r="E95" s="256">
        <f t="array" ref="E95">+XLOOKUP(B95,'Base de datos'!A:A,'Base de datos'!H:H,0)</f>
        <v>8.181818182</v>
      </c>
      <c r="F95" s="271">
        <v>0.16</v>
      </c>
      <c r="G95" s="271">
        <v>0.15</v>
      </c>
      <c r="H95" s="258">
        <f t="shared" si="9"/>
        <v>0.0625</v>
      </c>
      <c r="I95" s="256">
        <f t="shared" si="10"/>
        <v>1.309090909</v>
      </c>
      <c r="J95" s="241"/>
      <c r="K95" s="272" t="s">
        <v>326</v>
      </c>
      <c r="L95" s="273">
        <f>L94/1.1</f>
        <v>6.363636364</v>
      </c>
      <c r="M95" s="274"/>
    </row>
    <row r="96" ht="15.75" customHeight="1">
      <c r="A96" s="307"/>
      <c r="B96" s="269">
        <f t="array" ref="B96">+XLOOKUP(C96,'Base de datos'!C:C,'Base de datos'!A:A,"",FALSE)</f>
        <v>46</v>
      </c>
      <c r="C96" s="270" t="s">
        <v>78</v>
      </c>
      <c r="D96" s="275" t="s">
        <v>20</v>
      </c>
      <c r="E96" s="256">
        <f t="array" ref="E96">+XLOOKUP(B96,'Base de datos'!A:A,'Base de datos'!H:H,0)</f>
        <v>0.3558541667</v>
      </c>
      <c r="F96" s="271">
        <v>1.0</v>
      </c>
      <c r="G96" s="271">
        <v>1.0</v>
      </c>
      <c r="H96" s="258">
        <f t="shared" si="9"/>
        <v>0</v>
      </c>
      <c r="I96" s="256">
        <f t="shared" si="10"/>
        <v>0.3558541667</v>
      </c>
      <c r="J96" s="241"/>
      <c r="K96" s="276" t="s">
        <v>327</v>
      </c>
      <c r="L96" s="277">
        <v>0.1</v>
      </c>
      <c r="M96" s="278"/>
    </row>
    <row r="97" ht="15.75" customHeight="1">
      <c r="A97" s="307"/>
      <c r="B97" s="253" t="str">
        <f t="array" ref="B97">+XLOOKUP(C97,'Base de datos'!C:C,'Base de datos'!A:A,"",FALSE)</f>
        <v/>
      </c>
      <c r="C97" s="270"/>
      <c r="D97" s="275" t="s">
        <v>14</v>
      </c>
      <c r="E97" s="256">
        <f t="array" ref="E97">+XLOOKUP(B97,'Base de datos'!A:A,'Base de datos'!H:H,0)</f>
        <v>0</v>
      </c>
      <c r="F97" s="271">
        <v>0.01</v>
      </c>
      <c r="G97" s="271">
        <v>0.01</v>
      </c>
      <c r="H97" s="258">
        <f t="shared" si="9"/>
        <v>0</v>
      </c>
      <c r="I97" s="256">
        <f t="shared" si="10"/>
        <v>0</v>
      </c>
      <c r="J97" s="241"/>
      <c r="K97" s="279" t="s">
        <v>328</v>
      </c>
      <c r="L97" s="280">
        <f>L93/L95*100</f>
        <v>41.65346148</v>
      </c>
      <c r="M97" s="281" t="s">
        <v>329</v>
      </c>
    </row>
    <row r="98" ht="15.75" customHeight="1">
      <c r="A98" s="307"/>
      <c r="B98" s="269">
        <f t="array" ref="B98">+XLOOKUP(C98,'Base de datos'!C:C,'Base de datos'!A:A,"",FALSE)</f>
        <v>21</v>
      </c>
      <c r="C98" s="270" t="s">
        <v>44</v>
      </c>
      <c r="D98" s="275" t="s">
        <v>14</v>
      </c>
      <c r="E98" s="256">
        <f t="array" ref="E98">+XLOOKUP(B98,'Base de datos'!A:A,'Base de datos'!H:H,0)</f>
        <v>8.56</v>
      </c>
      <c r="F98" s="271">
        <v>0.04</v>
      </c>
      <c r="G98" s="271">
        <v>0.04</v>
      </c>
      <c r="H98" s="258">
        <f t="shared" si="9"/>
        <v>0</v>
      </c>
      <c r="I98" s="256">
        <f t="shared" si="10"/>
        <v>0.3424</v>
      </c>
      <c r="J98" s="241"/>
      <c r="K98" s="282" t="s">
        <v>330</v>
      </c>
      <c r="L98" s="283">
        <f>100-L97</f>
        <v>58.34653852</v>
      </c>
      <c r="M98" s="284" t="s">
        <v>329</v>
      </c>
    </row>
    <row r="99" ht="15.75" customHeight="1">
      <c r="A99" s="307"/>
      <c r="B99" s="269">
        <f t="array" ref="B99">+XLOOKUP(C99,'Base de datos'!C:C,'Base de datos'!A:A,"",FALSE)</f>
        <v>132</v>
      </c>
      <c r="C99" s="270" t="s">
        <v>159</v>
      </c>
      <c r="D99" s="255" t="s">
        <v>14</v>
      </c>
      <c r="E99" s="256">
        <f t="array" ref="E99">+XLOOKUP(B99,'Base de datos'!A:A,'Base de datos'!H:H,0)</f>
        <v>3.014534211</v>
      </c>
      <c r="F99" s="271">
        <v>0.09</v>
      </c>
      <c r="G99" s="271">
        <v>0.09</v>
      </c>
      <c r="H99" s="258">
        <f t="shared" si="9"/>
        <v>0</v>
      </c>
      <c r="I99" s="256">
        <f t="shared" si="10"/>
        <v>0.2713080789</v>
      </c>
      <c r="J99" s="241"/>
      <c r="L99" s="288"/>
    </row>
    <row r="100" ht="15.75" customHeight="1">
      <c r="A100" s="307"/>
      <c r="B100" s="253" t="str">
        <f t="array" ref="B100">+XLOOKUP(C100,'Base de datos'!C:C,'Base de datos'!A:A,"",FALSE)</f>
        <v/>
      </c>
      <c r="C100" s="270"/>
      <c r="D100" s="275" t="s">
        <v>14</v>
      </c>
      <c r="E100" s="256">
        <f t="array" ref="E100">+XLOOKUP(B100,'Base de datos'!A:A,'Base de datos'!H:H,0)</f>
        <v>0</v>
      </c>
      <c r="F100" s="271">
        <v>0.02</v>
      </c>
      <c r="G100" s="271">
        <v>0.02</v>
      </c>
      <c r="H100" s="258">
        <f t="shared" si="9"/>
        <v>0</v>
      </c>
      <c r="I100" s="256">
        <f t="shared" si="10"/>
        <v>0</v>
      </c>
      <c r="J100" s="241"/>
      <c r="K100" s="250" t="s">
        <v>323</v>
      </c>
      <c r="L100" s="251"/>
      <c r="M100" s="251"/>
    </row>
    <row r="101" ht="15.75" customHeight="1">
      <c r="A101" s="307"/>
      <c r="B101" s="253" t="str">
        <f t="array" ref="B101">+XLOOKUP(C101,'Base de datos'!C:C,'Base de datos'!A:A,"",FALSE)</f>
        <v/>
      </c>
      <c r="C101" s="270"/>
      <c r="D101" s="255" t="s">
        <v>14</v>
      </c>
      <c r="E101" s="256">
        <f t="array" ref="E101">+XLOOKUP(B101,'Base de datos'!A:A,'Base de datos'!H:H,0)</f>
        <v>0</v>
      </c>
      <c r="F101" s="257"/>
      <c r="G101" s="257"/>
      <c r="H101" s="258"/>
      <c r="I101" s="256">
        <f t="shared" si="10"/>
        <v>0</v>
      </c>
      <c r="J101" s="241"/>
      <c r="K101" s="259" t="s">
        <v>324</v>
      </c>
      <c r="L101" s="260">
        <f>L93</f>
        <v>2.650674821</v>
      </c>
      <c r="M101" s="261"/>
    </row>
    <row r="102" ht="15.75" customHeight="1">
      <c r="A102" s="307"/>
      <c r="B102" s="269">
        <f t="array" ref="B102">+XLOOKUP(C102,'Base de datos'!C:C,'Base de datos'!A:A,"",FALSE)</f>
        <v>93</v>
      </c>
      <c r="C102" s="270" t="s">
        <v>114</v>
      </c>
      <c r="D102" s="275" t="s">
        <v>20</v>
      </c>
      <c r="E102" s="256">
        <f t="array" ref="E102">+XLOOKUP(B102,'Base de datos'!A:A,'Base de datos'!H:H,0)</f>
        <v>0.0277</v>
      </c>
      <c r="F102" s="271">
        <v>1.0</v>
      </c>
      <c r="G102" s="271">
        <v>1.0</v>
      </c>
      <c r="H102" s="258">
        <f t="shared" ref="H102:H105" si="11">IFERROR(1-G102/F102,"")</f>
        <v>0</v>
      </c>
      <c r="I102" s="256">
        <f t="shared" si="10"/>
        <v>0.0277</v>
      </c>
      <c r="J102" s="241"/>
      <c r="K102" s="267" t="s">
        <v>325</v>
      </c>
      <c r="L102" s="268">
        <v>9.9</v>
      </c>
      <c r="M102" s="261"/>
    </row>
    <row r="103" ht="15.75" customHeight="1">
      <c r="A103" s="307"/>
      <c r="B103" s="269">
        <f t="array" ref="B103">+XLOOKUP(C103,'Base de datos'!C:C,'Base de datos'!A:A,"",FALSE)</f>
        <v>10</v>
      </c>
      <c r="C103" s="270" t="s">
        <v>27</v>
      </c>
      <c r="D103" s="275" t="s">
        <v>20</v>
      </c>
      <c r="E103" s="256">
        <f t="array" ref="E103">+XLOOKUP(B103,'Base de datos'!A:A,'Base de datos'!H:H,0)</f>
        <v>0.08028</v>
      </c>
      <c r="F103" s="271">
        <v>1.0</v>
      </c>
      <c r="G103" s="271">
        <v>1.0</v>
      </c>
      <c r="H103" s="258">
        <f t="shared" si="11"/>
        <v>0</v>
      </c>
      <c r="I103" s="256">
        <f t="shared" si="10"/>
        <v>0.08028</v>
      </c>
      <c r="J103" s="241"/>
      <c r="K103" s="272" t="s">
        <v>326</v>
      </c>
      <c r="L103" s="273">
        <f>L102/1.1</f>
        <v>9</v>
      </c>
      <c r="M103" s="274"/>
    </row>
    <row r="104" ht="15.75" customHeight="1">
      <c r="A104" s="307"/>
      <c r="B104" s="269">
        <f t="array" ref="B104">+XLOOKUP(C104,'Base de datos'!C:C,'Base de datos'!A:A,"",FALSE)</f>
        <v>58</v>
      </c>
      <c r="C104" s="270" t="s">
        <v>85</v>
      </c>
      <c r="D104" s="255" t="s">
        <v>14</v>
      </c>
      <c r="E104" s="256">
        <f t="array" ref="E104">+XLOOKUP(B104,'Base de datos'!A:A,'Base de datos'!H:H,0)</f>
        <v>2.15</v>
      </c>
      <c r="F104" s="271">
        <v>0.09</v>
      </c>
      <c r="G104" s="257"/>
      <c r="H104" s="258">
        <f t="shared" si="11"/>
        <v>1</v>
      </c>
      <c r="I104" s="256">
        <f t="shared" si="10"/>
        <v>0.1935</v>
      </c>
      <c r="J104" s="241"/>
      <c r="K104" s="276" t="s">
        <v>327</v>
      </c>
      <c r="L104" s="277">
        <v>0.1</v>
      </c>
      <c r="M104" s="278"/>
    </row>
    <row r="105" ht="15.75" customHeight="1">
      <c r="A105" s="307"/>
      <c r="B105" s="269">
        <f t="array" ref="B105">+XLOOKUP(C105,'Base de datos'!C:C,'Base de datos'!A:A,"",FALSE)</f>
        <v>69</v>
      </c>
      <c r="C105" s="270" t="s">
        <v>91</v>
      </c>
      <c r="D105" s="275" t="s">
        <v>20</v>
      </c>
      <c r="E105" s="256">
        <f t="array" ref="E105">+XLOOKUP(B105,'Base de datos'!A:A,'Base de datos'!H:H,0)</f>
        <v>0.07054166667</v>
      </c>
      <c r="F105" s="271">
        <v>1.0</v>
      </c>
      <c r="G105" s="257"/>
      <c r="H105" s="258">
        <f t="shared" si="11"/>
        <v>1</v>
      </c>
      <c r="I105" s="256">
        <f t="shared" si="10"/>
        <v>0.07054166667</v>
      </c>
      <c r="J105" s="241"/>
      <c r="K105" s="279" t="s">
        <v>328</v>
      </c>
      <c r="L105" s="280">
        <f>L101/L103*100</f>
        <v>29.45194246</v>
      </c>
      <c r="M105" s="281" t="s">
        <v>329</v>
      </c>
    </row>
    <row r="106" ht="15.75" customHeight="1">
      <c r="A106" s="307"/>
      <c r="B106" s="240"/>
      <c r="C106" s="241"/>
      <c r="D106" s="242"/>
      <c r="E106" s="243"/>
      <c r="F106" s="244"/>
      <c r="G106" s="244"/>
      <c r="H106" s="241"/>
      <c r="I106" s="241"/>
      <c r="J106" s="241"/>
      <c r="K106" s="285" t="s">
        <v>330</v>
      </c>
      <c r="L106" s="286">
        <f>L103-L101</f>
        <v>6.349325179</v>
      </c>
      <c r="M106" s="287" t="s">
        <v>331</v>
      </c>
    </row>
    <row r="107" ht="15.75" customHeight="1">
      <c r="A107" s="307"/>
      <c r="B107" s="295"/>
      <c r="C107" s="296" t="s">
        <v>337</v>
      </c>
      <c r="D107" s="297"/>
      <c r="E107" s="297"/>
      <c r="F107" s="297"/>
      <c r="G107" s="297"/>
      <c r="H107" s="297"/>
      <c r="I107" s="298"/>
      <c r="J107" s="241"/>
      <c r="K107" s="289" t="s">
        <v>332</v>
      </c>
      <c r="L107" s="290">
        <f>L103-L101-(L102*0.2)</f>
        <v>4.369325179</v>
      </c>
      <c r="M107" s="291" t="s">
        <v>331</v>
      </c>
    </row>
    <row r="108" ht="15.75" customHeight="1">
      <c r="A108" s="307"/>
      <c r="B108" s="299"/>
      <c r="C108" s="300"/>
      <c r="D108" s="297"/>
      <c r="E108" s="297"/>
      <c r="F108" s="297"/>
      <c r="G108" s="297"/>
      <c r="H108" s="297"/>
      <c r="I108" s="298"/>
      <c r="J108" s="241"/>
      <c r="K108" s="289" t="s">
        <v>332</v>
      </c>
      <c r="L108" s="292">
        <f>L107/L103</f>
        <v>0.4854805754</v>
      </c>
      <c r="M108" s="291" t="s">
        <v>329</v>
      </c>
    </row>
    <row r="109" ht="15.75" customHeight="1">
      <c r="A109" s="307"/>
      <c r="B109" s="301"/>
      <c r="C109" s="302"/>
      <c r="I109" s="278"/>
      <c r="J109" s="241"/>
      <c r="K109" s="241"/>
      <c r="L109" s="241"/>
    </row>
    <row r="110" ht="15.75" customHeight="1">
      <c r="A110" s="307"/>
      <c r="B110" s="301"/>
      <c r="C110" s="302"/>
      <c r="I110" s="278"/>
      <c r="J110" s="241"/>
      <c r="K110" s="241"/>
      <c r="L110" s="241"/>
    </row>
    <row r="111" ht="15.75" customHeight="1">
      <c r="A111" s="307"/>
      <c r="B111" s="301"/>
      <c r="C111" s="302"/>
      <c r="I111" s="278"/>
      <c r="J111" s="241"/>
      <c r="K111" s="241"/>
      <c r="L111" s="241"/>
    </row>
    <row r="112" ht="15.75" customHeight="1">
      <c r="A112" s="307"/>
      <c r="B112" s="301"/>
      <c r="C112" s="302"/>
      <c r="I112" s="278"/>
      <c r="J112" s="241"/>
      <c r="K112" s="241"/>
      <c r="L112" s="241"/>
    </row>
    <row r="113" ht="15.75" customHeight="1">
      <c r="A113" s="307"/>
      <c r="B113" s="301"/>
      <c r="C113" s="302"/>
      <c r="I113" s="278"/>
      <c r="J113" s="241"/>
      <c r="K113" s="241"/>
      <c r="L113" s="241"/>
    </row>
    <row r="114" ht="15.75" customHeight="1">
      <c r="A114" s="307"/>
      <c r="B114" s="301"/>
      <c r="C114" s="302"/>
      <c r="I114" s="278"/>
      <c r="J114" s="241"/>
      <c r="K114" s="241"/>
      <c r="L114" s="241"/>
    </row>
    <row r="115" ht="15.75" customHeight="1">
      <c r="A115" s="307"/>
      <c r="B115" s="301"/>
      <c r="C115" s="304"/>
      <c r="D115" s="305"/>
      <c r="E115" s="305"/>
      <c r="F115" s="305"/>
      <c r="G115" s="305"/>
      <c r="H115" s="305"/>
      <c r="I115" s="274"/>
      <c r="J115" s="241"/>
      <c r="K115" s="241"/>
      <c r="L115" s="241"/>
    </row>
    <row r="116" ht="15.75" customHeight="1">
      <c r="A116" s="307"/>
      <c r="B116" s="307"/>
      <c r="D116" s="308"/>
      <c r="E116" s="309"/>
    </row>
    <row r="117" ht="15.75" customHeight="1">
      <c r="A117" s="307"/>
      <c r="B117" s="230"/>
      <c r="C117" s="230"/>
      <c r="D117" s="230"/>
      <c r="E117" s="231"/>
      <c r="F117" s="232"/>
      <c r="G117" s="232"/>
      <c r="H117" s="230"/>
      <c r="I117" s="230"/>
      <c r="J117" s="230"/>
      <c r="K117" s="230"/>
      <c r="L117" s="230"/>
      <c r="M117" s="233"/>
    </row>
    <row r="118" ht="15.75" customHeight="1">
      <c r="A118" s="307"/>
      <c r="B118" s="234"/>
      <c r="C118" s="235" t="s">
        <v>313</v>
      </c>
      <c r="D118" s="236" t="s">
        <v>765</v>
      </c>
      <c r="E118" s="237"/>
      <c r="F118" s="237"/>
      <c r="G118" s="237"/>
      <c r="H118" s="237"/>
      <c r="I118" s="237"/>
      <c r="J118" s="238"/>
      <c r="K118" s="231"/>
      <c r="L118" s="230"/>
      <c r="M118" s="233"/>
    </row>
    <row r="119" ht="15.75" customHeight="1">
      <c r="A119" s="307"/>
      <c r="B119" s="239"/>
      <c r="C119" s="230"/>
      <c r="D119" s="230"/>
      <c r="E119" s="231"/>
      <c r="F119" s="232"/>
      <c r="G119" s="232"/>
      <c r="H119" s="230"/>
      <c r="I119" s="230"/>
      <c r="J119" s="230"/>
      <c r="K119" s="230"/>
      <c r="L119" s="230"/>
      <c r="M119" s="233"/>
    </row>
    <row r="120" ht="15.75" customHeight="1">
      <c r="A120" s="307"/>
      <c r="B120" s="240"/>
      <c r="C120" s="241"/>
      <c r="D120" s="242"/>
      <c r="E120" s="243"/>
      <c r="F120" s="244"/>
      <c r="G120" s="244"/>
      <c r="H120" s="241"/>
      <c r="I120" s="241"/>
      <c r="J120" s="241"/>
      <c r="K120" s="241"/>
      <c r="L120" s="241"/>
    </row>
    <row r="121" ht="15.75" customHeight="1">
      <c r="A121" s="307"/>
      <c r="B121" s="246" t="s">
        <v>0</v>
      </c>
      <c r="C121" s="246" t="s">
        <v>315</v>
      </c>
      <c r="D121" s="246" t="s">
        <v>316</v>
      </c>
      <c r="E121" s="247" t="s">
        <v>317</v>
      </c>
      <c r="F121" s="248" t="s">
        <v>318</v>
      </c>
      <c r="G121" s="248" t="s">
        <v>319</v>
      </c>
      <c r="H121" s="246" t="s">
        <v>320</v>
      </c>
      <c r="I121" s="246" t="s">
        <v>321</v>
      </c>
      <c r="J121" s="249"/>
      <c r="K121" s="250" t="s">
        <v>322</v>
      </c>
      <c r="L121" s="251"/>
      <c r="M121" s="251"/>
    </row>
    <row r="122" ht="15.75" customHeight="1">
      <c r="A122" s="307"/>
      <c r="B122" s="253" t="str">
        <f t="array" ref="B122">+XLOOKUP(C122,'Base de datos'!C:C,'Base de datos'!A:A,"",FALSE)</f>
        <v/>
      </c>
      <c r="C122" s="254"/>
      <c r="D122" s="255" t="s">
        <v>14</v>
      </c>
      <c r="E122" s="256">
        <f t="array" ref="E122">+XLOOKUP(B122,'Base de datos'!A:A,'Base de datos'!H:H,0)</f>
        <v>0</v>
      </c>
      <c r="F122" s="257"/>
      <c r="G122" s="257"/>
      <c r="H122" s="258" t="str">
        <f t="shared" ref="H122:H129" si="12">IFERROR(1-G122/F122,"")</f>
        <v/>
      </c>
      <c r="I122" s="256">
        <f t="shared" ref="I122:I134" si="13">IFERROR(E122*F122,"")</f>
        <v>0</v>
      </c>
      <c r="J122" s="241"/>
      <c r="K122" s="259" t="s">
        <v>324</v>
      </c>
      <c r="L122" s="260">
        <f>SUM(I122:I134)</f>
        <v>2.570146742</v>
      </c>
      <c r="M122" s="261"/>
    </row>
    <row r="123" ht="15.75" customHeight="1">
      <c r="A123" s="307"/>
      <c r="B123" s="262" t="str">
        <f>'BURGER KAROL'!K30</f>
        <v>#REF!</v>
      </c>
      <c r="C123" s="262" t="str">
        <f>'BURGER KAROL'!C30</f>
        <v>#REF!</v>
      </c>
      <c r="D123" s="263" t="s">
        <v>14</v>
      </c>
      <c r="E123" s="264" t="str">
        <f>'BURGER KAROL'!K36</f>
        <v>#REF!</v>
      </c>
      <c r="F123" s="265"/>
      <c r="G123" s="265"/>
      <c r="H123" s="266" t="str">
        <f t="shared" si="12"/>
        <v/>
      </c>
      <c r="I123" s="264" t="str">
        <f t="shared" si="13"/>
        <v/>
      </c>
      <c r="J123" s="241"/>
      <c r="K123" s="267" t="s">
        <v>325</v>
      </c>
      <c r="L123" s="268">
        <v>8.0</v>
      </c>
      <c r="M123" s="261"/>
    </row>
    <row r="124" ht="15.75" customHeight="1">
      <c r="A124" s="307"/>
      <c r="B124" s="269">
        <f t="array" ref="B124">+XLOOKUP(C124,'Base de datos'!C:C,'Base de datos'!A:A,"",FALSE)</f>
        <v>12</v>
      </c>
      <c r="C124" s="270" t="s">
        <v>30</v>
      </c>
      <c r="D124" s="255" t="s">
        <v>14</v>
      </c>
      <c r="E124" s="256">
        <f t="array" ref="E124">+XLOOKUP(B124,'Base de datos'!A:A,'Base de datos'!H:H,0)</f>
        <v>8.181818182</v>
      </c>
      <c r="F124" s="271">
        <v>0.16</v>
      </c>
      <c r="G124" s="271">
        <v>0.15</v>
      </c>
      <c r="H124" s="258">
        <f t="shared" si="12"/>
        <v>0.0625</v>
      </c>
      <c r="I124" s="256">
        <f t="shared" si="13"/>
        <v>1.309090909</v>
      </c>
      <c r="J124" s="241"/>
      <c r="K124" s="272" t="s">
        <v>326</v>
      </c>
      <c r="L124" s="273">
        <f>L123/1.1</f>
        <v>7.272727273</v>
      </c>
      <c r="M124" s="274"/>
    </row>
    <row r="125" ht="15.75" customHeight="1">
      <c r="A125" s="307"/>
      <c r="B125" s="269">
        <f t="array" ref="B125">+XLOOKUP(C125,'Base de datos'!C:C,'Base de datos'!A:A,"",FALSE)</f>
        <v>46</v>
      </c>
      <c r="C125" s="270" t="s">
        <v>78</v>
      </c>
      <c r="D125" s="275" t="s">
        <v>20</v>
      </c>
      <c r="E125" s="256">
        <f t="array" ref="E125">+XLOOKUP(B125,'Base de datos'!A:A,'Base de datos'!H:H,0)</f>
        <v>0.3558541667</v>
      </c>
      <c r="F125" s="271">
        <v>1.0</v>
      </c>
      <c r="G125" s="271">
        <v>1.0</v>
      </c>
      <c r="H125" s="258">
        <f t="shared" si="12"/>
        <v>0</v>
      </c>
      <c r="I125" s="256">
        <f t="shared" si="13"/>
        <v>0.3558541667</v>
      </c>
      <c r="J125" s="241"/>
      <c r="K125" s="276" t="s">
        <v>327</v>
      </c>
      <c r="L125" s="277">
        <v>0.1</v>
      </c>
      <c r="M125" s="278"/>
    </row>
    <row r="126" ht="15.75" customHeight="1">
      <c r="A126" s="307"/>
      <c r="B126" s="253" t="str">
        <f t="array" ref="B126">+XLOOKUP(C126,'Base de datos'!C:C,'Base de datos'!A:A,"",FALSE)</f>
        <v/>
      </c>
      <c r="C126" s="270"/>
      <c r="D126" s="275" t="s">
        <v>14</v>
      </c>
      <c r="E126" s="256">
        <f t="array" ref="E126">+XLOOKUP(B126,'Base de datos'!A:A,'Base de datos'!H:H,0)</f>
        <v>0</v>
      </c>
      <c r="F126" s="271">
        <v>0.01</v>
      </c>
      <c r="G126" s="271">
        <v>0.01</v>
      </c>
      <c r="H126" s="258">
        <f t="shared" si="12"/>
        <v>0</v>
      </c>
      <c r="I126" s="256">
        <f t="shared" si="13"/>
        <v>0</v>
      </c>
      <c r="J126" s="241"/>
      <c r="K126" s="279" t="s">
        <v>328</v>
      </c>
      <c r="L126" s="280">
        <f>L122/L124*100</f>
        <v>35.33951771</v>
      </c>
      <c r="M126" s="281" t="s">
        <v>329</v>
      </c>
    </row>
    <row r="127" ht="15.75" customHeight="1">
      <c r="A127" s="307"/>
      <c r="B127" s="269">
        <f t="array" ref="B127">+XLOOKUP(C127,'Base de datos'!C:C,'Base de datos'!A:A,"",FALSE)</f>
        <v>21</v>
      </c>
      <c r="C127" s="270" t="s">
        <v>44</v>
      </c>
      <c r="D127" s="275" t="s">
        <v>14</v>
      </c>
      <c r="E127" s="256">
        <f t="array" ref="E127">+XLOOKUP(B127,'Base de datos'!A:A,'Base de datos'!H:H,0)</f>
        <v>8.56</v>
      </c>
      <c r="F127" s="271">
        <v>0.04</v>
      </c>
      <c r="G127" s="271"/>
      <c r="H127" s="258">
        <f t="shared" si="12"/>
        <v>1</v>
      </c>
      <c r="I127" s="256">
        <f t="shared" si="13"/>
        <v>0.3424</v>
      </c>
      <c r="J127" s="241"/>
      <c r="K127" s="282" t="s">
        <v>330</v>
      </c>
      <c r="L127" s="283">
        <f>100-L126</f>
        <v>64.66048229</v>
      </c>
      <c r="M127" s="284" t="s">
        <v>329</v>
      </c>
    </row>
    <row r="128" ht="15.75" customHeight="1">
      <c r="A128" s="307"/>
      <c r="B128" s="269">
        <f t="array" ref="B128">+XLOOKUP(C128,'Base de datos'!C:C,'Base de datos'!A:A,"",FALSE)</f>
        <v>41</v>
      </c>
      <c r="C128" s="270" t="s">
        <v>72</v>
      </c>
      <c r="D128" s="255" t="s">
        <v>14</v>
      </c>
      <c r="E128" s="256">
        <f t="array" ref="E128">+XLOOKUP(B128,'Base de datos'!A:A,'Base de datos'!H:H,0)</f>
        <v>7.525</v>
      </c>
      <c r="F128" s="271">
        <v>0.01</v>
      </c>
      <c r="G128" s="271"/>
      <c r="H128" s="258">
        <f t="shared" si="12"/>
        <v>1</v>
      </c>
      <c r="I128" s="256">
        <f t="shared" si="13"/>
        <v>0.07525</v>
      </c>
      <c r="J128" s="241"/>
      <c r="L128" s="288"/>
    </row>
    <row r="129" ht="15.75" customHeight="1">
      <c r="A129" s="307"/>
      <c r="B129" s="269">
        <f t="array" ref="B129">+XLOOKUP(C129,'Base de datos'!C:C,'Base de datos'!A:A,"",FALSE)</f>
        <v>131</v>
      </c>
      <c r="C129" s="270" t="s">
        <v>158</v>
      </c>
      <c r="D129" s="275" t="s">
        <v>14</v>
      </c>
      <c r="E129" s="256">
        <f t="array" ref="E129">+XLOOKUP(B129,'Base de datos'!A:A,'Base de datos'!H:H,0)</f>
        <v>1.92</v>
      </c>
      <c r="F129" s="271">
        <v>0.01</v>
      </c>
      <c r="G129" s="271"/>
      <c r="H129" s="258">
        <f t="shared" si="12"/>
        <v>1</v>
      </c>
      <c r="I129" s="256">
        <f t="shared" si="13"/>
        <v>0.0192</v>
      </c>
      <c r="J129" s="241"/>
      <c r="K129" s="250" t="s">
        <v>323</v>
      </c>
      <c r="L129" s="251"/>
      <c r="M129" s="251"/>
    </row>
    <row r="130" ht="15.75" customHeight="1">
      <c r="A130" s="307"/>
      <c r="B130" s="269">
        <f t="array" ref="B130">+XLOOKUP(C130,'Base de datos'!C:C,'Base de datos'!A:A,"",FALSE)</f>
        <v>4</v>
      </c>
      <c r="C130" s="270" t="s">
        <v>16</v>
      </c>
      <c r="D130" s="255" t="s">
        <v>14</v>
      </c>
      <c r="E130" s="256">
        <f t="array" ref="E130">+XLOOKUP(B130,'Base de datos'!A:A,'Base de datos'!H:H,0)</f>
        <v>4.8165</v>
      </c>
      <c r="F130" s="271">
        <v>0.02</v>
      </c>
      <c r="G130" s="257"/>
      <c r="H130" s="258"/>
      <c r="I130" s="256">
        <f t="shared" si="13"/>
        <v>0.09633</v>
      </c>
      <c r="J130" s="241"/>
      <c r="K130" s="259" t="s">
        <v>324</v>
      </c>
      <c r="L130" s="260">
        <f>L122</f>
        <v>2.570146742</v>
      </c>
      <c r="M130" s="261"/>
    </row>
    <row r="131" ht="15.75" customHeight="1">
      <c r="A131" s="307"/>
      <c r="B131" s="269">
        <f t="array" ref="B131">+XLOOKUP(C131,'Base de datos'!C:C,'Base de datos'!A:A,"",FALSE)</f>
        <v>93</v>
      </c>
      <c r="C131" s="270" t="s">
        <v>114</v>
      </c>
      <c r="D131" s="275" t="s">
        <v>20</v>
      </c>
      <c r="E131" s="256">
        <f t="array" ref="E131">+XLOOKUP(B131,'Base de datos'!A:A,'Base de datos'!H:H,0)</f>
        <v>0.0277</v>
      </c>
      <c r="F131" s="271">
        <v>1.0</v>
      </c>
      <c r="G131" s="271">
        <v>1.0</v>
      </c>
      <c r="H131" s="258">
        <f t="shared" ref="H131:H134" si="14">IFERROR(1-G131/F131,"")</f>
        <v>0</v>
      </c>
      <c r="I131" s="256">
        <f t="shared" si="13"/>
        <v>0.0277</v>
      </c>
      <c r="J131" s="241"/>
      <c r="K131" s="267" t="s">
        <v>325</v>
      </c>
      <c r="L131" s="268">
        <v>10.9</v>
      </c>
      <c r="M131" s="261"/>
    </row>
    <row r="132" ht="15.75" customHeight="1">
      <c r="A132" s="307"/>
      <c r="B132" s="269">
        <f t="array" ref="B132">+XLOOKUP(C132,'Base de datos'!C:C,'Base de datos'!A:A,"",FALSE)</f>
        <v>10</v>
      </c>
      <c r="C132" s="270" t="s">
        <v>27</v>
      </c>
      <c r="D132" s="275" t="s">
        <v>20</v>
      </c>
      <c r="E132" s="256">
        <f t="array" ref="E132">+XLOOKUP(B132,'Base de datos'!A:A,'Base de datos'!H:H,0)</f>
        <v>0.08028</v>
      </c>
      <c r="F132" s="271">
        <v>1.0</v>
      </c>
      <c r="G132" s="271">
        <v>1.0</v>
      </c>
      <c r="H132" s="258">
        <f t="shared" si="14"/>
        <v>0</v>
      </c>
      <c r="I132" s="256">
        <f t="shared" si="13"/>
        <v>0.08028</v>
      </c>
      <c r="J132" s="241"/>
      <c r="K132" s="272" t="s">
        <v>326</v>
      </c>
      <c r="L132" s="273">
        <f>L131/1.1</f>
        <v>9.909090909</v>
      </c>
      <c r="M132" s="274"/>
    </row>
    <row r="133" ht="15.75" customHeight="1">
      <c r="A133" s="307"/>
      <c r="B133" s="269">
        <f t="array" ref="B133">+XLOOKUP(C133,'Base de datos'!C:C,'Base de datos'!A:A,"",FALSE)</f>
        <v>58</v>
      </c>
      <c r="C133" s="270" t="s">
        <v>85</v>
      </c>
      <c r="D133" s="255" t="s">
        <v>14</v>
      </c>
      <c r="E133" s="256">
        <f t="array" ref="E133">+XLOOKUP(B133,'Base de datos'!A:A,'Base de datos'!H:H,0)</f>
        <v>2.15</v>
      </c>
      <c r="F133" s="271">
        <v>0.09</v>
      </c>
      <c r="G133" s="257"/>
      <c r="H133" s="258">
        <f t="shared" si="14"/>
        <v>1</v>
      </c>
      <c r="I133" s="256">
        <f t="shared" si="13"/>
        <v>0.1935</v>
      </c>
      <c r="J133" s="241"/>
      <c r="K133" s="276" t="s">
        <v>327</v>
      </c>
      <c r="L133" s="277">
        <v>0.1</v>
      </c>
      <c r="M133" s="278"/>
    </row>
    <row r="134" ht="15.75" customHeight="1">
      <c r="A134" s="307"/>
      <c r="B134" s="269">
        <f t="array" ref="B134">+XLOOKUP(C134,'Base de datos'!C:C,'Base de datos'!A:A,"",FALSE)</f>
        <v>69</v>
      </c>
      <c r="C134" s="270" t="s">
        <v>91</v>
      </c>
      <c r="D134" s="275" t="s">
        <v>20</v>
      </c>
      <c r="E134" s="256">
        <f t="array" ref="E134">+XLOOKUP(B134,'Base de datos'!A:A,'Base de datos'!H:H,0)</f>
        <v>0.07054166667</v>
      </c>
      <c r="F134" s="271">
        <v>1.0</v>
      </c>
      <c r="G134" s="257"/>
      <c r="H134" s="258">
        <f t="shared" si="14"/>
        <v>1</v>
      </c>
      <c r="I134" s="256">
        <f t="shared" si="13"/>
        <v>0.07054166667</v>
      </c>
      <c r="J134" s="241"/>
      <c r="K134" s="279" t="s">
        <v>328</v>
      </c>
      <c r="L134" s="280">
        <f>L130/L132*100</f>
        <v>25.9372607</v>
      </c>
      <c r="M134" s="281" t="s">
        <v>329</v>
      </c>
    </row>
    <row r="135" ht="15.75" customHeight="1">
      <c r="A135" s="307"/>
      <c r="B135" s="240"/>
      <c r="C135" s="241"/>
      <c r="D135" s="242"/>
      <c r="E135" s="243"/>
      <c r="F135" s="244"/>
      <c r="G135" s="244"/>
      <c r="H135" s="241"/>
      <c r="I135" s="241"/>
      <c r="J135" s="241"/>
      <c r="K135" s="285" t="s">
        <v>330</v>
      </c>
      <c r="L135" s="286">
        <f>L132-L130</f>
        <v>7.338944167</v>
      </c>
      <c r="M135" s="287" t="s">
        <v>331</v>
      </c>
    </row>
    <row r="136" ht="15.75" customHeight="1">
      <c r="A136" s="307"/>
      <c r="B136" s="295"/>
      <c r="C136" s="296" t="s">
        <v>337</v>
      </c>
      <c r="D136" s="297"/>
      <c r="E136" s="297"/>
      <c r="F136" s="297"/>
      <c r="G136" s="297"/>
      <c r="H136" s="297"/>
      <c r="I136" s="298"/>
      <c r="J136" s="241"/>
      <c r="K136" s="289" t="s">
        <v>332</v>
      </c>
      <c r="L136" s="290">
        <f>L132-L130-(L131*0.2)</f>
        <v>5.158944167</v>
      </c>
      <c r="M136" s="291" t="s">
        <v>331</v>
      </c>
    </row>
    <row r="137" ht="15.75" customHeight="1">
      <c r="A137" s="307"/>
      <c r="B137" s="299"/>
      <c r="C137" s="300"/>
      <c r="D137" s="297"/>
      <c r="E137" s="297"/>
      <c r="F137" s="297"/>
      <c r="G137" s="297"/>
      <c r="H137" s="297"/>
      <c r="I137" s="298"/>
      <c r="J137" s="241"/>
      <c r="K137" s="289" t="s">
        <v>332</v>
      </c>
      <c r="L137" s="292">
        <f>L136/L132</f>
        <v>0.520627393</v>
      </c>
      <c r="M137" s="291" t="s">
        <v>329</v>
      </c>
    </row>
    <row r="138" ht="15.75" customHeight="1">
      <c r="A138" s="307"/>
      <c r="B138" s="301"/>
      <c r="C138" s="302"/>
      <c r="I138" s="278"/>
      <c r="J138" s="241"/>
      <c r="K138" s="241"/>
      <c r="L138" s="241"/>
    </row>
    <row r="139" ht="15.75" customHeight="1">
      <c r="A139" s="307"/>
      <c r="B139" s="301"/>
      <c r="C139" s="302"/>
      <c r="I139" s="278"/>
      <c r="J139" s="241"/>
      <c r="K139" s="241"/>
      <c r="L139" s="241"/>
    </row>
    <row r="140" ht="15.75" customHeight="1">
      <c r="A140" s="307"/>
      <c r="B140" s="301"/>
      <c r="C140" s="306" t="s">
        <v>339</v>
      </c>
      <c r="I140" s="278"/>
      <c r="J140" s="241"/>
      <c r="K140" s="241"/>
      <c r="L140" s="241"/>
    </row>
    <row r="141" ht="15.75" customHeight="1">
      <c r="A141" s="307"/>
      <c r="B141" s="301"/>
      <c r="C141" s="302"/>
      <c r="I141" s="278"/>
      <c r="J141" s="241"/>
      <c r="K141" s="241"/>
      <c r="L141" s="241"/>
    </row>
    <row r="142" ht="15.75" customHeight="1">
      <c r="A142" s="307"/>
      <c r="B142" s="301"/>
      <c r="C142" s="302"/>
      <c r="I142" s="278"/>
      <c r="J142" s="241"/>
      <c r="K142" s="241"/>
      <c r="L142" s="241"/>
    </row>
    <row r="143" ht="15.75" customHeight="1">
      <c r="A143" s="307"/>
      <c r="B143" s="301"/>
      <c r="C143" s="302"/>
      <c r="I143" s="278"/>
      <c r="J143" s="241"/>
      <c r="K143" s="241"/>
      <c r="L143" s="241"/>
    </row>
    <row r="144" ht="15.75" customHeight="1">
      <c r="A144" s="307"/>
      <c r="B144" s="301"/>
      <c r="C144" s="304"/>
      <c r="D144" s="305"/>
      <c r="E144" s="305"/>
      <c r="F144" s="305"/>
      <c r="G144" s="305"/>
      <c r="H144" s="305"/>
      <c r="I144" s="274"/>
      <c r="J144" s="241"/>
      <c r="K144" s="241"/>
      <c r="L144" s="241"/>
    </row>
    <row r="145" ht="15.75" customHeight="1">
      <c r="A145" s="307"/>
      <c r="B145" s="307"/>
      <c r="D145" s="308"/>
      <c r="E145" s="309"/>
    </row>
    <row r="146" ht="15.75" customHeight="1">
      <c r="A146" s="307"/>
      <c r="B146" s="230"/>
      <c r="C146" s="230"/>
      <c r="D146" s="230"/>
      <c r="E146" s="231"/>
      <c r="F146" s="232"/>
      <c r="G146" s="232"/>
      <c r="H146" s="230"/>
      <c r="I146" s="230"/>
      <c r="J146" s="230"/>
      <c r="K146" s="230"/>
      <c r="L146" s="230"/>
      <c r="M146" s="233"/>
    </row>
    <row r="147" ht="15.75" customHeight="1">
      <c r="A147" s="307"/>
      <c r="B147" s="234"/>
      <c r="C147" s="235" t="s">
        <v>313</v>
      </c>
      <c r="D147" s="236" t="s">
        <v>766</v>
      </c>
      <c r="E147" s="237"/>
      <c r="F147" s="237"/>
      <c r="G147" s="237"/>
      <c r="H147" s="237"/>
      <c r="I147" s="237"/>
      <c r="J147" s="238"/>
      <c r="K147" s="231"/>
      <c r="L147" s="230"/>
      <c r="M147" s="233"/>
    </row>
    <row r="148" ht="15.75" customHeight="1">
      <c r="A148" s="307"/>
      <c r="B148" s="239"/>
      <c r="C148" s="230"/>
      <c r="D148" s="230"/>
      <c r="E148" s="231"/>
      <c r="F148" s="232"/>
      <c r="G148" s="232"/>
      <c r="H148" s="230"/>
      <c r="I148" s="230"/>
      <c r="J148" s="230"/>
      <c r="K148" s="230"/>
      <c r="L148" s="230"/>
      <c r="M148" s="233"/>
    </row>
    <row r="149" ht="15.75" customHeight="1">
      <c r="A149" s="307"/>
      <c r="B149" s="240"/>
      <c r="C149" s="241"/>
      <c r="D149" s="242"/>
      <c r="E149" s="243"/>
      <c r="F149" s="244"/>
      <c r="G149" s="244"/>
      <c r="H149" s="241"/>
      <c r="I149" s="241"/>
      <c r="J149" s="241"/>
      <c r="K149" s="241"/>
      <c r="L149" s="241"/>
    </row>
    <row r="150" ht="15.75" customHeight="1">
      <c r="A150" s="307"/>
      <c r="B150" s="246" t="s">
        <v>0</v>
      </c>
      <c r="C150" s="246" t="s">
        <v>315</v>
      </c>
      <c r="D150" s="246" t="s">
        <v>316</v>
      </c>
      <c r="E150" s="247" t="s">
        <v>317</v>
      </c>
      <c r="F150" s="248" t="s">
        <v>318</v>
      </c>
      <c r="G150" s="248" t="s">
        <v>319</v>
      </c>
      <c r="H150" s="246" t="s">
        <v>320</v>
      </c>
      <c r="I150" s="246" t="s">
        <v>321</v>
      </c>
      <c r="J150" s="249"/>
      <c r="K150" s="250" t="s">
        <v>322</v>
      </c>
      <c r="L150" s="475" t="s">
        <v>745</v>
      </c>
      <c r="M150" s="251"/>
    </row>
    <row r="151" ht="15.75" customHeight="1">
      <c r="A151" s="307"/>
      <c r="B151" s="253" t="str">
        <f t="array" ref="B151">+XLOOKUP(C151,'Base de datos'!C:C,'Base de datos'!A:A,"",FALSE)</f>
        <v/>
      </c>
      <c r="C151" s="254"/>
      <c r="D151" s="255" t="s">
        <v>14</v>
      </c>
      <c r="E151" s="256">
        <f t="array" ref="E151">+XLOOKUP(B151,'Base de datos'!A:A,'Base de datos'!H:H,0)</f>
        <v>0</v>
      </c>
      <c r="F151" s="257"/>
      <c r="G151" s="257"/>
      <c r="H151" s="258" t="str">
        <f t="shared" ref="H151:H163" si="15">IFERROR(1-G151/F151,"")</f>
        <v/>
      </c>
      <c r="I151" s="256">
        <f t="shared" ref="I151:I163" si="16">IFERROR(E151*F151,"")</f>
        <v>0</v>
      </c>
      <c r="J151" s="241"/>
      <c r="K151" s="259" t="s">
        <v>324</v>
      </c>
      <c r="L151" s="260">
        <f>SUM(I151:I163)</f>
        <v>2.205297348</v>
      </c>
      <c r="M151" s="261"/>
    </row>
    <row r="152" ht="15.75" customHeight="1">
      <c r="A152" s="307"/>
      <c r="B152" s="262" t="str">
        <f>'BURGER MAKA'!K30</f>
        <v>#REF!</v>
      </c>
      <c r="C152" s="262" t="str">
        <f>'BURGER MAKA'!C30</f>
        <v>#REF!</v>
      </c>
      <c r="D152" s="263" t="s">
        <v>14</v>
      </c>
      <c r="E152" s="264" t="str">
        <f>'BURGER MAKA'!K36</f>
        <v>#REF!</v>
      </c>
      <c r="F152" s="265"/>
      <c r="G152" s="265"/>
      <c r="H152" s="266" t="str">
        <f t="shared" si="15"/>
        <v/>
      </c>
      <c r="I152" s="264" t="str">
        <f t="shared" si="16"/>
        <v/>
      </c>
      <c r="J152" s="241"/>
      <c r="K152" s="267" t="s">
        <v>325</v>
      </c>
      <c r="L152" s="268">
        <v>9.9</v>
      </c>
      <c r="M152" s="261"/>
    </row>
    <row r="153" ht="15.75" customHeight="1">
      <c r="A153" s="307"/>
      <c r="B153" s="269">
        <f t="array" ref="B153">+XLOOKUP(C153,'Base de datos'!C:C,'Base de datos'!A:A,"",FALSE)</f>
        <v>12</v>
      </c>
      <c r="C153" s="270" t="s">
        <v>30</v>
      </c>
      <c r="D153" s="255" t="s">
        <v>14</v>
      </c>
      <c r="E153" s="256">
        <f t="array" ref="E153">+XLOOKUP(B153,'Base de datos'!A:A,'Base de datos'!H:H,0)</f>
        <v>8.181818182</v>
      </c>
      <c r="F153" s="271">
        <v>0.12</v>
      </c>
      <c r="G153" s="271">
        <v>0.12</v>
      </c>
      <c r="H153" s="258">
        <f t="shared" si="15"/>
        <v>0</v>
      </c>
      <c r="I153" s="256">
        <f t="shared" si="16"/>
        <v>0.9818181818</v>
      </c>
      <c r="J153" s="241"/>
      <c r="K153" s="272" t="s">
        <v>326</v>
      </c>
      <c r="L153" s="273">
        <f>L152/1.1</f>
        <v>9</v>
      </c>
      <c r="M153" s="274"/>
    </row>
    <row r="154" ht="15.75" customHeight="1">
      <c r="A154" s="307"/>
      <c r="B154" s="269">
        <f t="array" ref="B154">+XLOOKUP(C154,'Base de datos'!C:C,'Base de datos'!A:A,"",FALSE)</f>
        <v>46</v>
      </c>
      <c r="C154" s="270" t="s">
        <v>78</v>
      </c>
      <c r="D154" s="275" t="s">
        <v>20</v>
      </c>
      <c r="E154" s="256">
        <f t="array" ref="E154">+XLOOKUP(B154,'Base de datos'!A:A,'Base de datos'!H:H,0)</f>
        <v>0.3558541667</v>
      </c>
      <c r="F154" s="271">
        <v>1.0</v>
      </c>
      <c r="G154" s="271">
        <v>1.0</v>
      </c>
      <c r="H154" s="258">
        <f t="shared" si="15"/>
        <v>0</v>
      </c>
      <c r="I154" s="256">
        <f t="shared" si="16"/>
        <v>0.3558541667</v>
      </c>
      <c r="J154" s="241"/>
      <c r="K154" s="276" t="s">
        <v>327</v>
      </c>
      <c r="L154" s="277">
        <v>0.1</v>
      </c>
      <c r="M154" s="278"/>
    </row>
    <row r="155" ht="15.75" customHeight="1">
      <c r="A155" s="307"/>
      <c r="B155" s="253" t="str">
        <f t="array" ref="B155">+XLOOKUP(C155,'Base de datos'!C:C,'Base de datos'!A:A,"",FALSE)</f>
        <v/>
      </c>
      <c r="C155" s="270"/>
      <c r="D155" s="275" t="s">
        <v>14</v>
      </c>
      <c r="E155" s="256">
        <f t="array" ref="E155">+XLOOKUP(B155,'Base de datos'!A:A,'Base de datos'!H:H,0)</f>
        <v>0</v>
      </c>
      <c r="F155" s="271">
        <v>0.01</v>
      </c>
      <c r="G155" s="271">
        <v>0.01</v>
      </c>
      <c r="H155" s="258">
        <f t="shared" si="15"/>
        <v>0</v>
      </c>
      <c r="I155" s="256">
        <f t="shared" si="16"/>
        <v>0</v>
      </c>
      <c r="J155" s="241"/>
      <c r="K155" s="279" t="s">
        <v>328</v>
      </c>
      <c r="L155" s="280">
        <f>L151/L153*100</f>
        <v>24.50330387</v>
      </c>
      <c r="M155" s="281" t="s">
        <v>329</v>
      </c>
    </row>
    <row r="156" ht="15.75" customHeight="1">
      <c r="A156" s="307"/>
      <c r="B156" s="269">
        <f t="array" ref="B156">+XLOOKUP(C156,'Base de datos'!C:C,'Base de datos'!A:A,"",FALSE)</f>
        <v>21</v>
      </c>
      <c r="C156" s="270" t="s">
        <v>44</v>
      </c>
      <c r="D156" s="275" t="s">
        <v>14</v>
      </c>
      <c r="E156" s="256">
        <f t="array" ref="E156">+XLOOKUP(B156,'Base de datos'!A:A,'Base de datos'!H:H,0)</f>
        <v>8.56</v>
      </c>
      <c r="F156" s="271">
        <v>0.02</v>
      </c>
      <c r="G156" s="271">
        <v>0.02</v>
      </c>
      <c r="H156" s="258">
        <f t="shared" si="15"/>
        <v>0</v>
      </c>
      <c r="I156" s="256">
        <f t="shared" si="16"/>
        <v>0.1712</v>
      </c>
      <c r="J156" s="241"/>
      <c r="K156" s="282" t="s">
        <v>330</v>
      </c>
      <c r="L156" s="283">
        <f>100-L155</f>
        <v>75.49669613</v>
      </c>
      <c r="M156" s="284" t="s">
        <v>329</v>
      </c>
    </row>
    <row r="157" ht="15.75" customHeight="1">
      <c r="A157" s="307"/>
      <c r="B157" s="269">
        <f t="array" ref="B157">+XLOOKUP(C157,'Base de datos'!C:C,'Base de datos'!A:A,"",FALSE)</f>
        <v>41</v>
      </c>
      <c r="C157" s="270" t="s">
        <v>72</v>
      </c>
      <c r="D157" s="255" t="s">
        <v>14</v>
      </c>
      <c r="E157" s="256">
        <f t="array" ref="E157">+XLOOKUP(B157,'Base de datos'!A:A,'Base de datos'!H:H,0)</f>
        <v>7.525</v>
      </c>
      <c r="F157" s="271">
        <v>0.01</v>
      </c>
      <c r="G157" s="271">
        <v>0.01</v>
      </c>
      <c r="H157" s="258">
        <f t="shared" si="15"/>
        <v>0</v>
      </c>
      <c r="I157" s="256">
        <f t="shared" si="16"/>
        <v>0.07525</v>
      </c>
      <c r="J157" s="241"/>
      <c r="L157" s="288"/>
    </row>
    <row r="158" ht="15.75" customHeight="1">
      <c r="A158" s="307"/>
      <c r="B158" s="269">
        <f t="array" ref="B158">+XLOOKUP(C158,'Base de datos'!C:C,'Base de datos'!A:A,"",FALSE)</f>
        <v>26</v>
      </c>
      <c r="C158" s="270" t="s">
        <v>50</v>
      </c>
      <c r="D158" s="275" t="s">
        <v>14</v>
      </c>
      <c r="E158" s="256">
        <f t="array" ref="E158">+XLOOKUP(B158,'Base de datos'!A:A,'Base de datos'!H:H,0)</f>
        <v>7.99</v>
      </c>
      <c r="F158" s="271">
        <v>0.01</v>
      </c>
      <c r="G158" s="271">
        <v>0.01</v>
      </c>
      <c r="H158" s="258">
        <f t="shared" si="15"/>
        <v>0</v>
      </c>
      <c r="I158" s="256">
        <f t="shared" si="16"/>
        <v>0.0799</v>
      </c>
      <c r="J158" s="241"/>
      <c r="K158" s="250" t="s">
        <v>323</v>
      </c>
      <c r="L158" s="251"/>
      <c r="M158" s="251"/>
    </row>
    <row r="159" ht="15.75" customHeight="1">
      <c r="A159" s="307"/>
      <c r="B159" s="269">
        <f t="array" ref="B159">+XLOOKUP(C159,'Base de datos'!C:C,'Base de datos'!A:A,"",FALSE)</f>
        <v>13</v>
      </c>
      <c r="C159" s="270" t="s">
        <v>32</v>
      </c>
      <c r="D159" s="255" t="s">
        <v>14</v>
      </c>
      <c r="E159" s="256">
        <f t="array" ref="E159">+XLOOKUP(B159,'Base de datos'!A:A,'Base de datos'!H:H,0)</f>
        <v>6.244444444</v>
      </c>
      <c r="F159" s="271">
        <v>0.012</v>
      </c>
      <c r="G159" s="271">
        <v>0.012</v>
      </c>
      <c r="H159" s="258">
        <f t="shared" si="15"/>
        <v>0</v>
      </c>
      <c r="I159" s="256">
        <f t="shared" si="16"/>
        <v>0.07493333333</v>
      </c>
      <c r="J159" s="241"/>
      <c r="K159" s="259" t="s">
        <v>324</v>
      </c>
      <c r="L159" s="260">
        <f>L151</f>
        <v>2.205297348</v>
      </c>
      <c r="M159" s="261"/>
    </row>
    <row r="160" ht="15.75" customHeight="1">
      <c r="A160" s="307"/>
      <c r="B160" s="269">
        <f t="array" ref="B160">+XLOOKUP(C160,'Base de datos'!C:C,'Base de datos'!A:A,"",FALSE)</f>
        <v>93</v>
      </c>
      <c r="C160" s="270" t="s">
        <v>114</v>
      </c>
      <c r="D160" s="275" t="s">
        <v>20</v>
      </c>
      <c r="E160" s="256">
        <f t="array" ref="E160">+XLOOKUP(B160,'Base de datos'!A:A,'Base de datos'!H:H,0)</f>
        <v>0.0277</v>
      </c>
      <c r="F160" s="271">
        <v>1.0</v>
      </c>
      <c r="G160" s="271">
        <v>1.0</v>
      </c>
      <c r="H160" s="258">
        <f t="shared" si="15"/>
        <v>0</v>
      </c>
      <c r="I160" s="256">
        <f t="shared" si="16"/>
        <v>0.0277</v>
      </c>
      <c r="J160" s="241"/>
      <c r="K160" s="267" t="s">
        <v>325</v>
      </c>
      <c r="L160" s="268">
        <v>13.0</v>
      </c>
      <c r="M160" s="261"/>
    </row>
    <row r="161" ht="15.75" customHeight="1">
      <c r="A161" s="307"/>
      <c r="B161" s="269">
        <f t="array" ref="B161">+XLOOKUP(C161,'Base de datos'!C:C,'Base de datos'!A:A,"",FALSE)</f>
        <v>28</v>
      </c>
      <c r="C161" s="270" t="s">
        <v>53</v>
      </c>
      <c r="D161" s="275" t="s">
        <v>20</v>
      </c>
      <c r="E161" s="256">
        <f t="array" ref="E161">+XLOOKUP(B161,'Base de datos'!A:A,'Base de datos'!H:H,0)</f>
        <v>0.1746</v>
      </c>
      <c r="F161" s="271">
        <v>1.0</v>
      </c>
      <c r="G161" s="271">
        <v>1.0</v>
      </c>
      <c r="H161" s="258">
        <f t="shared" si="15"/>
        <v>0</v>
      </c>
      <c r="I161" s="256">
        <f t="shared" si="16"/>
        <v>0.1746</v>
      </c>
      <c r="J161" s="241"/>
      <c r="K161" s="272" t="s">
        <v>326</v>
      </c>
      <c r="L161" s="273">
        <f>L160/1.1</f>
        <v>11.81818182</v>
      </c>
      <c r="M161" s="274"/>
    </row>
    <row r="162" ht="15.75" customHeight="1">
      <c r="A162" s="307"/>
      <c r="B162" s="269">
        <f t="array" ref="B162">+XLOOKUP(C162,'Base de datos'!C:C,'Base de datos'!A:A,"",FALSE)</f>
        <v>58</v>
      </c>
      <c r="C162" s="270" t="s">
        <v>85</v>
      </c>
      <c r="D162" s="255" t="s">
        <v>14</v>
      </c>
      <c r="E162" s="256">
        <f t="array" ref="E162">+XLOOKUP(B162,'Base de datos'!A:A,'Base de datos'!H:H,0)</f>
        <v>2.15</v>
      </c>
      <c r="F162" s="271">
        <v>0.09</v>
      </c>
      <c r="G162" s="257"/>
      <c r="H162" s="258">
        <f t="shared" si="15"/>
        <v>1</v>
      </c>
      <c r="I162" s="256">
        <f t="shared" si="16"/>
        <v>0.1935</v>
      </c>
      <c r="J162" s="241"/>
      <c r="K162" s="276" t="s">
        <v>327</v>
      </c>
      <c r="L162" s="277">
        <v>0.1</v>
      </c>
      <c r="M162" s="278"/>
    </row>
    <row r="163" ht="15.75" customHeight="1">
      <c r="A163" s="307"/>
      <c r="B163" s="269">
        <f t="array" ref="B163">+XLOOKUP(C163,'Base de datos'!C:C,'Base de datos'!A:A,"",FALSE)</f>
        <v>69</v>
      </c>
      <c r="C163" s="270" t="s">
        <v>91</v>
      </c>
      <c r="D163" s="275" t="s">
        <v>20</v>
      </c>
      <c r="E163" s="256">
        <f t="array" ref="E163">+XLOOKUP(B163,'Base de datos'!A:A,'Base de datos'!H:H,0)</f>
        <v>0.07054166667</v>
      </c>
      <c r="F163" s="271">
        <v>1.0</v>
      </c>
      <c r="G163" s="257"/>
      <c r="H163" s="258">
        <f t="shared" si="15"/>
        <v>1</v>
      </c>
      <c r="I163" s="256">
        <f t="shared" si="16"/>
        <v>0.07054166667</v>
      </c>
      <c r="J163" s="241"/>
      <c r="K163" s="279" t="s">
        <v>328</v>
      </c>
      <c r="L163" s="280">
        <f>L159/L161*100</f>
        <v>18.66020833</v>
      </c>
      <c r="M163" s="281" t="s">
        <v>329</v>
      </c>
    </row>
    <row r="164" ht="15.75" customHeight="1">
      <c r="A164" s="307"/>
      <c r="B164" s="240"/>
      <c r="C164" s="241"/>
      <c r="D164" s="242"/>
      <c r="E164" s="243"/>
      <c r="F164" s="244"/>
      <c r="G164" s="244"/>
      <c r="H164" s="241"/>
      <c r="I164" s="241"/>
      <c r="J164" s="241"/>
      <c r="K164" s="285" t="s">
        <v>330</v>
      </c>
      <c r="L164" s="286">
        <f>L161-L159</f>
        <v>9.61288447</v>
      </c>
      <c r="M164" s="287" t="s">
        <v>331</v>
      </c>
    </row>
    <row r="165" ht="15.75" customHeight="1">
      <c r="A165" s="307"/>
      <c r="B165" s="295"/>
      <c r="C165" s="296" t="s">
        <v>337</v>
      </c>
      <c r="D165" s="297"/>
      <c r="E165" s="297"/>
      <c r="F165" s="297"/>
      <c r="G165" s="297"/>
      <c r="H165" s="297"/>
      <c r="I165" s="298"/>
      <c r="J165" s="241"/>
      <c r="K165" s="289" t="s">
        <v>332</v>
      </c>
      <c r="L165" s="290">
        <f>L161-L159-(L160*0.2)</f>
        <v>7.01288447</v>
      </c>
      <c r="M165" s="291" t="s">
        <v>331</v>
      </c>
    </row>
    <row r="166" ht="15.75" customHeight="1">
      <c r="A166" s="307"/>
      <c r="B166" s="299"/>
      <c r="C166" s="300"/>
      <c r="D166" s="297"/>
      <c r="E166" s="297"/>
      <c r="F166" s="297"/>
      <c r="G166" s="297"/>
      <c r="H166" s="297"/>
      <c r="I166" s="298"/>
      <c r="J166" s="241"/>
      <c r="K166" s="289" t="s">
        <v>332</v>
      </c>
      <c r="L166" s="292">
        <f>L165/L161</f>
        <v>0.5933979167</v>
      </c>
      <c r="M166" s="291" t="s">
        <v>329</v>
      </c>
    </row>
    <row r="167" ht="15.75" customHeight="1">
      <c r="A167" s="307"/>
      <c r="B167" s="301"/>
      <c r="C167" s="302"/>
      <c r="I167" s="278"/>
      <c r="J167" s="241"/>
    </row>
    <row r="168" ht="15.75" customHeight="1">
      <c r="A168" s="307"/>
      <c r="B168" s="301"/>
      <c r="C168" s="302"/>
      <c r="I168" s="278"/>
      <c r="J168" s="241"/>
      <c r="K168" s="241"/>
      <c r="L168" s="241"/>
    </row>
    <row r="169" ht="15.75" customHeight="1">
      <c r="A169" s="307"/>
      <c r="B169" s="301"/>
      <c r="C169" s="302"/>
      <c r="I169" s="278"/>
      <c r="J169" s="241"/>
      <c r="K169" s="241"/>
      <c r="L169" s="241"/>
    </row>
    <row r="170" ht="15.75" customHeight="1">
      <c r="A170" s="307"/>
      <c r="B170" s="301"/>
      <c r="C170" s="302"/>
      <c r="I170" s="278"/>
      <c r="J170" s="241"/>
      <c r="K170" s="241"/>
      <c r="L170" s="241"/>
    </row>
    <row r="171" ht="15.75" customHeight="1">
      <c r="A171" s="307"/>
      <c r="B171" s="301"/>
      <c r="C171" s="302"/>
      <c r="I171" s="278"/>
      <c r="J171" s="241"/>
      <c r="K171" s="241"/>
      <c r="L171" s="241"/>
    </row>
    <row r="172" ht="15.75" customHeight="1">
      <c r="A172" s="307"/>
      <c r="B172" s="301"/>
      <c r="C172" s="302"/>
      <c r="I172" s="278"/>
      <c r="J172" s="241"/>
      <c r="K172" s="241"/>
      <c r="L172" s="241"/>
    </row>
    <row r="173" ht="15.75" customHeight="1">
      <c r="A173" s="307"/>
      <c r="B173" s="301"/>
      <c r="C173" s="304"/>
      <c r="D173" s="305"/>
      <c r="E173" s="305"/>
      <c r="F173" s="305"/>
      <c r="G173" s="305"/>
      <c r="H173" s="305"/>
      <c r="I173" s="274"/>
      <c r="J173" s="241"/>
      <c r="K173" s="241"/>
      <c r="L173" s="241"/>
    </row>
    <row r="174" ht="15.75" customHeight="1">
      <c r="A174" s="307"/>
      <c r="B174" s="307"/>
      <c r="D174" s="308"/>
      <c r="E174" s="309"/>
    </row>
    <row r="175" ht="15.75" customHeight="1">
      <c r="A175" s="307"/>
      <c r="B175" s="230"/>
      <c r="C175" s="230"/>
      <c r="D175" s="230"/>
      <c r="E175" s="231"/>
      <c r="F175" s="232"/>
      <c r="G175" s="232"/>
      <c r="H175" s="230"/>
      <c r="I175" s="230"/>
      <c r="J175" s="230"/>
      <c r="K175" s="230"/>
      <c r="L175" s="230"/>
      <c r="M175" s="233"/>
    </row>
    <row r="176" ht="15.75" customHeight="1">
      <c r="A176" s="307"/>
      <c r="B176" s="234"/>
      <c r="C176" s="235" t="s">
        <v>313</v>
      </c>
      <c r="D176" s="236" t="s">
        <v>251</v>
      </c>
      <c r="E176" s="237"/>
      <c r="F176" s="237"/>
      <c r="G176" s="237"/>
      <c r="H176" s="237"/>
      <c r="I176" s="237"/>
      <c r="J176" s="238"/>
      <c r="K176" s="231"/>
      <c r="L176" s="230"/>
      <c r="M176" s="233"/>
    </row>
    <row r="177" ht="15.75" customHeight="1">
      <c r="A177" s="307"/>
      <c r="B177" s="239"/>
      <c r="C177" s="230"/>
      <c r="D177" s="230"/>
      <c r="E177" s="231"/>
      <c r="F177" s="232"/>
      <c r="G177" s="232"/>
      <c r="H177" s="230"/>
      <c r="I177" s="230"/>
      <c r="J177" s="230"/>
      <c r="K177" s="230"/>
      <c r="L177" s="230"/>
      <c r="M177" s="233"/>
    </row>
    <row r="178" ht="15.75" customHeight="1">
      <c r="A178" s="307"/>
      <c r="B178" s="240"/>
      <c r="C178" s="241"/>
      <c r="D178" s="242"/>
      <c r="E178" s="243"/>
      <c r="F178" s="244"/>
      <c r="G178" s="244"/>
      <c r="H178" s="241"/>
      <c r="I178" s="241"/>
      <c r="J178" s="241"/>
      <c r="K178" s="241"/>
      <c r="L178" s="241"/>
    </row>
    <row r="179" ht="15.75" customHeight="1">
      <c r="A179" s="307"/>
      <c r="B179" s="246" t="s">
        <v>0</v>
      </c>
      <c r="C179" s="246" t="s">
        <v>315</v>
      </c>
      <c r="D179" s="246" t="s">
        <v>316</v>
      </c>
      <c r="E179" s="247" t="s">
        <v>317</v>
      </c>
      <c r="F179" s="248" t="s">
        <v>318</v>
      </c>
      <c r="G179" s="248" t="s">
        <v>319</v>
      </c>
      <c r="H179" s="246" t="s">
        <v>320</v>
      </c>
      <c r="I179" s="246" t="s">
        <v>321</v>
      </c>
      <c r="J179" s="249"/>
      <c r="K179" s="250" t="s">
        <v>322</v>
      </c>
      <c r="L179" s="251"/>
      <c r="M179" s="251"/>
    </row>
    <row r="180" ht="15.75" customHeight="1">
      <c r="A180" s="307"/>
      <c r="B180" s="269">
        <f t="array" ref="B180">+XLOOKUP(C180,'Base de datos'!C:C,'Base de datos'!A:A,"",FALSE)</f>
        <v>12</v>
      </c>
      <c r="C180" s="270" t="s">
        <v>30</v>
      </c>
      <c r="D180" s="255" t="s">
        <v>14</v>
      </c>
      <c r="E180" s="256">
        <f t="array" ref="E180">+XLOOKUP(B180,'Base de datos'!A:A,'Base de datos'!H:H,0)</f>
        <v>8.181818182</v>
      </c>
      <c r="F180" s="271">
        <v>0.12</v>
      </c>
      <c r="G180" s="271">
        <v>0.12</v>
      </c>
      <c r="H180" s="258">
        <f t="shared" ref="H180:H185" si="17">IFERROR(1-G180/F180,"")</f>
        <v>0</v>
      </c>
      <c r="I180" s="256">
        <f t="shared" ref="I180:I185" si="18">IFERROR(E180*F180,"")</f>
        <v>0.9818181818</v>
      </c>
      <c r="J180" s="241"/>
      <c r="K180" s="259" t="s">
        <v>324</v>
      </c>
      <c r="L180" s="260">
        <f>SUM(I180:I191)</f>
        <v>2.150130317</v>
      </c>
      <c r="M180" s="261"/>
    </row>
    <row r="181" ht="15.75" customHeight="1">
      <c r="A181" s="307"/>
      <c r="B181" s="269">
        <f t="array" ref="B181">+XLOOKUP(C181,'Base de datos'!C:C,'Base de datos'!A:A,"",FALSE)</f>
        <v>46</v>
      </c>
      <c r="C181" s="270" t="s">
        <v>78</v>
      </c>
      <c r="D181" s="275" t="s">
        <v>20</v>
      </c>
      <c r="E181" s="256">
        <f t="array" ref="E181">+XLOOKUP(B181,'Base de datos'!A:A,'Base de datos'!H:H,0)</f>
        <v>0.3558541667</v>
      </c>
      <c r="F181" s="271">
        <v>1.0</v>
      </c>
      <c r="G181" s="271">
        <v>1.0</v>
      </c>
      <c r="H181" s="258">
        <f t="shared" si="17"/>
        <v>0</v>
      </c>
      <c r="I181" s="256">
        <f t="shared" si="18"/>
        <v>0.3558541667</v>
      </c>
      <c r="J181" s="241"/>
      <c r="K181" s="267" t="s">
        <v>325</v>
      </c>
      <c r="L181" s="268">
        <v>10.0</v>
      </c>
      <c r="M181" s="261"/>
    </row>
    <row r="182" ht="15.75" customHeight="1">
      <c r="A182" s="307"/>
      <c r="B182" s="269">
        <f t="array" ref="B182">+XLOOKUP(C182,'Base de datos'!C:C,'Base de datos'!A:A,"",FALSE)</f>
        <v>22</v>
      </c>
      <c r="C182" s="270" t="s">
        <v>45</v>
      </c>
      <c r="D182" s="275" t="s">
        <v>14</v>
      </c>
      <c r="E182" s="256">
        <f t="array" ref="E182">+XLOOKUP(B182,'Base de datos'!A:A,'Base de datos'!H:H,0)</f>
        <v>7.11</v>
      </c>
      <c r="F182" s="271">
        <v>0.02</v>
      </c>
      <c r="G182" s="271">
        <v>0.02</v>
      </c>
      <c r="H182" s="258">
        <f t="shared" si="17"/>
        <v>0</v>
      </c>
      <c r="I182" s="256">
        <f t="shared" si="18"/>
        <v>0.1422</v>
      </c>
      <c r="J182" s="241"/>
      <c r="K182" s="272" t="s">
        <v>326</v>
      </c>
      <c r="L182" s="273">
        <f>L181/1.1</f>
        <v>9.090909091</v>
      </c>
      <c r="M182" s="274"/>
    </row>
    <row r="183" ht="15.75" customHeight="1">
      <c r="A183" s="307"/>
      <c r="B183" s="269">
        <f t="array" ref="B183">+XLOOKUP(C183,'Base de datos'!C:C,'Base de datos'!A:A,"",FALSE)</f>
        <v>136</v>
      </c>
      <c r="C183" s="270" t="s">
        <v>163</v>
      </c>
      <c r="D183" s="275" t="s">
        <v>14</v>
      </c>
      <c r="E183" s="256">
        <f t="array" ref="E183">+XLOOKUP(B183,'Base de datos'!A:A,'Base de datos'!H:H,0)</f>
        <v>4.763324889</v>
      </c>
      <c r="F183" s="271">
        <v>0.02</v>
      </c>
      <c r="G183" s="271">
        <v>0.02</v>
      </c>
      <c r="H183" s="258">
        <f t="shared" si="17"/>
        <v>0</v>
      </c>
      <c r="I183" s="256">
        <f t="shared" si="18"/>
        <v>0.09526649778</v>
      </c>
      <c r="J183" s="241"/>
      <c r="K183" s="276" t="s">
        <v>327</v>
      </c>
      <c r="L183" s="277">
        <v>0.1</v>
      </c>
      <c r="M183" s="278"/>
    </row>
    <row r="184" ht="15.75" customHeight="1">
      <c r="A184" s="307"/>
      <c r="B184" s="269">
        <f t="array" ref="B184">+XLOOKUP(C184,'Base de datos'!C:C,'Base de datos'!A:A,"",FALSE)</f>
        <v>35</v>
      </c>
      <c r="C184" s="270" t="s">
        <v>64</v>
      </c>
      <c r="D184" s="275" t="s">
        <v>20</v>
      </c>
      <c r="E184" s="256">
        <f t="array" ref="E184">+XLOOKUP(B184,'Base de datos'!A:A,'Base de datos'!H:H,0)</f>
        <v>0.145</v>
      </c>
      <c r="F184" s="271">
        <v>1.0</v>
      </c>
      <c r="G184" s="271"/>
      <c r="H184" s="258">
        <f t="shared" si="17"/>
        <v>1</v>
      </c>
      <c r="I184" s="256">
        <f t="shared" si="18"/>
        <v>0.145</v>
      </c>
      <c r="J184" s="241"/>
      <c r="K184" s="279" t="s">
        <v>328</v>
      </c>
      <c r="L184" s="280">
        <f>L180/L182*100</f>
        <v>23.65143349</v>
      </c>
      <c r="M184" s="281" t="s">
        <v>329</v>
      </c>
    </row>
    <row r="185" ht="15.75" customHeight="1">
      <c r="A185" s="307"/>
      <c r="B185" s="269">
        <f t="array" ref="B185">+XLOOKUP(C185,'Base de datos'!C:C,'Base de datos'!A:A,"",FALSE)</f>
        <v>135</v>
      </c>
      <c r="C185" s="270" t="s">
        <v>162</v>
      </c>
      <c r="D185" s="275" t="s">
        <v>14</v>
      </c>
      <c r="E185" s="256">
        <f t="array" ref="E185">+XLOOKUP(B185,'Base de datos'!A:A,'Base de datos'!H:H,0)</f>
        <v>1.709573541</v>
      </c>
      <c r="F185" s="271">
        <v>0.02</v>
      </c>
      <c r="G185" s="271"/>
      <c r="H185" s="258">
        <f t="shared" si="17"/>
        <v>1</v>
      </c>
      <c r="I185" s="256">
        <f t="shared" si="18"/>
        <v>0.03419147082</v>
      </c>
      <c r="J185" s="241"/>
      <c r="K185" s="282" t="s">
        <v>330</v>
      </c>
      <c r="L185" s="283">
        <f>100-L184</f>
        <v>76.34856651</v>
      </c>
      <c r="M185" s="284" t="s">
        <v>329</v>
      </c>
    </row>
    <row r="186" ht="15.75" customHeight="1">
      <c r="A186" s="307"/>
      <c r="B186" s="253"/>
      <c r="C186" s="270"/>
      <c r="D186" s="275"/>
      <c r="E186" s="256"/>
      <c r="F186" s="271"/>
      <c r="G186" s="271"/>
      <c r="H186" s="258"/>
      <c r="I186" s="256"/>
      <c r="J186" s="241"/>
      <c r="L186" s="288"/>
    </row>
    <row r="187" ht="15.75" customHeight="1">
      <c r="A187" s="307"/>
      <c r="B187" s="253"/>
      <c r="C187" s="270"/>
      <c r="D187" s="275"/>
      <c r="E187" s="256"/>
      <c r="F187" s="271"/>
      <c r="G187" s="271"/>
      <c r="H187" s="258"/>
      <c r="I187" s="256"/>
      <c r="J187" s="241"/>
      <c r="K187" s="250" t="s">
        <v>323</v>
      </c>
      <c r="L187" s="251"/>
      <c r="M187" s="251"/>
    </row>
    <row r="188" ht="15.75" customHeight="1">
      <c r="A188" s="307"/>
      <c r="B188" s="253"/>
      <c r="C188" s="270"/>
      <c r="D188" s="255"/>
      <c r="E188" s="256"/>
      <c r="F188" s="271"/>
      <c r="G188" s="271"/>
      <c r="H188" s="258"/>
      <c r="I188" s="256"/>
      <c r="J188" s="241"/>
      <c r="K188" s="259" t="s">
        <v>324</v>
      </c>
      <c r="L188" s="260">
        <f>L180</f>
        <v>2.150130317</v>
      </c>
      <c r="M188" s="261"/>
    </row>
    <row r="189" ht="15.75" customHeight="1">
      <c r="A189" s="307"/>
      <c r="B189" s="269">
        <f t="array" ref="B189">+XLOOKUP(C189,'Base de datos'!C:C,'Base de datos'!A:A,"",FALSE)</f>
        <v>93</v>
      </c>
      <c r="C189" s="270" t="s">
        <v>114</v>
      </c>
      <c r="D189" s="275" t="s">
        <v>20</v>
      </c>
      <c r="E189" s="256">
        <f t="array" ref="E189">+XLOOKUP(B189,'Base de datos'!A:A,'Base de datos'!H:H,0)</f>
        <v>0.0277</v>
      </c>
      <c r="F189" s="271">
        <v>1.0</v>
      </c>
      <c r="G189" s="271">
        <v>1.0</v>
      </c>
      <c r="H189" s="258">
        <f t="shared" ref="H189:H192" si="19">IFERROR(1-G189/F189,"")</f>
        <v>0</v>
      </c>
      <c r="I189" s="256">
        <f t="shared" ref="I189:I192" si="20">IFERROR(E189*F189,"")</f>
        <v>0.0277</v>
      </c>
      <c r="J189" s="241"/>
      <c r="K189" s="267" t="s">
        <v>325</v>
      </c>
      <c r="L189" s="268">
        <v>13.0</v>
      </c>
      <c r="M189" s="261"/>
    </row>
    <row r="190" ht="15.75" customHeight="1">
      <c r="A190" s="307"/>
      <c r="B190" s="269">
        <f t="array" ref="B190">+XLOOKUP(C190,'Base de datos'!C:C,'Base de datos'!A:A,"",FALSE)</f>
        <v>28</v>
      </c>
      <c r="C190" s="270" t="s">
        <v>53</v>
      </c>
      <c r="D190" s="275" t="s">
        <v>20</v>
      </c>
      <c r="E190" s="256">
        <f t="array" ref="E190">+XLOOKUP(B190,'Base de datos'!A:A,'Base de datos'!H:H,0)</f>
        <v>0.1746</v>
      </c>
      <c r="F190" s="271">
        <v>1.0</v>
      </c>
      <c r="G190" s="271">
        <v>1.0</v>
      </c>
      <c r="H190" s="258">
        <f t="shared" si="19"/>
        <v>0</v>
      </c>
      <c r="I190" s="256">
        <f t="shared" si="20"/>
        <v>0.1746</v>
      </c>
      <c r="J190" s="241"/>
      <c r="K190" s="272" t="s">
        <v>326</v>
      </c>
      <c r="L190" s="273">
        <f>L189/1.1</f>
        <v>11.81818182</v>
      </c>
      <c r="M190" s="274"/>
    </row>
    <row r="191" ht="15.75" customHeight="1">
      <c r="A191" s="307"/>
      <c r="B191" s="269">
        <f t="array" ref="B191">+XLOOKUP(C191,'Base de datos'!C:C,'Base de datos'!A:A,"",FALSE)</f>
        <v>58</v>
      </c>
      <c r="C191" s="270" t="s">
        <v>85</v>
      </c>
      <c r="D191" s="255" t="s">
        <v>14</v>
      </c>
      <c r="E191" s="256">
        <f t="array" ref="E191">+XLOOKUP(B191,'Base de datos'!A:A,'Base de datos'!H:H,0)</f>
        <v>2.15</v>
      </c>
      <c r="F191" s="271">
        <v>0.09</v>
      </c>
      <c r="G191" s="257"/>
      <c r="H191" s="258">
        <f t="shared" si="19"/>
        <v>1</v>
      </c>
      <c r="I191" s="256">
        <f t="shared" si="20"/>
        <v>0.1935</v>
      </c>
      <c r="J191" s="241"/>
      <c r="K191" s="276" t="s">
        <v>327</v>
      </c>
      <c r="L191" s="277">
        <v>0.1</v>
      </c>
      <c r="M191" s="278"/>
    </row>
    <row r="192" ht="15.75" customHeight="1">
      <c r="A192" s="307"/>
      <c r="B192" s="269">
        <f t="array" ref="B192">+XLOOKUP(C192,'Base de datos'!C:C,'Base de datos'!A:A,"",FALSE)</f>
        <v>69</v>
      </c>
      <c r="C192" s="270" t="s">
        <v>91</v>
      </c>
      <c r="D192" s="275" t="s">
        <v>20</v>
      </c>
      <c r="E192" s="256">
        <f t="array" ref="E192">+XLOOKUP(B192,'Base de datos'!A:A,'Base de datos'!H:H,0)</f>
        <v>0.07054166667</v>
      </c>
      <c r="F192" s="271">
        <v>1.0</v>
      </c>
      <c r="G192" s="257"/>
      <c r="H192" s="258">
        <f t="shared" si="19"/>
        <v>1</v>
      </c>
      <c r="I192" s="256">
        <f t="shared" si="20"/>
        <v>0.07054166667</v>
      </c>
      <c r="J192" s="241"/>
      <c r="K192" s="279" t="s">
        <v>328</v>
      </c>
      <c r="L192" s="280">
        <f>L188/L190*100</f>
        <v>18.19341038</v>
      </c>
      <c r="M192" s="281" t="s">
        <v>329</v>
      </c>
    </row>
    <row r="193" ht="15.75" customHeight="1">
      <c r="A193" s="307"/>
      <c r="B193" s="240"/>
      <c r="C193" s="241"/>
      <c r="D193" s="242"/>
      <c r="E193" s="243"/>
      <c r="F193" s="244"/>
      <c r="G193" s="244"/>
      <c r="H193" s="241"/>
      <c r="I193" s="241"/>
      <c r="J193" s="241"/>
      <c r="K193" s="285" t="s">
        <v>330</v>
      </c>
      <c r="L193" s="286">
        <f>L190-L188</f>
        <v>9.668051501</v>
      </c>
      <c r="M193" s="287" t="s">
        <v>331</v>
      </c>
    </row>
    <row r="194" ht="15.75" customHeight="1">
      <c r="A194" s="307"/>
      <c r="B194" s="295"/>
      <c r="C194" s="296" t="s">
        <v>337</v>
      </c>
      <c r="D194" s="297"/>
      <c r="E194" s="297"/>
      <c r="F194" s="297"/>
      <c r="G194" s="297"/>
      <c r="H194" s="297"/>
      <c r="I194" s="298"/>
      <c r="J194" s="241"/>
      <c r="K194" s="289" t="s">
        <v>332</v>
      </c>
      <c r="L194" s="290">
        <f>L190-L188-(L189*0.2)</f>
        <v>7.068051501</v>
      </c>
      <c r="M194" s="291" t="s">
        <v>331</v>
      </c>
    </row>
    <row r="195" ht="15.75" customHeight="1">
      <c r="A195" s="307"/>
      <c r="B195" s="299"/>
      <c r="C195" s="385"/>
      <c r="D195" s="297"/>
      <c r="E195" s="297"/>
      <c r="F195" s="297"/>
      <c r="G195" s="297"/>
      <c r="H195" s="297"/>
      <c r="I195" s="298"/>
      <c r="J195" s="241"/>
      <c r="K195" s="289" t="s">
        <v>332</v>
      </c>
      <c r="L195" s="292">
        <f>L194/L190</f>
        <v>0.5980658962</v>
      </c>
      <c r="M195" s="291" t="s">
        <v>329</v>
      </c>
    </row>
    <row r="196" ht="15.75" customHeight="1">
      <c r="A196" s="307"/>
      <c r="B196" s="301"/>
      <c r="C196" s="468"/>
      <c r="I196" s="278"/>
      <c r="J196" s="241"/>
      <c r="K196" s="241"/>
      <c r="L196" s="241"/>
    </row>
    <row r="197" ht="15.75" customHeight="1">
      <c r="A197" s="307"/>
      <c r="B197" s="301"/>
      <c r="C197" s="468"/>
      <c r="I197" s="278"/>
      <c r="J197" s="241"/>
      <c r="K197" s="241"/>
      <c r="L197" s="241"/>
    </row>
    <row r="198" ht="15.75" customHeight="1">
      <c r="A198" s="307"/>
      <c r="B198" s="301"/>
      <c r="C198" s="302"/>
      <c r="I198" s="278"/>
      <c r="J198" s="241"/>
      <c r="K198" s="241"/>
      <c r="L198" s="241"/>
    </row>
    <row r="199" ht="15.75" customHeight="1">
      <c r="A199" s="307"/>
      <c r="B199" s="301"/>
      <c r="C199" s="302"/>
      <c r="I199" s="278"/>
      <c r="J199" s="241"/>
      <c r="K199" s="241"/>
      <c r="L199" s="241"/>
    </row>
    <row r="200" ht="15.75" customHeight="1">
      <c r="A200" s="307"/>
      <c r="B200" s="301"/>
      <c r="C200" s="302"/>
      <c r="I200" s="278"/>
      <c r="J200" s="241"/>
      <c r="K200" s="241"/>
      <c r="L200" s="241"/>
    </row>
    <row r="201" ht="15.75" customHeight="1">
      <c r="A201" s="307"/>
      <c r="B201" s="301"/>
      <c r="C201" s="302"/>
      <c r="I201" s="278"/>
      <c r="J201" s="241"/>
      <c r="K201" s="241"/>
      <c r="L201" s="241"/>
    </row>
    <row r="202" ht="15.75" customHeight="1">
      <c r="A202" s="307"/>
      <c r="B202" s="301"/>
      <c r="C202" s="304"/>
      <c r="D202" s="305"/>
      <c r="E202" s="305"/>
      <c r="F202" s="305"/>
      <c r="G202" s="305"/>
      <c r="H202" s="305"/>
      <c r="I202" s="274"/>
      <c r="J202" s="241"/>
      <c r="K202" s="241"/>
      <c r="L202" s="241"/>
    </row>
    <row r="203" ht="15.75" customHeight="1">
      <c r="A203" s="307"/>
      <c r="B203" s="307"/>
      <c r="D203" s="308"/>
      <c r="E203" s="309"/>
    </row>
    <row r="204" ht="15.75" customHeight="1">
      <c r="A204" s="307"/>
      <c r="B204" s="230"/>
      <c r="C204" s="230"/>
      <c r="D204" s="230"/>
      <c r="E204" s="231"/>
      <c r="F204" s="232"/>
      <c r="G204" s="232"/>
      <c r="H204" s="230"/>
      <c r="I204" s="230"/>
      <c r="J204" s="230"/>
      <c r="K204" s="230"/>
      <c r="L204" s="230"/>
      <c r="M204" s="233"/>
    </row>
    <row r="205" ht="15.75" customHeight="1">
      <c r="A205" s="307"/>
      <c r="B205" s="234"/>
      <c r="C205" s="235" t="s">
        <v>313</v>
      </c>
      <c r="D205" s="236" t="s">
        <v>767</v>
      </c>
      <c r="E205" s="237"/>
      <c r="F205" s="237"/>
      <c r="G205" s="237"/>
      <c r="H205" s="237"/>
      <c r="I205" s="237"/>
      <c r="J205" s="238"/>
      <c r="K205" s="231"/>
      <c r="L205" s="230"/>
      <c r="M205" s="233"/>
    </row>
    <row r="206" ht="15.75" customHeight="1">
      <c r="A206" s="307"/>
      <c r="B206" s="239"/>
      <c r="C206" s="230"/>
      <c r="D206" s="230"/>
      <c r="E206" s="231"/>
      <c r="F206" s="232"/>
      <c r="G206" s="232"/>
      <c r="H206" s="230"/>
      <c r="I206" s="230"/>
      <c r="J206" s="230"/>
      <c r="K206" s="230"/>
      <c r="L206" s="230"/>
      <c r="M206" s="233"/>
    </row>
    <row r="207" ht="15.75" customHeight="1">
      <c r="A207" s="307"/>
      <c r="B207" s="240"/>
      <c r="C207" s="241"/>
      <c r="D207" s="242"/>
      <c r="E207" s="243"/>
      <c r="F207" s="244"/>
      <c r="G207" s="244"/>
      <c r="H207" s="241"/>
      <c r="I207" s="241"/>
      <c r="J207" s="241"/>
      <c r="K207" s="241"/>
      <c r="L207" s="241"/>
    </row>
    <row r="208" ht="15.75" customHeight="1">
      <c r="A208" s="307"/>
      <c r="B208" s="246" t="s">
        <v>0</v>
      </c>
      <c r="C208" s="246" t="s">
        <v>315</v>
      </c>
      <c r="D208" s="246" t="s">
        <v>316</v>
      </c>
      <c r="E208" s="247" t="s">
        <v>317</v>
      </c>
      <c r="F208" s="248" t="s">
        <v>318</v>
      </c>
      <c r="G208" s="248" t="s">
        <v>319</v>
      </c>
      <c r="H208" s="246" t="s">
        <v>320</v>
      </c>
      <c r="I208" s="246" t="s">
        <v>321</v>
      </c>
      <c r="J208" s="249"/>
      <c r="K208" s="250" t="s">
        <v>322</v>
      </c>
      <c r="L208" s="475" t="s">
        <v>745</v>
      </c>
      <c r="M208" s="251"/>
    </row>
    <row r="209" ht="15.75" customHeight="1">
      <c r="A209" s="307"/>
      <c r="B209" s="269">
        <f t="array" ref="B209">+XLOOKUP(C209,'Base de datos'!C:C,'Base de datos'!A:A,"",FALSE)</f>
        <v>12</v>
      </c>
      <c r="C209" s="270" t="s">
        <v>30</v>
      </c>
      <c r="D209" s="255" t="s">
        <v>14</v>
      </c>
      <c r="E209" s="256">
        <f t="array" ref="E209">+XLOOKUP(B209,'Base de datos'!A:A,'Base de datos'!H:H,0)</f>
        <v>8.181818182</v>
      </c>
      <c r="F209" s="271">
        <v>0.12</v>
      </c>
      <c r="G209" s="271">
        <v>0.12</v>
      </c>
      <c r="H209" s="258">
        <f t="shared" ref="H209:H215" si="21">IFERROR(1-G209/F209,"")</f>
        <v>0</v>
      </c>
      <c r="I209" s="256">
        <f t="shared" ref="I209:I215" si="22">IFERROR(E209*F209,"")</f>
        <v>0.9818181818</v>
      </c>
      <c r="J209" s="241"/>
      <c r="K209" s="259" t="s">
        <v>324</v>
      </c>
      <c r="L209" s="260">
        <f>SUM(I209:I221)</f>
        <v>2.589573812</v>
      </c>
      <c r="M209" s="261"/>
    </row>
    <row r="210" ht="15.75" customHeight="1">
      <c r="A210" s="307"/>
      <c r="B210" s="269">
        <f t="array" ref="B210">+XLOOKUP(C210,'Base de datos'!C:C,'Base de datos'!A:A,"",FALSE)</f>
        <v>46</v>
      </c>
      <c r="C210" s="270" t="s">
        <v>78</v>
      </c>
      <c r="D210" s="275" t="s">
        <v>20</v>
      </c>
      <c r="E210" s="256">
        <f t="array" ref="E210">+XLOOKUP(B210,'Base de datos'!A:A,'Base de datos'!H:H,0)</f>
        <v>0.3558541667</v>
      </c>
      <c r="F210" s="271">
        <v>1.0</v>
      </c>
      <c r="G210" s="271">
        <v>1.0</v>
      </c>
      <c r="H210" s="258">
        <f t="shared" si="21"/>
        <v>0</v>
      </c>
      <c r="I210" s="256">
        <f t="shared" si="22"/>
        <v>0.3558541667</v>
      </c>
      <c r="J210" s="241"/>
      <c r="K210" s="267" t="s">
        <v>325</v>
      </c>
      <c r="L210" s="268">
        <v>11.0</v>
      </c>
      <c r="M210" s="261"/>
    </row>
    <row r="211" ht="15.75" customHeight="1">
      <c r="A211" s="307"/>
      <c r="B211" s="269">
        <f t="array" ref="B211">+XLOOKUP(C211,'Base de datos'!C:C,'Base de datos'!A:A,"",FALSE)</f>
        <v>22</v>
      </c>
      <c r="C211" s="270" t="s">
        <v>45</v>
      </c>
      <c r="D211" s="275" t="s">
        <v>14</v>
      </c>
      <c r="E211" s="256">
        <f t="array" ref="E211">+XLOOKUP(B211,'Base de datos'!A:A,'Base de datos'!H:H,0)</f>
        <v>7.11</v>
      </c>
      <c r="F211" s="271">
        <v>0.024</v>
      </c>
      <c r="G211" s="271">
        <v>0.02</v>
      </c>
      <c r="H211" s="258">
        <f t="shared" si="21"/>
        <v>0.1666666667</v>
      </c>
      <c r="I211" s="256">
        <f t="shared" si="22"/>
        <v>0.17064</v>
      </c>
      <c r="J211" s="241"/>
      <c r="K211" s="272" t="s">
        <v>326</v>
      </c>
      <c r="L211" s="273">
        <f>L210/1.1</f>
        <v>10</v>
      </c>
      <c r="M211" s="274"/>
    </row>
    <row r="212" ht="15.75" customHeight="1">
      <c r="A212" s="307"/>
      <c r="B212" s="269">
        <f t="array" ref="B212">+XLOOKUP(C212,'Base de datos'!C:C,'Base de datos'!A:A,"",FALSE)</f>
        <v>136</v>
      </c>
      <c r="C212" s="270" t="s">
        <v>163</v>
      </c>
      <c r="D212" s="275" t="s">
        <v>14</v>
      </c>
      <c r="E212" s="256">
        <f t="array" ref="E212">+XLOOKUP(B212,'Base de datos'!A:A,'Base de datos'!H:H,0)</f>
        <v>4.763324889</v>
      </c>
      <c r="F212" s="271">
        <v>0.024</v>
      </c>
      <c r="G212" s="271">
        <v>0.02</v>
      </c>
      <c r="H212" s="258">
        <f t="shared" si="21"/>
        <v>0.1666666667</v>
      </c>
      <c r="I212" s="256">
        <f t="shared" si="22"/>
        <v>0.1143197973</v>
      </c>
      <c r="J212" s="241"/>
      <c r="K212" s="276" t="s">
        <v>327</v>
      </c>
      <c r="L212" s="277">
        <v>0.1</v>
      </c>
      <c r="M212" s="278"/>
    </row>
    <row r="213" ht="15.75" customHeight="1">
      <c r="A213" s="307"/>
      <c r="B213" s="269">
        <f t="array" ref="B213">+XLOOKUP(C213,'Base de datos'!C:C,'Base de datos'!A:A,"",FALSE)</f>
        <v>35</v>
      </c>
      <c r="C213" s="270" t="s">
        <v>64</v>
      </c>
      <c r="D213" s="275" t="s">
        <v>20</v>
      </c>
      <c r="E213" s="256">
        <f t="array" ref="E213">+XLOOKUP(B213,'Base de datos'!A:A,'Base de datos'!H:H,0)</f>
        <v>0.145</v>
      </c>
      <c r="F213" s="271">
        <v>1.0</v>
      </c>
      <c r="G213" s="271"/>
      <c r="H213" s="258">
        <f t="shared" si="21"/>
        <v>1</v>
      </c>
      <c r="I213" s="256">
        <f t="shared" si="22"/>
        <v>0.145</v>
      </c>
      <c r="J213" s="241"/>
      <c r="K213" s="279" t="s">
        <v>328</v>
      </c>
      <c r="L213" s="280">
        <f>L209/L211*100</f>
        <v>25.89573812</v>
      </c>
      <c r="M213" s="281" t="s">
        <v>329</v>
      </c>
    </row>
    <row r="214" ht="15.75" customHeight="1">
      <c r="A214" s="307"/>
      <c r="B214" s="269">
        <f t="array" ref="B214">+XLOOKUP(C214,'Base de datos'!C:C,'Base de datos'!A:A,"",FALSE)</f>
        <v>99</v>
      </c>
      <c r="C214" s="270" t="s">
        <v>122</v>
      </c>
      <c r="D214" s="275" t="s">
        <v>14</v>
      </c>
      <c r="E214" s="256">
        <f t="array" ref="E214">+XLOOKUP(B214,'Base de datos'!A:A,'Base de datos'!H:H,0)</f>
        <v>10.78</v>
      </c>
      <c r="F214" s="271">
        <v>0.02</v>
      </c>
      <c r="G214" s="271"/>
      <c r="H214" s="258">
        <f t="shared" si="21"/>
        <v>1</v>
      </c>
      <c r="I214" s="256">
        <f t="shared" si="22"/>
        <v>0.2156</v>
      </c>
      <c r="J214" s="241"/>
      <c r="K214" s="282" t="s">
        <v>330</v>
      </c>
      <c r="L214" s="283">
        <f>100-L213</f>
        <v>74.10426188</v>
      </c>
      <c r="M214" s="284" t="s">
        <v>329</v>
      </c>
    </row>
    <row r="215" ht="15.75" customHeight="1">
      <c r="A215" s="307"/>
      <c r="B215" s="269">
        <f t="array" ref="B215">+XLOOKUP(C215,'Base de datos'!C:C,'Base de datos'!A:A,"",FALSE)</f>
        <v>37</v>
      </c>
      <c r="C215" s="270" t="s">
        <v>66</v>
      </c>
      <c r="D215" s="275" t="s">
        <v>14</v>
      </c>
      <c r="E215" s="256">
        <f t="array" ref="E215">+XLOOKUP(B215,'Base de datos'!A:A,'Base de datos'!H:H,0)</f>
        <v>7</v>
      </c>
      <c r="F215" s="271">
        <v>0.02</v>
      </c>
      <c r="G215" s="271"/>
      <c r="H215" s="258">
        <f t="shared" si="21"/>
        <v>1</v>
      </c>
      <c r="I215" s="256">
        <f t="shared" si="22"/>
        <v>0.14</v>
      </c>
      <c r="J215" s="241"/>
      <c r="L215" s="288"/>
    </row>
    <row r="216" ht="15.75" customHeight="1">
      <c r="A216" s="307"/>
      <c r="B216" s="253"/>
      <c r="C216" s="270"/>
      <c r="D216" s="275"/>
      <c r="E216" s="256"/>
      <c r="F216" s="271"/>
      <c r="G216" s="271"/>
      <c r="H216" s="258"/>
      <c r="I216" s="256"/>
      <c r="J216" s="241"/>
      <c r="L216" s="288"/>
    </row>
    <row r="217" ht="15.75" customHeight="1">
      <c r="A217" s="307"/>
      <c r="B217" s="253"/>
      <c r="C217" s="270"/>
      <c r="D217" s="255"/>
      <c r="E217" s="256"/>
      <c r="F217" s="271"/>
      <c r="G217" s="271"/>
      <c r="H217" s="258"/>
      <c r="I217" s="256"/>
      <c r="J217" s="241"/>
      <c r="L217" s="288"/>
    </row>
    <row r="218" ht="15.75" customHeight="1">
      <c r="A218" s="307"/>
      <c r="B218" s="269">
        <f t="array" ref="B218">+XLOOKUP(C218,'Base de datos'!C:C,'Base de datos'!A:A,"",FALSE)</f>
        <v>93</v>
      </c>
      <c r="C218" s="270" t="s">
        <v>114</v>
      </c>
      <c r="D218" s="275" t="s">
        <v>20</v>
      </c>
      <c r="E218" s="256">
        <f t="array" ref="E218">+XLOOKUP(B218,'Base de datos'!A:A,'Base de datos'!H:H,0)</f>
        <v>0.0277</v>
      </c>
      <c r="F218" s="271">
        <v>1.0</v>
      </c>
      <c r="G218" s="271">
        <v>1.0</v>
      </c>
      <c r="H218" s="258">
        <f t="shared" ref="H218:H221" si="23">IFERROR(1-G218/F218,"")</f>
        <v>0</v>
      </c>
      <c r="I218" s="256">
        <f t="shared" ref="I218:I221" si="24">IFERROR(E218*F218,"")</f>
        <v>0.0277</v>
      </c>
      <c r="J218" s="241"/>
      <c r="L218" s="288"/>
    </row>
    <row r="219" ht="15.75" customHeight="1">
      <c r="A219" s="307"/>
      <c r="B219" s="269">
        <f t="array" ref="B219">+XLOOKUP(C219,'Base de datos'!C:C,'Base de datos'!A:A,"",FALSE)</f>
        <v>28</v>
      </c>
      <c r="C219" s="270" t="s">
        <v>53</v>
      </c>
      <c r="D219" s="275" t="s">
        <v>20</v>
      </c>
      <c r="E219" s="256">
        <f t="array" ref="E219">+XLOOKUP(B219,'Base de datos'!A:A,'Base de datos'!H:H,0)</f>
        <v>0.1746</v>
      </c>
      <c r="F219" s="271">
        <v>1.0</v>
      </c>
      <c r="G219" s="271">
        <v>1.0</v>
      </c>
      <c r="H219" s="258">
        <f t="shared" si="23"/>
        <v>0</v>
      </c>
      <c r="I219" s="256">
        <f t="shared" si="24"/>
        <v>0.1746</v>
      </c>
      <c r="J219" s="241"/>
      <c r="L219" s="288"/>
    </row>
    <row r="220" ht="15.75" customHeight="1">
      <c r="A220" s="307"/>
      <c r="B220" s="269">
        <f t="array" ref="B220">+XLOOKUP(C220,'Base de datos'!C:C,'Base de datos'!A:A,"",FALSE)</f>
        <v>58</v>
      </c>
      <c r="C220" s="270" t="s">
        <v>85</v>
      </c>
      <c r="D220" s="255" t="s">
        <v>14</v>
      </c>
      <c r="E220" s="256">
        <f t="array" ref="E220">+XLOOKUP(B220,'Base de datos'!A:A,'Base de datos'!H:H,0)</f>
        <v>2.15</v>
      </c>
      <c r="F220" s="271">
        <v>0.09</v>
      </c>
      <c r="G220" s="257"/>
      <c r="H220" s="258">
        <f t="shared" si="23"/>
        <v>1</v>
      </c>
      <c r="I220" s="256">
        <f t="shared" si="24"/>
        <v>0.1935</v>
      </c>
      <c r="J220" s="241"/>
      <c r="L220" s="288"/>
    </row>
    <row r="221" ht="15.75" customHeight="1">
      <c r="A221" s="307"/>
      <c r="B221" s="269">
        <f t="array" ref="B221">+XLOOKUP(C221,'Base de datos'!C:C,'Base de datos'!A:A,"",FALSE)</f>
        <v>69</v>
      </c>
      <c r="C221" s="270" t="s">
        <v>91</v>
      </c>
      <c r="D221" s="275" t="s">
        <v>20</v>
      </c>
      <c r="E221" s="256">
        <f t="array" ref="E221">+XLOOKUP(B221,'Base de datos'!A:A,'Base de datos'!H:H,0)</f>
        <v>0.07054166667</v>
      </c>
      <c r="F221" s="271">
        <v>1.0</v>
      </c>
      <c r="G221" s="257"/>
      <c r="H221" s="258">
        <f t="shared" si="23"/>
        <v>1</v>
      </c>
      <c r="I221" s="256">
        <f t="shared" si="24"/>
        <v>0.07054166667</v>
      </c>
      <c r="J221" s="241"/>
      <c r="L221" s="288"/>
    </row>
    <row r="222" ht="15.75" customHeight="1">
      <c r="A222" s="307"/>
      <c r="B222" s="240"/>
      <c r="C222" s="241"/>
      <c r="D222" s="242"/>
      <c r="E222" s="243"/>
      <c r="F222" s="244"/>
      <c r="G222" s="244"/>
      <c r="H222" s="241"/>
      <c r="I222" s="241"/>
      <c r="J222" s="241"/>
      <c r="K222" s="241"/>
      <c r="L222" s="241"/>
    </row>
    <row r="223" ht="15.75" customHeight="1">
      <c r="A223" s="307"/>
      <c r="B223" s="295"/>
      <c r="C223" s="296" t="s">
        <v>337</v>
      </c>
      <c r="D223" s="297"/>
      <c r="E223" s="297"/>
      <c r="F223" s="297"/>
      <c r="G223" s="297"/>
      <c r="H223" s="297"/>
      <c r="I223" s="298"/>
      <c r="J223" s="241"/>
      <c r="K223" s="241"/>
      <c r="L223" s="241"/>
    </row>
    <row r="224" ht="15.75" customHeight="1">
      <c r="A224" s="307"/>
      <c r="B224" s="299"/>
      <c r="C224" s="385" t="s">
        <v>768</v>
      </c>
      <c r="D224" s="297"/>
      <c r="E224" s="297"/>
      <c r="F224" s="297"/>
      <c r="G224" s="297"/>
      <c r="H224" s="297"/>
      <c r="I224" s="298"/>
      <c r="J224" s="241"/>
      <c r="K224" s="241"/>
      <c r="L224" s="241"/>
    </row>
    <row r="225" ht="15.75" customHeight="1">
      <c r="A225" s="307"/>
      <c r="B225" s="301"/>
      <c r="C225" s="468" t="s">
        <v>769</v>
      </c>
      <c r="I225" s="278"/>
      <c r="J225" s="241"/>
      <c r="K225" s="241"/>
      <c r="L225" s="241"/>
    </row>
    <row r="226" ht="15.75" customHeight="1">
      <c r="A226" s="307"/>
      <c r="B226" s="301"/>
      <c r="C226" s="468" t="s">
        <v>770</v>
      </c>
      <c r="I226" s="278"/>
      <c r="J226" s="241"/>
      <c r="K226" s="241"/>
      <c r="L226" s="241"/>
    </row>
    <row r="227" ht="15.75" customHeight="1">
      <c r="A227" s="307"/>
      <c r="B227" s="301"/>
      <c r="C227" s="306" t="s">
        <v>339</v>
      </c>
      <c r="I227" s="278"/>
      <c r="J227" s="241"/>
      <c r="K227" s="241"/>
      <c r="L227" s="241"/>
    </row>
    <row r="228" ht="15.75" customHeight="1">
      <c r="A228" s="307"/>
      <c r="B228" s="301"/>
      <c r="C228" s="302"/>
      <c r="I228" s="278"/>
      <c r="J228" s="241"/>
      <c r="K228" s="241"/>
      <c r="L228" s="241"/>
    </row>
    <row r="229" ht="15.75" customHeight="1">
      <c r="A229" s="307"/>
      <c r="B229" s="301"/>
      <c r="C229" s="302"/>
      <c r="I229" s="278"/>
      <c r="J229" s="241"/>
      <c r="K229" s="241"/>
      <c r="L229" s="241"/>
    </row>
    <row r="230" ht="15.75" customHeight="1">
      <c r="A230" s="307"/>
      <c r="B230" s="301"/>
      <c r="C230" s="302"/>
      <c r="I230" s="278"/>
      <c r="J230" s="241"/>
      <c r="K230" s="241"/>
      <c r="L230" s="241"/>
    </row>
    <row r="231" ht="15.75" customHeight="1">
      <c r="A231" s="307"/>
      <c r="B231" s="301"/>
      <c r="C231" s="304"/>
      <c r="D231" s="305"/>
      <c r="E231" s="305"/>
      <c r="F231" s="305"/>
      <c r="G231" s="305"/>
      <c r="H231" s="305"/>
      <c r="I231" s="274"/>
      <c r="J231" s="241"/>
      <c r="K231" s="241"/>
      <c r="L231" s="241"/>
    </row>
    <row r="232" ht="15.75" customHeight="1">
      <c r="A232" s="307"/>
      <c r="B232" s="307"/>
      <c r="D232" s="308"/>
      <c r="E232" s="309"/>
    </row>
    <row r="233" ht="15.75" customHeight="1">
      <c r="A233" s="307"/>
      <c r="B233" s="307"/>
      <c r="D233" s="308"/>
      <c r="E233" s="309"/>
    </row>
    <row r="234" ht="15.75" customHeight="1">
      <c r="A234" s="307"/>
      <c r="B234" s="230"/>
      <c r="C234" s="230"/>
      <c r="D234" s="230"/>
      <c r="E234" s="231"/>
      <c r="F234" s="232"/>
      <c r="G234" s="232"/>
      <c r="H234" s="230"/>
      <c r="I234" s="230"/>
      <c r="J234" s="230"/>
      <c r="K234" s="230"/>
      <c r="L234" s="230"/>
      <c r="M234" s="233"/>
    </row>
    <row r="235" ht="15.75" customHeight="1">
      <c r="A235" s="307"/>
      <c r="B235" s="234"/>
      <c r="C235" s="235" t="s">
        <v>313</v>
      </c>
      <c r="D235" s="236" t="s">
        <v>771</v>
      </c>
      <c r="E235" s="237"/>
      <c r="F235" s="237"/>
      <c r="G235" s="237"/>
      <c r="H235" s="237"/>
      <c r="I235" s="237"/>
      <c r="J235" s="238"/>
      <c r="K235" s="231"/>
      <c r="L235" s="230"/>
      <c r="M235" s="233"/>
    </row>
    <row r="236" ht="15.75" customHeight="1">
      <c r="A236" s="307"/>
      <c r="B236" s="239"/>
      <c r="C236" s="230"/>
      <c r="D236" s="230"/>
      <c r="E236" s="231"/>
      <c r="F236" s="232"/>
      <c r="G236" s="232"/>
      <c r="H236" s="230"/>
      <c r="I236" s="230"/>
      <c r="J236" s="230"/>
      <c r="K236" s="230"/>
      <c r="L236" s="230"/>
      <c r="M236" s="233"/>
    </row>
    <row r="237" ht="15.75" customHeight="1">
      <c r="A237" s="307"/>
      <c r="B237" s="240"/>
      <c r="C237" s="241"/>
      <c r="D237" s="242"/>
      <c r="E237" s="243"/>
      <c r="F237" s="244"/>
      <c r="G237" s="244"/>
      <c r="H237" s="241"/>
      <c r="I237" s="241"/>
      <c r="J237" s="241"/>
      <c r="K237" s="241"/>
      <c r="L237" s="241"/>
    </row>
    <row r="238" ht="15.75" customHeight="1">
      <c r="A238" s="307"/>
      <c r="B238" s="246" t="s">
        <v>0</v>
      </c>
      <c r="C238" s="246" t="s">
        <v>315</v>
      </c>
      <c r="D238" s="246" t="s">
        <v>316</v>
      </c>
      <c r="E238" s="247" t="s">
        <v>317</v>
      </c>
      <c r="F238" s="248" t="s">
        <v>318</v>
      </c>
      <c r="G238" s="248" t="s">
        <v>319</v>
      </c>
      <c r="H238" s="246" t="s">
        <v>320</v>
      </c>
      <c r="I238" s="246" t="s">
        <v>321</v>
      </c>
      <c r="J238" s="249"/>
      <c r="K238" s="250" t="s">
        <v>322</v>
      </c>
      <c r="L238" s="251"/>
      <c r="M238" s="251"/>
    </row>
    <row r="239" ht="15.75" customHeight="1">
      <c r="A239" s="307"/>
      <c r="B239" s="253" t="str">
        <f t="array" ref="B239">+XLOOKUP(C239,'Base de datos'!C:C,'Base de datos'!A:A,"",FALSE)</f>
        <v/>
      </c>
      <c r="C239" s="254"/>
      <c r="D239" s="255" t="s">
        <v>14</v>
      </c>
      <c r="E239" s="256">
        <f t="array" ref="E239">+XLOOKUP(B239,'Base de datos'!A:A,'Base de datos'!H:H,0)</f>
        <v>0</v>
      </c>
      <c r="F239" s="257"/>
      <c r="G239" s="257"/>
      <c r="H239" s="258" t="str">
        <f t="shared" ref="H239:H251" si="25">IFERROR(1-G239/F239,"")</f>
        <v/>
      </c>
      <c r="I239" s="256">
        <f t="shared" ref="I239:I251" si="26">IFERROR(E239*F239,"")</f>
        <v>0</v>
      </c>
      <c r="J239" s="241"/>
      <c r="K239" s="259" t="s">
        <v>324</v>
      </c>
      <c r="L239" s="260">
        <f>SUM(I239:I250)</f>
        <v>1.860495878</v>
      </c>
      <c r="M239" s="261"/>
    </row>
    <row r="240" ht="15.75" customHeight="1">
      <c r="A240" s="307"/>
      <c r="B240" s="262" t="str">
        <f>'CRUJI BBQ'!K30</f>
        <v>#REF!</v>
      </c>
      <c r="C240" s="262" t="str">
        <f>'CRUJI BBQ'!C30</f>
        <v>#REF!</v>
      </c>
      <c r="D240" s="263" t="s">
        <v>14</v>
      </c>
      <c r="E240" s="264" t="str">
        <f>'CRUJI BBQ'!K36</f>
        <v>#REF!</v>
      </c>
      <c r="F240" s="265"/>
      <c r="G240" s="265"/>
      <c r="H240" s="266" t="str">
        <f t="shared" si="25"/>
        <v/>
      </c>
      <c r="I240" s="264" t="str">
        <f t="shared" si="26"/>
        <v/>
      </c>
      <c r="J240" s="241"/>
      <c r="K240" s="267" t="s">
        <v>325</v>
      </c>
      <c r="L240" s="268">
        <v>8.0</v>
      </c>
      <c r="M240" s="261"/>
    </row>
    <row r="241" ht="15.75" customHeight="1">
      <c r="A241" s="307"/>
      <c r="B241" s="269">
        <f t="array" ref="B241">+XLOOKUP(C241,'Base de datos'!C:C,'Base de datos'!A:A,"",FALSE)</f>
        <v>77</v>
      </c>
      <c r="C241" s="270" t="s">
        <v>98</v>
      </c>
      <c r="D241" s="255" t="s">
        <v>14</v>
      </c>
      <c r="E241" s="256">
        <f t="array" ref="E241">+XLOOKUP(B241,'Base de datos'!A:A,'Base de datos'!H:H,0)</f>
        <v>6</v>
      </c>
      <c r="F241" s="271">
        <v>0.125</v>
      </c>
      <c r="G241" s="271">
        <v>0.12</v>
      </c>
      <c r="H241" s="258">
        <f t="shared" si="25"/>
        <v>0.04</v>
      </c>
      <c r="I241" s="256">
        <f t="shared" si="26"/>
        <v>0.75</v>
      </c>
      <c r="J241" s="241"/>
      <c r="K241" s="272" t="s">
        <v>326</v>
      </c>
      <c r="L241" s="273">
        <f>L240/1.1</f>
        <v>7.272727273</v>
      </c>
      <c r="M241" s="274"/>
    </row>
    <row r="242" ht="15.75" customHeight="1">
      <c r="A242" s="307"/>
      <c r="B242" s="269">
        <f t="array" ref="B242">+XLOOKUP(C242,'Base de datos'!C:C,'Base de datos'!A:A,"",FALSE)</f>
        <v>46</v>
      </c>
      <c r="C242" s="270" t="s">
        <v>78</v>
      </c>
      <c r="D242" s="275" t="s">
        <v>20</v>
      </c>
      <c r="E242" s="256">
        <f t="array" ref="E242">+XLOOKUP(B242,'Base de datos'!A:A,'Base de datos'!H:H,0)</f>
        <v>0.3558541667</v>
      </c>
      <c r="F242" s="271">
        <v>1.0</v>
      </c>
      <c r="G242" s="271">
        <v>1.0</v>
      </c>
      <c r="H242" s="258">
        <f t="shared" si="25"/>
        <v>0</v>
      </c>
      <c r="I242" s="256">
        <f t="shared" si="26"/>
        <v>0.3558541667</v>
      </c>
      <c r="J242" s="241"/>
      <c r="K242" s="276" t="s">
        <v>327</v>
      </c>
      <c r="L242" s="277">
        <v>0.1</v>
      </c>
      <c r="M242" s="278"/>
    </row>
    <row r="243" ht="15.75" customHeight="1">
      <c r="B243" s="269">
        <f t="array" ref="B243">+XLOOKUP(C243,'Base de datos'!C:C,'Base de datos'!A:A,"",FALSE)</f>
        <v>83</v>
      </c>
      <c r="C243" s="270" t="s">
        <v>103</v>
      </c>
      <c r="D243" s="275" t="s">
        <v>14</v>
      </c>
      <c r="E243" s="256">
        <f t="array" ref="E243">+XLOOKUP(B243,'Base de datos'!A:A,'Base de datos'!H:H,0)</f>
        <v>1.637837838</v>
      </c>
      <c r="F243" s="271">
        <v>0.01</v>
      </c>
      <c r="G243" s="271">
        <v>0.01</v>
      </c>
      <c r="H243" s="258">
        <f t="shared" si="25"/>
        <v>0</v>
      </c>
      <c r="I243" s="256">
        <f t="shared" si="26"/>
        <v>0.01637837838</v>
      </c>
      <c r="J243" s="241"/>
      <c r="K243" s="279" t="s">
        <v>328</v>
      </c>
      <c r="L243" s="280">
        <f>L239/L241*100</f>
        <v>25.58181833</v>
      </c>
      <c r="M243" s="281" t="s">
        <v>329</v>
      </c>
    </row>
    <row r="244" ht="15.75" customHeight="1">
      <c r="B244" s="269">
        <f t="array" ref="B244">+XLOOKUP(C244,'Base de datos'!C:C,'Base de datos'!A:A,"",FALSE)</f>
        <v>21</v>
      </c>
      <c r="C244" s="270" t="s">
        <v>44</v>
      </c>
      <c r="D244" s="275" t="s">
        <v>14</v>
      </c>
      <c r="E244" s="256">
        <f t="array" ref="E244">+XLOOKUP(B244,'Base de datos'!A:A,'Base de datos'!H:H,0)</f>
        <v>8.56</v>
      </c>
      <c r="F244" s="271">
        <v>0.02</v>
      </c>
      <c r="G244" s="271">
        <v>0.02</v>
      </c>
      <c r="H244" s="258">
        <f t="shared" si="25"/>
        <v>0</v>
      </c>
      <c r="I244" s="256">
        <f t="shared" si="26"/>
        <v>0.1712</v>
      </c>
      <c r="J244" s="241"/>
      <c r="K244" s="282" t="s">
        <v>330</v>
      </c>
      <c r="L244" s="283">
        <f>100-L243</f>
        <v>74.41818167</v>
      </c>
      <c r="M244" s="284" t="s">
        <v>329</v>
      </c>
    </row>
    <row r="245" ht="15.75" customHeight="1">
      <c r="B245" s="269">
        <f t="array" ref="B245">+XLOOKUP(C245,'Base de datos'!C:C,'Base de datos'!A:A,"",FALSE)</f>
        <v>13</v>
      </c>
      <c r="C245" s="270" t="s">
        <v>32</v>
      </c>
      <c r="D245" s="255" t="s">
        <v>14</v>
      </c>
      <c r="E245" s="256">
        <f t="array" ref="E245">+XLOOKUP(B245,'Base de datos'!A:A,'Base de datos'!H:H,0)</f>
        <v>6.244444444</v>
      </c>
      <c r="F245" s="271">
        <v>0.012</v>
      </c>
      <c r="G245" s="271">
        <v>0.012</v>
      </c>
      <c r="H245" s="258">
        <f t="shared" si="25"/>
        <v>0</v>
      </c>
      <c r="I245" s="256">
        <f t="shared" si="26"/>
        <v>0.07493333333</v>
      </c>
      <c r="J245" s="241"/>
      <c r="L245" s="288"/>
    </row>
    <row r="246" ht="15.75" customHeight="1">
      <c r="B246" s="269">
        <f t="array" ref="B246">+XLOOKUP(C246,'Base de datos'!C:C,'Base de datos'!A:A,"",FALSE)</f>
        <v>4</v>
      </c>
      <c r="C246" s="270" t="s">
        <v>16</v>
      </c>
      <c r="D246" s="275" t="s">
        <v>14</v>
      </c>
      <c r="E246" s="256">
        <f t="array" ref="E246">+XLOOKUP(B246,'Base de datos'!A:A,'Base de datos'!H:H,0)</f>
        <v>4.8165</v>
      </c>
      <c r="F246" s="271">
        <v>0.02</v>
      </c>
      <c r="G246" s="271">
        <v>0.01</v>
      </c>
      <c r="H246" s="258">
        <f t="shared" si="25"/>
        <v>0.5</v>
      </c>
      <c r="I246" s="256">
        <f t="shared" si="26"/>
        <v>0.09633</v>
      </c>
      <c r="J246" s="241"/>
      <c r="K246" s="250" t="s">
        <v>323</v>
      </c>
      <c r="L246" s="251"/>
      <c r="M246" s="251"/>
    </row>
    <row r="247" ht="15.75" customHeight="1">
      <c r="B247" s="253" t="str">
        <f t="array" ref="B247">+XLOOKUP(C247,'Base de datos'!C:C,'Base de datos'!A:A,"",FALSE)</f>
        <v/>
      </c>
      <c r="C247" s="270"/>
      <c r="D247" s="255" t="s">
        <v>14</v>
      </c>
      <c r="E247" s="256">
        <f t="array" ref="E247">+XLOOKUP(B247,'Base de datos'!A:A,'Base de datos'!H:H,0)</f>
        <v>0</v>
      </c>
      <c r="F247" s="271">
        <v>0.012</v>
      </c>
      <c r="G247" s="271">
        <v>0.012</v>
      </c>
      <c r="H247" s="258">
        <f t="shared" si="25"/>
        <v>0</v>
      </c>
      <c r="I247" s="256">
        <f t="shared" si="26"/>
        <v>0</v>
      </c>
      <c r="J247" s="241"/>
      <c r="K247" s="259" t="s">
        <v>324</v>
      </c>
      <c r="L247" s="260">
        <f>L239</f>
        <v>1.860495878</v>
      </c>
      <c r="M247" s="261"/>
    </row>
    <row r="248" ht="15.75" customHeight="1">
      <c r="B248" s="269">
        <f t="array" ref="B248">+XLOOKUP(C248,'Base de datos'!C:C,'Base de datos'!A:A,"",FALSE)</f>
        <v>93</v>
      </c>
      <c r="C248" s="270" t="s">
        <v>114</v>
      </c>
      <c r="D248" s="275" t="s">
        <v>20</v>
      </c>
      <c r="E248" s="256">
        <f t="array" ref="E248">+XLOOKUP(B248,'Base de datos'!A:A,'Base de datos'!H:H,0)</f>
        <v>0.0277</v>
      </c>
      <c r="F248" s="271">
        <v>1.0</v>
      </c>
      <c r="G248" s="271">
        <v>1.0</v>
      </c>
      <c r="H248" s="258">
        <f t="shared" si="25"/>
        <v>0</v>
      </c>
      <c r="I248" s="256">
        <f t="shared" si="26"/>
        <v>0.0277</v>
      </c>
      <c r="J248" s="241"/>
      <c r="K248" s="267" t="s">
        <v>325</v>
      </c>
      <c r="L248" s="268">
        <v>10.9</v>
      </c>
      <c r="M248" s="261"/>
    </row>
    <row r="249" ht="15.75" customHeight="1">
      <c r="B249" s="269">
        <f t="array" ref="B249">+XLOOKUP(C249,'Base de datos'!C:C,'Base de datos'!A:A,"",FALSE)</f>
        <v>28</v>
      </c>
      <c r="C249" s="270" t="s">
        <v>53</v>
      </c>
      <c r="D249" s="275" t="s">
        <v>20</v>
      </c>
      <c r="E249" s="256">
        <f t="array" ref="E249">+XLOOKUP(B249,'Base de datos'!A:A,'Base de datos'!H:H,0)</f>
        <v>0.1746</v>
      </c>
      <c r="F249" s="271">
        <v>1.0</v>
      </c>
      <c r="G249" s="271">
        <v>1.0</v>
      </c>
      <c r="H249" s="258">
        <f t="shared" si="25"/>
        <v>0</v>
      </c>
      <c r="I249" s="256">
        <f t="shared" si="26"/>
        <v>0.1746</v>
      </c>
      <c r="J249" s="241"/>
      <c r="K249" s="272" t="s">
        <v>326</v>
      </c>
      <c r="L249" s="273">
        <f>L248/1.1</f>
        <v>9.909090909</v>
      </c>
      <c r="M249" s="274"/>
    </row>
    <row r="250" ht="15.75" customHeight="1">
      <c r="B250" s="269">
        <f t="array" ref="B250">+XLOOKUP(C250,'Base de datos'!C:C,'Base de datos'!A:A,"",FALSE)</f>
        <v>58</v>
      </c>
      <c r="C250" s="270" t="s">
        <v>85</v>
      </c>
      <c r="D250" s="255" t="s">
        <v>14</v>
      </c>
      <c r="E250" s="256">
        <f t="array" ref="E250">+XLOOKUP(B250,'Base de datos'!A:A,'Base de datos'!H:H,0)</f>
        <v>2.15</v>
      </c>
      <c r="F250" s="271">
        <v>0.09</v>
      </c>
      <c r="G250" s="257"/>
      <c r="H250" s="258">
        <f t="shared" si="25"/>
        <v>1</v>
      </c>
      <c r="I250" s="256">
        <f t="shared" si="26"/>
        <v>0.1935</v>
      </c>
      <c r="J250" s="241"/>
      <c r="K250" s="276" t="s">
        <v>327</v>
      </c>
      <c r="L250" s="277">
        <v>0.1</v>
      </c>
      <c r="M250" s="278"/>
    </row>
    <row r="251" ht="15.75" customHeight="1">
      <c r="B251" s="269">
        <f t="array" ref="B251">+XLOOKUP(C251,'Base de datos'!C:C,'Base de datos'!A:A,"",FALSE)</f>
        <v>69</v>
      </c>
      <c r="C251" s="270" t="s">
        <v>91</v>
      </c>
      <c r="D251" s="275" t="s">
        <v>20</v>
      </c>
      <c r="E251" s="256">
        <f t="array" ref="E251">+XLOOKUP(B251,'Base de datos'!A:A,'Base de datos'!H:H,0)</f>
        <v>0.07054166667</v>
      </c>
      <c r="F251" s="271">
        <v>1.0</v>
      </c>
      <c r="G251" s="257"/>
      <c r="H251" s="258">
        <f t="shared" si="25"/>
        <v>1</v>
      </c>
      <c r="I251" s="256">
        <f t="shared" si="26"/>
        <v>0.07054166667</v>
      </c>
      <c r="J251" s="241"/>
      <c r="K251" s="279" t="s">
        <v>328</v>
      </c>
      <c r="L251" s="280">
        <f>L247/L249*100</f>
        <v>18.77564648</v>
      </c>
      <c r="M251" s="281" t="s">
        <v>329</v>
      </c>
    </row>
    <row r="252" ht="15.75" customHeight="1">
      <c r="B252" s="240"/>
      <c r="C252" s="241"/>
      <c r="D252" s="242"/>
      <c r="E252" s="243"/>
      <c r="F252" s="244"/>
      <c r="G252" s="244"/>
      <c r="H252" s="241"/>
      <c r="I252" s="241"/>
      <c r="J252" s="241"/>
      <c r="K252" s="285" t="s">
        <v>330</v>
      </c>
      <c r="L252" s="286">
        <f>L249-L247</f>
        <v>8.048595031</v>
      </c>
      <c r="M252" s="287" t="s">
        <v>331</v>
      </c>
    </row>
    <row r="253" ht="15.75" customHeight="1">
      <c r="B253" s="295"/>
      <c r="C253" s="296" t="s">
        <v>337</v>
      </c>
      <c r="D253" s="297"/>
      <c r="E253" s="297"/>
      <c r="F253" s="297"/>
      <c r="G253" s="297"/>
      <c r="H253" s="297"/>
      <c r="I253" s="298"/>
      <c r="J253" s="241"/>
      <c r="K253" s="289" t="s">
        <v>332</v>
      </c>
      <c r="L253" s="290">
        <f>L249-L247-(L248*0.2)</f>
        <v>5.868595031</v>
      </c>
      <c r="M253" s="291" t="s">
        <v>331</v>
      </c>
    </row>
    <row r="254" ht="15.75" customHeight="1">
      <c r="B254" s="299"/>
      <c r="C254" s="300"/>
      <c r="D254" s="297"/>
      <c r="E254" s="297"/>
      <c r="F254" s="297"/>
      <c r="G254" s="297"/>
      <c r="H254" s="297"/>
      <c r="I254" s="298"/>
      <c r="J254" s="241"/>
      <c r="K254" s="289" t="s">
        <v>332</v>
      </c>
      <c r="L254" s="292">
        <f>L253/L249</f>
        <v>0.5922435352</v>
      </c>
      <c r="M254" s="291" t="s">
        <v>329</v>
      </c>
    </row>
    <row r="255" ht="15.75" customHeight="1">
      <c r="B255" s="301"/>
      <c r="C255" s="302"/>
      <c r="I255" s="278"/>
      <c r="J255" s="241"/>
      <c r="K255" s="241"/>
      <c r="L255" s="241"/>
    </row>
    <row r="256" ht="15.75" customHeight="1">
      <c r="B256" s="301"/>
      <c r="C256" s="302"/>
      <c r="I256" s="278"/>
      <c r="J256" s="241"/>
      <c r="K256" s="241"/>
      <c r="L256" s="241"/>
    </row>
    <row r="257" ht="15.75" customHeight="1">
      <c r="B257" s="301"/>
      <c r="C257" s="302"/>
      <c r="I257" s="278"/>
      <c r="J257" s="241"/>
      <c r="K257" s="241"/>
      <c r="L257" s="241"/>
    </row>
    <row r="258" ht="15.75" customHeight="1">
      <c r="B258" s="301"/>
      <c r="C258" s="302"/>
      <c r="I258" s="278"/>
      <c r="J258" s="241"/>
      <c r="K258" s="241"/>
      <c r="L258" s="241"/>
    </row>
    <row r="259" ht="15.75" customHeight="1">
      <c r="B259" s="301"/>
      <c r="C259" s="302"/>
      <c r="I259" s="278"/>
      <c r="J259" s="241"/>
      <c r="K259" s="241"/>
      <c r="L259" s="241"/>
    </row>
    <row r="260" ht="15.75" customHeight="1">
      <c r="B260" s="301"/>
      <c r="C260" s="302"/>
      <c r="I260" s="278"/>
      <c r="J260" s="241"/>
      <c r="K260" s="241"/>
      <c r="L260" s="241"/>
    </row>
    <row r="261" ht="15.75" customHeight="1">
      <c r="B261" s="301"/>
      <c r="C261" s="304"/>
      <c r="D261" s="305"/>
      <c r="E261" s="305"/>
      <c r="F261" s="305"/>
      <c r="G261" s="305"/>
      <c r="H261" s="305"/>
      <c r="I261" s="274"/>
      <c r="J261" s="241"/>
      <c r="K261" s="241"/>
      <c r="L261" s="241"/>
    </row>
    <row r="262" ht="15.75" customHeight="1"/>
    <row r="263" ht="15.75" customHeight="1"/>
    <row r="264" ht="15.75" customHeight="1">
      <c r="B264" s="230"/>
      <c r="C264" s="230"/>
      <c r="D264" s="230"/>
      <c r="E264" s="231"/>
      <c r="F264" s="232"/>
      <c r="G264" s="232"/>
      <c r="H264" s="230"/>
      <c r="I264" s="230"/>
      <c r="J264" s="230"/>
      <c r="K264" s="230"/>
      <c r="L264" s="230"/>
      <c r="M264" s="233"/>
    </row>
    <row r="265" ht="15.75" customHeight="1">
      <c r="B265" s="234"/>
      <c r="C265" s="235" t="s">
        <v>313</v>
      </c>
      <c r="D265" s="236" t="s">
        <v>447</v>
      </c>
      <c r="E265" s="237"/>
      <c r="F265" s="237"/>
      <c r="G265" s="237"/>
      <c r="H265" s="237"/>
      <c r="I265" s="237"/>
      <c r="J265" s="238"/>
      <c r="K265" s="231"/>
      <c r="L265" s="230"/>
      <c r="M265" s="233"/>
    </row>
    <row r="266" ht="15.75" customHeight="1">
      <c r="B266" s="239"/>
      <c r="C266" s="230"/>
      <c r="D266" s="230"/>
      <c r="E266" s="231"/>
      <c r="F266" s="232"/>
      <c r="G266" s="232"/>
      <c r="H266" s="230"/>
      <c r="I266" s="230"/>
      <c r="J266" s="230"/>
      <c r="K266" s="230"/>
      <c r="L266" s="230"/>
      <c r="M266" s="233"/>
    </row>
    <row r="267" ht="15.75" customHeight="1">
      <c r="B267" s="240"/>
      <c r="C267" s="241"/>
      <c r="D267" s="242"/>
      <c r="E267" s="243"/>
      <c r="F267" s="244"/>
      <c r="G267" s="244"/>
      <c r="H267" s="241"/>
      <c r="I267" s="241"/>
      <c r="J267" s="241"/>
      <c r="K267" s="241"/>
      <c r="L267" s="241"/>
    </row>
    <row r="268" ht="15.75" customHeight="1">
      <c r="B268" s="246" t="s">
        <v>0</v>
      </c>
      <c r="C268" s="246" t="s">
        <v>315</v>
      </c>
      <c r="D268" s="246" t="s">
        <v>316</v>
      </c>
      <c r="E268" s="247" t="s">
        <v>317</v>
      </c>
      <c r="F268" s="248" t="s">
        <v>318</v>
      </c>
      <c r="G268" s="248" t="s">
        <v>319</v>
      </c>
      <c r="H268" s="246" t="s">
        <v>320</v>
      </c>
      <c r="I268" s="246" t="s">
        <v>321</v>
      </c>
      <c r="J268" s="249"/>
      <c r="K268" s="250" t="s">
        <v>322</v>
      </c>
      <c r="L268" s="251"/>
      <c r="M268" s="251"/>
    </row>
    <row r="269" ht="15.75" customHeight="1">
      <c r="B269" s="253" t="str">
        <f t="array" ref="B269">+XLOOKUP(C269,'Base de datos'!C:C,'Base de datos'!A:A,"",FALSE)</f>
        <v/>
      </c>
      <c r="C269" s="254"/>
      <c r="D269" s="255" t="s">
        <v>14</v>
      </c>
      <c r="E269" s="256">
        <f t="array" ref="E269">+XLOOKUP(B269,'Base de datos'!A:A,'Base de datos'!H:H,0)</f>
        <v>0</v>
      </c>
      <c r="F269" s="257"/>
      <c r="G269" s="257"/>
      <c r="H269" s="258" t="str">
        <f t="shared" ref="H269:H281" si="27">IFERROR(1-G269/F269,"")</f>
        <v/>
      </c>
      <c r="I269" s="256">
        <f t="shared" ref="I269:I281" si="28">IFERROR(E269*F269,"")</f>
        <v>0</v>
      </c>
      <c r="J269" s="241"/>
      <c r="K269" s="259" t="s">
        <v>324</v>
      </c>
      <c r="L269" s="260">
        <f>SUM(I269:I280)</f>
        <v>1.530054167</v>
      </c>
      <c r="M269" s="261"/>
    </row>
    <row r="270" ht="15.75" customHeight="1">
      <c r="B270" s="262" t="str">
        <f>'CRUJIPOLLO ORIGINAL'!K30</f>
        <v>#REF!</v>
      </c>
      <c r="C270" s="262" t="str">
        <f>'CRUJIPOLLO ORIGINAL'!C30</f>
        <v>#REF!</v>
      </c>
      <c r="D270" s="263" t="s">
        <v>14</v>
      </c>
      <c r="E270" s="264" t="str">
        <f>'CRUJIPOLLO ORIGINAL'!K36</f>
        <v>#REF!</v>
      </c>
      <c r="F270" s="265"/>
      <c r="G270" s="265"/>
      <c r="H270" s="266" t="str">
        <f t="shared" si="27"/>
        <v/>
      </c>
      <c r="I270" s="264" t="str">
        <f t="shared" si="28"/>
        <v/>
      </c>
      <c r="J270" s="241"/>
      <c r="K270" s="267" t="s">
        <v>325</v>
      </c>
      <c r="L270" s="268">
        <v>7.0</v>
      </c>
      <c r="M270" s="261"/>
    </row>
    <row r="271" ht="15.75" customHeight="1">
      <c r="B271" s="269">
        <f t="array" ref="B271">+XLOOKUP(C271,'Base de datos'!C:C,'Base de datos'!A:A,"",FALSE)</f>
        <v>77</v>
      </c>
      <c r="C271" s="270" t="s">
        <v>98</v>
      </c>
      <c r="D271" s="255" t="s">
        <v>14</v>
      </c>
      <c r="E271" s="256">
        <f t="array" ref="E271">+XLOOKUP(B271,'Base de datos'!A:A,'Base de datos'!H:H,0)</f>
        <v>6</v>
      </c>
      <c r="F271" s="271">
        <v>0.125</v>
      </c>
      <c r="G271" s="271">
        <v>0.12</v>
      </c>
      <c r="H271" s="258">
        <f t="shared" si="27"/>
        <v>0.04</v>
      </c>
      <c r="I271" s="256">
        <f t="shared" si="28"/>
        <v>0.75</v>
      </c>
      <c r="J271" s="241"/>
      <c r="K271" s="272" t="s">
        <v>326</v>
      </c>
      <c r="L271" s="273">
        <f>L270/1.1</f>
        <v>6.363636364</v>
      </c>
      <c r="M271" s="274"/>
    </row>
    <row r="272" ht="15.75" customHeight="1">
      <c r="B272" s="269">
        <f t="array" ref="B272">+XLOOKUP(C272,'Base de datos'!C:C,'Base de datos'!A:A,"",FALSE)</f>
        <v>46</v>
      </c>
      <c r="C272" s="270" t="s">
        <v>78</v>
      </c>
      <c r="D272" s="275" t="s">
        <v>20</v>
      </c>
      <c r="E272" s="256">
        <f t="array" ref="E272">+XLOOKUP(B272,'Base de datos'!A:A,'Base de datos'!H:H,0)</f>
        <v>0.3558541667</v>
      </c>
      <c r="F272" s="271">
        <v>1.0</v>
      </c>
      <c r="G272" s="271">
        <v>1.0</v>
      </c>
      <c r="H272" s="258">
        <f t="shared" si="27"/>
        <v>0</v>
      </c>
      <c r="I272" s="256">
        <f t="shared" si="28"/>
        <v>0.3558541667</v>
      </c>
      <c r="J272" s="241"/>
      <c r="K272" s="276" t="s">
        <v>327</v>
      </c>
      <c r="L272" s="277">
        <v>0.1</v>
      </c>
      <c r="M272" s="278"/>
    </row>
    <row r="273" ht="15.75" customHeight="1">
      <c r="B273" s="269">
        <f t="array" ref="B273">+XLOOKUP(C273,'Base de datos'!C:C,'Base de datos'!A:A,"",FALSE)</f>
        <v>39</v>
      </c>
      <c r="C273" s="270" t="s">
        <v>69</v>
      </c>
      <c r="D273" s="275" t="s">
        <v>14</v>
      </c>
      <c r="E273" s="256">
        <f t="array" ref="E273">+XLOOKUP(B273,'Base de datos'!A:A,'Base de datos'!H:H,0)</f>
        <v>1.04</v>
      </c>
      <c r="F273" s="271">
        <v>0.01</v>
      </c>
      <c r="G273" s="271">
        <v>0.01</v>
      </c>
      <c r="H273" s="258">
        <f t="shared" si="27"/>
        <v>0</v>
      </c>
      <c r="I273" s="256">
        <f t="shared" si="28"/>
        <v>0.0104</v>
      </c>
      <c r="J273" s="241"/>
      <c r="K273" s="279" t="s">
        <v>328</v>
      </c>
      <c r="L273" s="280">
        <f>L269/L271*100</f>
        <v>24.04370833</v>
      </c>
      <c r="M273" s="281" t="s">
        <v>329</v>
      </c>
    </row>
    <row r="274" ht="15.75" customHeight="1">
      <c r="B274" s="269">
        <f t="array" ref="B274">+XLOOKUP(C274,'Base de datos'!C:C,'Base de datos'!A:A,"",FALSE)</f>
        <v>96</v>
      </c>
      <c r="C274" s="270" t="s">
        <v>118</v>
      </c>
      <c r="D274" s="275" t="s">
        <v>14</v>
      </c>
      <c r="E274" s="256">
        <f t="array" ref="E274">+XLOOKUP(B274,'Base de datos'!A:A,'Base de datos'!H:H,0)</f>
        <v>1.8</v>
      </c>
      <c r="F274" s="271">
        <v>0.01</v>
      </c>
      <c r="G274" s="271">
        <v>0.02</v>
      </c>
      <c r="H274" s="258">
        <f t="shared" si="27"/>
        <v>-1</v>
      </c>
      <c r="I274" s="256">
        <f t="shared" si="28"/>
        <v>0.018</v>
      </c>
      <c r="J274" s="241"/>
      <c r="K274" s="282" t="s">
        <v>330</v>
      </c>
      <c r="L274" s="283">
        <f>100-L273</f>
        <v>75.95629167</v>
      </c>
      <c r="M274" s="284" t="s">
        <v>329</v>
      </c>
    </row>
    <row r="275" ht="15.75" customHeight="1">
      <c r="B275" s="253" t="str">
        <f t="array" ref="B275">+XLOOKUP(C275,'Base de datos'!C:C,'Base de datos'!A:A,"",FALSE)</f>
        <v/>
      </c>
      <c r="C275" s="270"/>
      <c r="D275" s="255" t="s">
        <v>14</v>
      </c>
      <c r="E275" s="256">
        <f t="array" ref="E275">+XLOOKUP(B275,'Base de datos'!A:A,'Base de datos'!H:H,0)</f>
        <v>0</v>
      </c>
      <c r="F275" s="271">
        <v>0.01</v>
      </c>
      <c r="G275" s="271">
        <v>0.01</v>
      </c>
      <c r="H275" s="258">
        <f t="shared" si="27"/>
        <v>0</v>
      </c>
      <c r="I275" s="256">
        <f t="shared" si="28"/>
        <v>0</v>
      </c>
      <c r="J275" s="241"/>
      <c r="L275" s="288"/>
    </row>
    <row r="276" ht="15.75" customHeight="1">
      <c r="B276" s="253" t="str">
        <f t="array" ref="B276">+XLOOKUP(C276,'Base de datos'!C:C,'Base de datos'!A:A,"",FALSE)</f>
        <v/>
      </c>
      <c r="C276" s="270"/>
      <c r="D276" s="275" t="s">
        <v>14</v>
      </c>
      <c r="E276" s="256">
        <f t="array" ref="E276">+XLOOKUP(B276,'Base de datos'!A:A,'Base de datos'!H:H,0)</f>
        <v>0</v>
      </c>
      <c r="F276" s="271">
        <v>0.01</v>
      </c>
      <c r="G276" s="271">
        <v>0.01</v>
      </c>
      <c r="H276" s="258">
        <f t="shared" si="27"/>
        <v>0</v>
      </c>
      <c r="I276" s="256">
        <f t="shared" si="28"/>
        <v>0</v>
      </c>
      <c r="J276" s="241"/>
      <c r="K276" s="250" t="s">
        <v>323</v>
      </c>
      <c r="L276" s="251"/>
      <c r="M276" s="251"/>
    </row>
    <row r="277" ht="15.75" customHeight="1">
      <c r="B277" s="253" t="str">
        <f t="array" ref="B277">+XLOOKUP(C277,'Base de datos'!C:C,'Base de datos'!A:A,"",FALSE)</f>
        <v/>
      </c>
      <c r="C277" s="270"/>
      <c r="D277" s="255" t="s">
        <v>14</v>
      </c>
      <c r="E277" s="256">
        <f t="array" ref="E277">+XLOOKUP(B277,'Base de datos'!A:A,'Base de datos'!H:H,0)</f>
        <v>0</v>
      </c>
      <c r="F277" s="271">
        <v>0.012</v>
      </c>
      <c r="G277" s="271">
        <v>0.012</v>
      </c>
      <c r="H277" s="258">
        <f t="shared" si="27"/>
        <v>0</v>
      </c>
      <c r="I277" s="256">
        <f t="shared" si="28"/>
        <v>0</v>
      </c>
      <c r="J277" s="241"/>
      <c r="K277" s="259" t="s">
        <v>324</v>
      </c>
      <c r="L277" s="260">
        <f>L269</f>
        <v>1.530054167</v>
      </c>
      <c r="M277" s="261"/>
    </row>
    <row r="278" ht="15.75" customHeight="1">
      <c r="B278" s="269">
        <f t="array" ref="B278">+XLOOKUP(C278,'Base de datos'!C:C,'Base de datos'!A:A,"",FALSE)</f>
        <v>93</v>
      </c>
      <c r="C278" s="270" t="s">
        <v>114</v>
      </c>
      <c r="D278" s="275" t="s">
        <v>20</v>
      </c>
      <c r="E278" s="256">
        <f t="array" ref="E278">+XLOOKUP(B278,'Base de datos'!A:A,'Base de datos'!H:H,0)</f>
        <v>0.0277</v>
      </c>
      <c r="F278" s="271">
        <v>1.0</v>
      </c>
      <c r="G278" s="271">
        <v>1.0</v>
      </c>
      <c r="H278" s="258">
        <f t="shared" si="27"/>
        <v>0</v>
      </c>
      <c r="I278" s="256">
        <f t="shared" si="28"/>
        <v>0.0277</v>
      </c>
      <c r="J278" s="241"/>
      <c r="K278" s="267" t="s">
        <v>325</v>
      </c>
      <c r="L278" s="268">
        <v>8.9</v>
      </c>
      <c r="M278" s="261"/>
    </row>
    <row r="279" ht="15.75" customHeight="1">
      <c r="B279" s="269">
        <f t="array" ref="B279">+XLOOKUP(C279,'Base de datos'!C:C,'Base de datos'!A:A,"",FALSE)</f>
        <v>28</v>
      </c>
      <c r="C279" s="270" t="s">
        <v>53</v>
      </c>
      <c r="D279" s="275" t="s">
        <v>20</v>
      </c>
      <c r="E279" s="256">
        <f t="array" ref="E279">+XLOOKUP(B279,'Base de datos'!A:A,'Base de datos'!H:H,0)</f>
        <v>0.1746</v>
      </c>
      <c r="F279" s="271">
        <v>1.0</v>
      </c>
      <c r="G279" s="271">
        <v>1.0</v>
      </c>
      <c r="H279" s="258">
        <f t="shared" si="27"/>
        <v>0</v>
      </c>
      <c r="I279" s="256">
        <f t="shared" si="28"/>
        <v>0.1746</v>
      </c>
      <c r="J279" s="241"/>
      <c r="K279" s="272" t="s">
        <v>326</v>
      </c>
      <c r="L279" s="273">
        <f>L278/1.1</f>
        <v>8.090909091</v>
      </c>
      <c r="M279" s="274"/>
    </row>
    <row r="280" ht="15.75" customHeight="1">
      <c r="B280" s="269">
        <f t="array" ref="B280">+XLOOKUP(C280,'Base de datos'!C:C,'Base de datos'!A:A,"",FALSE)</f>
        <v>58</v>
      </c>
      <c r="C280" s="270" t="s">
        <v>85</v>
      </c>
      <c r="D280" s="255" t="s">
        <v>14</v>
      </c>
      <c r="E280" s="256">
        <f t="array" ref="E280">+XLOOKUP(B280,'Base de datos'!A:A,'Base de datos'!H:H,0)</f>
        <v>2.15</v>
      </c>
      <c r="F280" s="271">
        <v>0.09</v>
      </c>
      <c r="G280" s="257"/>
      <c r="H280" s="258">
        <f t="shared" si="27"/>
        <v>1</v>
      </c>
      <c r="I280" s="256">
        <f t="shared" si="28"/>
        <v>0.1935</v>
      </c>
      <c r="J280" s="241"/>
      <c r="K280" s="276" t="s">
        <v>327</v>
      </c>
      <c r="L280" s="277">
        <v>0.1</v>
      </c>
      <c r="M280" s="278"/>
    </row>
    <row r="281" ht="15.75" customHeight="1">
      <c r="B281" s="269">
        <f t="array" ref="B281">+XLOOKUP(C281,'Base de datos'!C:C,'Base de datos'!A:A,"",FALSE)</f>
        <v>69</v>
      </c>
      <c r="C281" s="270" t="s">
        <v>91</v>
      </c>
      <c r="D281" s="275" t="s">
        <v>20</v>
      </c>
      <c r="E281" s="256">
        <f t="array" ref="E281">+XLOOKUP(B281,'Base de datos'!A:A,'Base de datos'!H:H,0)</f>
        <v>0.07054166667</v>
      </c>
      <c r="F281" s="271">
        <v>1.0</v>
      </c>
      <c r="G281" s="257"/>
      <c r="H281" s="258">
        <f t="shared" si="27"/>
        <v>1</v>
      </c>
      <c r="I281" s="256">
        <f t="shared" si="28"/>
        <v>0.07054166667</v>
      </c>
      <c r="J281" s="241"/>
      <c r="K281" s="279" t="s">
        <v>328</v>
      </c>
      <c r="L281" s="280">
        <f>L277/L279*100</f>
        <v>18.91078184</v>
      </c>
      <c r="M281" s="281" t="s">
        <v>329</v>
      </c>
    </row>
    <row r="282" ht="15.75" customHeight="1">
      <c r="B282" s="240"/>
      <c r="C282" s="241"/>
      <c r="D282" s="242"/>
      <c r="E282" s="243"/>
      <c r="F282" s="244"/>
      <c r="G282" s="244"/>
      <c r="H282" s="241"/>
      <c r="I282" s="241"/>
      <c r="J282" s="241"/>
      <c r="K282" s="285" t="s">
        <v>330</v>
      </c>
      <c r="L282" s="286">
        <f>L279-L277</f>
        <v>6.560854924</v>
      </c>
      <c r="M282" s="287" t="s">
        <v>331</v>
      </c>
    </row>
    <row r="283" ht="15.75" customHeight="1">
      <c r="B283" s="295"/>
      <c r="C283" s="296" t="s">
        <v>337</v>
      </c>
      <c r="D283" s="297"/>
      <c r="E283" s="297"/>
      <c r="F283" s="297"/>
      <c r="G283" s="297"/>
      <c r="H283" s="297"/>
      <c r="I283" s="298"/>
      <c r="J283" s="241"/>
      <c r="K283" s="289" t="s">
        <v>332</v>
      </c>
      <c r="L283" s="290">
        <f>L279-L277-(L278*0.2)</f>
        <v>4.780854924</v>
      </c>
      <c r="M283" s="291" t="s">
        <v>331</v>
      </c>
    </row>
    <row r="284" ht="15.75" customHeight="1">
      <c r="B284" s="299"/>
      <c r="C284" s="300"/>
      <c r="D284" s="297"/>
      <c r="E284" s="297"/>
      <c r="F284" s="297"/>
      <c r="G284" s="297"/>
      <c r="H284" s="297"/>
      <c r="I284" s="298"/>
      <c r="J284" s="241"/>
      <c r="K284" s="289" t="s">
        <v>332</v>
      </c>
      <c r="L284" s="292">
        <f>L283/L279</f>
        <v>0.5908921816</v>
      </c>
      <c r="M284" s="291" t="s">
        <v>329</v>
      </c>
    </row>
    <row r="285" ht="15.75" customHeight="1">
      <c r="B285" s="301"/>
      <c r="C285" s="302"/>
      <c r="I285" s="278"/>
      <c r="J285" s="241"/>
      <c r="K285" s="241"/>
      <c r="L285" s="241"/>
    </row>
    <row r="286" ht="15.75" customHeight="1">
      <c r="B286" s="301"/>
      <c r="C286" s="302"/>
      <c r="I286" s="278"/>
      <c r="J286" s="241"/>
      <c r="K286" s="241"/>
      <c r="L286" s="241"/>
    </row>
    <row r="287" ht="15.75" customHeight="1">
      <c r="B287" s="301"/>
      <c r="C287" s="302"/>
      <c r="I287" s="278"/>
      <c r="J287" s="241"/>
      <c r="K287" s="241"/>
      <c r="L287" s="241"/>
    </row>
    <row r="288" ht="15.75" customHeight="1">
      <c r="B288" s="301"/>
      <c r="C288" s="302"/>
      <c r="I288" s="278"/>
      <c r="J288" s="241"/>
      <c r="K288" s="241"/>
      <c r="L288" s="241"/>
    </row>
    <row r="289" ht="15.75" customHeight="1">
      <c r="B289" s="301"/>
      <c r="C289" s="302"/>
      <c r="I289" s="278"/>
      <c r="J289" s="241"/>
      <c r="K289" s="241"/>
      <c r="L289" s="241"/>
    </row>
    <row r="290" ht="15.75" customHeight="1">
      <c r="B290" s="301"/>
      <c r="C290" s="302"/>
      <c r="I290" s="278"/>
      <c r="J290" s="241"/>
      <c r="K290" s="241"/>
      <c r="L290" s="241"/>
    </row>
    <row r="291" ht="15.75" customHeight="1">
      <c r="B291" s="301"/>
      <c r="C291" s="304"/>
      <c r="D291" s="305"/>
      <c r="E291" s="305"/>
      <c r="F291" s="305"/>
      <c r="G291" s="305"/>
      <c r="H291" s="305"/>
      <c r="I291" s="274"/>
      <c r="J291" s="241"/>
      <c r="K291" s="241"/>
      <c r="L291" s="241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76">
    <mergeCell ref="L73:M73"/>
    <mergeCell ref="L74:M74"/>
    <mergeCell ref="L75:M75"/>
    <mergeCell ref="C78:I78"/>
    <mergeCell ref="C79:I79"/>
    <mergeCell ref="C80:I80"/>
    <mergeCell ref="C81:I81"/>
    <mergeCell ref="C82:I82"/>
    <mergeCell ref="C83:I83"/>
    <mergeCell ref="C84:I84"/>
    <mergeCell ref="C85:I85"/>
    <mergeCell ref="C86:I86"/>
    <mergeCell ref="D89:I89"/>
    <mergeCell ref="L93:M93"/>
    <mergeCell ref="D2:I2"/>
    <mergeCell ref="L6:M6"/>
    <mergeCell ref="L7:M7"/>
    <mergeCell ref="L8:M8"/>
    <mergeCell ref="L9:M9"/>
    <mergeCell ref="L14:M14"/>
    <mergeCell ref="L15:M15"/>
    <mergeCell ref="L16:M16"/>
    <mergeCell ref="L17:M17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D31:I31"/>
    <mergeCell ref="L35:M35"/>
    <mergeCell ref="L36:M36"/>
    <mergeCell ref="L37:M37"/>
    <mergeCell ref="L38:M38"/>
    <mergeCell ref="L43:M43"/>
    <mergeCell ref="L44:M44"/>
    <mergeCell ref="L45:M45"/>
    <mergeCell ref="L46:M46"/>
    <mergeCell ref="C49:I49"/>
    <mergeCell ref="C50:I50"/>
    <mergeCell ref="C51:I51"/>
    <mergeCell ref="C52:I52"/>
    <mergeCell ref="C53:I53"/>
    <mergeCell ref="C54:I54"/>
    <mergeCell ref="C55:I55"/>
    <mergeCell ref="C56:I56"/>
    <mergeCell ref="C57:I57"/>
    <mergeCell ref="D60:I60"/>
    <mergeCell ref="L64:M64"/>
    <mergeCell ref="L65:M65"/>
    <mergeCell ref="L66:M66"/>
    <mergeCell ref="L67:M67"/>
    <mergeCell ref="L72:M72"/>
    <mergeCell ref="L94:M94"/>
    <mergeCell ref="L95:M95"/>
    <mergeCell ref="L96:M96"/>
    <mergeCell ref="L101:M101"/>
    <mergeCell ref="L102:M102"/>
    <mergeCell ref="L103:M103"/>
    <mergeCell ref="L104:M104"/>
    <mergeCell ref="L162:M162"/>
    <mergeCell ref="L180:M180"/>
    <mergeCell ref="L181:M181"/>
    <mergeCell ref="L182:M182"/>
    <mergeCell ref="L183:M183"/>
    <mergeCell ref="L188:M188"/>
    <mergeCell ref="L189:M189"/>
    <mergeCell ref="L190:M190"/>
    <mergeCell ref="L191:M191"/>
    <mergeCell ref="L209:M209"/>
    <mergeCell ref="L210:M210"/>
    <mergeCell ref="L211:M211"/>
    <mergeCell ref="L212:M212"/>
    <mergeCell ref="L239:M239"/>
    <mergeCell ref="L269:M269"/>
    <mergeCell ref="L270:M270"/>
    <mergeCell ref="L271:M271"/>
    <mergeCell ref="L272:M272"/>
    <mergeCell ref="L277:M277"/>
    <mergeCell ref="L278:M278"/>
    <mergeCell ref="L279:M279"/>
    <mergeCell ref="L280:M280"/>
    <mergeCell ref="L240:M240"/>
    <mergeCell ref="L241:M241"/>
    <mergeCell ref="L242:M242"/>
    <mergeCell ref="L247:M247"/>
    <mergeCell ref="L248:M248"/>
    <mergeCell ref="L249:M249"/>
    <mergeCell ref="L250:M250"/>
    <mergeCell ref="C198:I198"/>
    <mergeCell ref="C199:I199"/>
    <mergeCell ref="C200:I200"/>
    <mergeCell ref="C201:I201"/>
    <mergeCell ref="C202:I202"/>
    <mergeCell ref="D205:I205"/>
    <mergeCell ref="C223:I223"/>
    <mergeCell ref="C224:I224"/>
    <mergeCell ref="C225:I225"/>
    <mergeCell ref="C226:I226"/>
    <mergeCell ref="C227:I227"/>
    <mergeCell ref="C228:I228"/>
    <mergeCell ref="C229:I229"/>
    <mergeCell ref="C230:I230"/>
    <mergeCell ref="C231:I231"/>
    <mergeCell ref="D235:I235"/>
    <mergeCell ref="C253:I253"/>
    <mergeCell ref="C254:I254"/>
    <mergeCell ref="C255:I255"/>
    <mergeCell ref="C256:I256"/>
    <mergeCell ref="C257:I257"/>
    <mergeCell ref="C285:I285"/>
    <mergeCell ref="C286:I286"/>
    <mergeCell ref="C287:I287"/>
    <mergeCell ref="C288:I288"/>
    <mergeCell ref="C289:I289"/>
    <mergeCell ref="C290:I290"/>
    <mergeCell ref="C291:I291"/>
    <mergeCell ref="C258:I258"/>
    <mergeCell ref="C259:I259"/>
    <mergeCell ref="C260:I260"/>
    <mergeCell ref="C261:I261"/>
    <mergeCell ref="D265:I265"/>
    <mergeCell ref="C283:I283"/>
    <mergeCell ref="C284:I284"/>
    <mergeCell ref="C107:I107"/>
    <mergeCell ref="C108:I108"/>
    <mergeCell ref="C109:I109"/>
    <mergeCell ref="C110:I110"/>
    <mergeCell ref="C111:I111"/>
    <mergeCell ref="C112:I112"/>
    <mergeCell ref="C113:I113"/>
    <mergeCell ref="C114:I114"/>
    <mergeCell ref="C115:I115"/>
    <mergeCell ref="D118:I118"/>
    <mergeCell ref="L122:M122"/>
    <mergeCell ref="L123:M123"/>
    <mergeCell ref="L124:M124"/>
    <mergeCell ref="L125:M125"/>
    <mergeCell ref="L130:M130"/>
    <mergeCell ref="L131:M131"/>
    <mergeCell ref="L132:M132"/>
    <mergeCell ref="L133:M133"/>
    <mergeCell ref="C136:I136"/>
    <mergeCell ref="C137:I137"/>
    <mergeCell ref="C138:I138"/>
    <mergeCell ref="C139:I139"/>
    <mergeCell ref="C140:I140"/>
    <mergeCell ref="C141:I141"/>
    <mergeCell ref="C142:I142"/>
    <mergeCell ref="C143:I143"/>
    <mergeCell ref="C144:I144"/>
    <mergeCell ref="D147:I147"/>
    <mergeCell ref="C165:I165"/>
    <mergeCell ref="C166:I166"/>
    <mergeCell ref="C167:I167"/>
    <mergeCell ref="C168:I168"/>
    <mergeCell ref="C169:I169"/>
    <mergeCell ref="C170:I170"/>
    <mergeCell ref="C171:I171"/>
    <mergeCell ref="L151:M151"/>
    <mergeCell ref="L152:M152"/>
    <mergeCell ref="L153:M153"/>
    <mergeCell ref="L154:M154"/>
    <mergeCell ref="L159:M159"/>
    <mergeCell ref="L160:M160"/>
    <mergeCell ref="L161:M161"/>
    <mergeCell ref="C172:I172"/>
    <mergeCell ref="C173:I173"/>
    <mergeCell ref="D176:I176"/>
    <mergeCell ref="C194:I194"/>
    <mergeCell ref="C195:I195"/>
    <mergeCell ref="C196:I196"/>
    <mergeCell ref="C197:I197"/>
  </mergeCells>
  <dataValidations>
    <dataValidation type="list" allowBlank="1" showErrorMessage="1" sqref="D6:D18 D35:D47 D64:D76 D93:D105 D122:D134 D151:D163 D180:D192 D209:D221 D239:D251 D269:D281">
      <formula1>'Hoja 2'!$A$2:$A$4</formula1>
    </dataValidation>
    <dataValidation type="list" allowBlank="1" showErrorMessage="1" sqref="C6 C8:C18 C35 C37:C47 C64 C66:C76 C93 C95:C105 C122 C124:C134 C151 C153:C163 C181 C210 C239 C241:C251 C269 C271:C281">
      <formula1>'Base de datos'!$C$2:$C$133</formula1>
    </dataValidation>
    <dataValidation type="list" allowBlank="1" showErrorMessage="1" sqref="C180 C182:C192 C209 C211:C221">
      <formula1>'Base de datos'!$C$2:$C$931</formula1>
    </dataValidation>
  </dataValidations>
  <hyperlinks>
    <hyperlink display="INDICE" location="'INDICE 25'!A1" ref="K5"/>
    <hyperlink display="INDICE 26 " location="'INDICE 2026'!A1" ref="L5"/>
    <hyperlink display="INDICE UBER " location="'INDICE UBER'!A1" ref="K13"/>
    <hyperlink display="INDICE" location="'INDICE 25'!A1" ref="K34"/>
    <hyperlink display="INDICE 26 " location="'INDICE 2026'!A1" ref="L34"/>
    <hyperlink display="INDICE UBER " location="'INDICE UBER'!A1" ref="K42"/>
    <hyperlink display="INDICE" location="'INDICE 25'!A1" ref="K63"/>
    <hyperlink display="INDICE 26 " location="'INDICE 2026'!A1" ref="L63"/>
    <hyperlink display="INDICE UBER " location="'INDICE UBER'!A1" ref="K71"/>
    <hyperlink display="INDICE" location="'INDICE 25'!A1" ref="K92"/>
    <hyperlink display="INDICE UBER " location="'INDICE UBER'!A1" ref="K100"/>
    <hyperlink display="INDICE" location="'INDICE 25'!A1" ref="K121"/>
    <hyperlink display="INDICE UBER " location="'INDICE UBER'!A1" ref="K129"/>
    <hyperlink display="INDICE" location="'INDICE 25'!A1" ref="K150"/>
    <hyperlink display="INDICE 26 " location="'INDICE 2026'!A1" ref="L150"/>
    <hyperlink display="INDICE UBER " location="'INDICE UBER'!A1" ref="K158"/>
    <hyperlink display="INDICE" location="'INDICE 25'!A1" ref="K179"/>
    <hyperlink display="INDICE UBER " location="'INDICE UBER'!A1" ref="K187"/>
    <hyperlink display="INDICE" location="'INDICE 25'!A1" ref="K208"/>
    <hyperlink display="INDICE 26 " location="'INDICE 2026'!A1" ref="L208"/>
    <hyperlink display="INDICE" location="'INDICE 25'!A1" ref="K238"/>
    <hyperlink display="INDICE UBER " location="'INDICE UBER'!A1" ref="K246"/>
    <hyperlink display="INDICE" location="'INDICE 25'!A1" ref="K268"/>
    <hyperlink display="INDICE UBER " location="'INDICE UBER'!A1" ref="K27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772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 t="shared" ref="H6:H12" si="1">IFERROR(1-G6/F6,"")</f>
        <v/>
      </c>
      <c r="I6" s="256">
        <f t="shared" ref="I6:I17" si="2">IFERROR(E6*F6,"")</f>
        <v>0</v>
      </c>
      <c r="J6" s="241"/>
      <c r="K6" s="259" t="s">
        <v>324</v>
      </c>
      <c r="L6" s="260">
        <f>SUM(I6:I17)</f>
        <v>2.275348485</v>
      </c>
      <c r="M6" s="261"/>
    </row>
    <row r="7" ht="15.75" customHeight="1">
      <c r="A7" s="252"/>
      <c r="B7" s="262" t="str">
        <f>K29</f>
        <v/>
      </c>
      <c r="C7" s="262" t="str">
        <f>C29</f>
        <v/>
      </c>
      <c r="D7" s="263" t="s">
        <v>14</v>
      </c>
      <c r="E7" s="264" t="str">
        <f>K35</f>
        <v>PVP</v>
      </c>
      <c r="F7" s="265"/>
      <c r="G7" s="265"/>
      <c r="H7" s="266" t="str">
        <f t="shared" si="1"/>
        <v/>
      </c>
      <c r="I7" s="264" t="str">
        <f t="shared" si="2"/>
        <v/>
      </c>
      <c r="J7" s="241"/>
      <c r="K7" s="267" t="s">
        <v>325</v>
      </c>
      <c r="L7" s="268">
        <v>9.0</v>
      </c>
      <c r="M7" s="261"/>
    </row>
    <row r="8" ht="15.75" customHeight="1">
      <c r="A8" s="252"/>
      <c r="B8" s="269">
        <f t="array" ref="B8">+XLOOKUP(C8,'Base de datos'!C:C,'Base de datos'!A:A,"",FALSE)</f>
        <v>138</v>
      </c>
      <c r="C8" s="401" t="s">
        <v>165</v>
      </c>
      <c r="D8" s="255" t="s">
        <v>14</v>
      </c>
      <c r="E8" s="256">
        <f t="array" ref="E8">+XLOOKUP(B8,'Base de datos'!A:A,'Base de datos'!H:H,0)</f>
        <v>14.56363636</v>
      </c>
      <c r="F8" s="271">
        <v>0.1</v>
      </c>
      <c r="G8" s="271">
        <v>0.1</v>
      </c>
      <c r="H8" s="258">
        <f t="shared" si="1"/>
        <v>0</v>
      </c>
      <c r="I8" s="256">
        <f t="shared" si="2"/>
        <v>1.456363636</v>
      </c>
      <c r="J8" s="241"/>
      <c r="K8" s="272" t="s">
        <v>326</v>
      </c>
      <c r="L8" s="273">
        <f>L7/1.1</f>
        <v>8.181818182</v>
      </c>
      <c r="M8" s="274"/>
    </row>
    <row r="9" ht="15.75" customHeight="1">
      <c r="A9" s="252"/>
      <c r="B9" s="269">
        <f t="array" ref="B9">+XLOOKUP(C9,'Base de datos'!C:C,'Base de datos'!A:A,"",FALSE)</f>
        <v>110</v>
      </c>
      <c r="C9" s="270" t="s">
        <v>134</v>
      </c>
      <c r="D9" s="275" t="s">
        <v>20</v>
      </c>
      <c r="E9" s="256">
        <f t="array" ref="E9">+XLOOKUP(B9,'Base de datos'!A:A,'Base de datos'!H:H,0)</f>
        <v>0.2818181818</v>
      </c>
      <c r="F9" s="271">
        <v>1.0</v>
      </c>
      <c r="G9" s="271">
        <v>1.0</v>
      </c>
      <c r="H9" s="258">
        <f t="shared" si="1"/>
        <v>0</v>
      </c>
      <c r="I9" s="256">
        <f t="shared" si="2"/>
        <v>0.2818181818</v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269">
        <f t="array" ref="B10">+XLOOKUP(C10,'Base de datos'!C:C,'Base de datos'!A:A,"",FALSE)</f>
        <v>58</v>
      </c>
      <c r="C10" s="270" t="s">
        <v>85</v>
      </c>
      <c r="D10" s="275" t="s">
        <v>14</v>
      </c>
      <c r="E10" s="256">
        <f t="array" ref="E10">+XLOOKUP(B10,'Base de datos'!A:A,'Base de datos'!H:H,0)</f>
        <v>2.15</v>
      </c>
      <c r="F10" s="271">
        <v>0.09</v>
      </c>
      <c r="G10" s="271">
        <v>0.09</v>
      </c>
      <c r="H10" s="258">
        <f t="shared" si="1"/>
        <v>0</v>
      </c>
      <c r="I10" s="256">
        <f t="shared" si="2"/>
        <v>0.1935</v>
      </c>
      <c r="J10" s="241"/>
      <c r="K10" s="279" t="s">
        <v>328</v>
      </c>
      <c r="L10" s="280">
        <f>L6/L8*100</f>
        <v>27.80981481</v>
      </c>
      <c r="M10" s="281" t="s">
        <v>329</v>
      </c>
    </row>
    <row r="11" ht="15.75" customHeight="1">
      <c r="A11" s="252"/>
      <c r="B11" s="269">
        <f t="array" ref="B11">+XLOOKUP(C11,'Base de datos'!C:C,'Base de datos'!A:A,"",FALSE)</f>
        <v>29</v>
      </c>
      <c r="C11" s="270" t="s">
        <v>54</v>
      </c>
      <c r="D11" s="275" t="s">
        <v>20</v>
      </c>
      <c r="E11" s="256">
        <f t="array" ref="E11">+XLOOKUP(B11,'Base de datos'!A:A,'Base de datos'!H:H,0)</f>
        <v>0.1946</v>
      </c>
      <c r="F11" s="271">
        <v>1.0</v>
      </c>
      <c r="G11" s="271">
        <v>1.0</v>
      </c>
      <c r="H11" s="258">
        <f t="shared" si="1"/>
        <v>0</v>
      </c>
      <c r="I11" s="256">
        <f t="shared" si="2"/>
        <v>0.1946</v>
      </c>
      <c r="J11" s="241"/>
      <c r="K11" s="282" t="s">
        <v>330</v>
      </c>
      <c r="L11" s="283">
        <f>100-L10</f>
        <v>72.19018519</v>
      </c>
      <c r="M11" s="284" t="s">
        <v>329</v>
      </c>
    </row>
    <row r="12" ht="15.75" customHeight="1">
      <c r="A12" s="252"/>
      <c r="B12" s="269">
        <f t="array" ref="B12">+XLOOKUP(C12,'Base de datos'!C:C,'Base de datos'!A:A,"",FALSE)</f>
        <v>93</v>
      </c>
      <c r="C12" s="270" t="s">
        <v>114</v>
      </c>
      <c r="D12" s="275" t="s">
        <v>20</v>
      </c>
      <c r="E12" s="256">
        <f t="array" ref="E12">+XLOOKUP(B12,'Base de datos'!A:A,'Base de datos'!H:H,0)</f>
        <v>0.0277</v>
      </c>
      <c r="F12" s="271">
        <v>2.0</v>
      </c>
      <c r="G12" s="271">
        <v>2.0</v>
      </c>
      <c r="H12" s="258">
        <f t="shared" si="1"/>
        <v>0</v>
      </c>
      <c r="I12" s="256">
        <f t="shared" si="2"/>
        <v>0.0554</v>
      </c>
      <c r="J12" s="241"/>
      <c r="L12" s="288"/>
    </row>
    <row r="13" ht="15.75" customHeight="1">
      <c r="A13" s="252"/>
      <c r="B13" s="269">
        <f t="array" ref="B13">+XLOOKUP(C13,'Base de datos'!C:C,'Base de datos'!A:A,"",FALSE)</f>
        <v>13</v>
      </c>
      <c r="C13" s="270" t="s">
        <v>32</v>
      </c>
      <c r="D13" s="255" t="s">
        <v>14</v>
      </c>
      <c r="E13" s="256">
        <f t="array" ref="E13">+XLOOKUP(B13,'Base de datos'!A:A,'Base de datos'!H:H,0)</f>
        <v>6.244444444</v>
      </c>
      <c r="F13" s="271">
        <v>0.015</v>
      </c>
      <c r="G13" s="257"/>
      <c r="H13" s="258"/>
      <c r="I13" s="256">
        <f t="shared" si="2"/>
        <v>0.09366666667</v>
      </c>
      <c r="J13" s="241"/>
      <c r="L13" s="288"/>
    </row>
    <row r="14" ht="15.75" customHeight="1">
      <c r="A14" s="252"/>
      <c r="B14" s="253" t="str">
        <f t="array" ref="B14">+XLOOKUP(C14,'Base de datos'!C:C,'Base de datos'!A:A,"",FALSE)</f>
        <v/>
      </c>
      <c r="C14" s="254"/>
      <c r="D14" s="255" t="s">
        <v>14</v>
      </c>
      <c r="E14" s="256">
        <f t="array" ref="E14">+XLOOKUP(B14,'Base de datos'!A:A,'Base de datos'!H:H,0)</f>
        <v>0</v>
      </c>
      <c r="F14" s="257"/>
      <c r="G14" s="257"/>
      <c r="H14" s="258"/>
      <c r="I14" s="256">
        <f t="shared" si="2"/>
        <v>0</v>
      </c>
      <c r="J14" s="241"/>
      <c r="L14" s="288"/>
    </row>
    <row r="15" ht="15.75" customHeight="1">
      <c r="A15" s="252"/>
      <c r="B15" s="253" t="str">
        <f t="array" ref="B15">+XLOOKUP(C15,'Base de datos'!C:C,'Base de datos'!A:A,"",FALSE)</f>
        <v/>
      </c>
      <c r="C15" s="254"/>
      <c r="D15" s="255" t="s">
        <v>14</v>
      </c>
      <c r="E15" s="256">
        <f t="array" ref="E15">+XLOOKUP(B15,'Base de datos'!A:A,'Base de datos'!H:H,0)</f>
        <v>0</v>
      </c>
      <c r="F15" s="257"/>
      <c r="G15" s="257"/>
      <c r="H15" s="258"/>
      <c r="I15" s="256">
        <f t="shared" si="2"/>
        <v>0</v>
      </c>
      <c r="J15" s="241"/>
      <c r="L15" s="288"/>
    </row>
    <row r="16" ht="15.75" customHeight="1">
      <c r="A16" s="252"/>
      <c r="B16" s="253" t="str">
        <f t="array" ref="B16">+XLOOKUP(C16,'Base de datos'!C:C,'Base de datos'!A:A,"",FALSE)</f>
        <v/>
      </c>
      <c r="C16" s="254"/>
      <c r="D16" s="255" t="s">
        <v>14</v>
      </c>
      <c r="E16" s="256">
        <f t="array" ref="E16">+XLOOKUP(B16,'Base de datos'!A:A,'Base de datos'!H:H,0)</f>
        <v>0</v>
      </c>
      <c r="F16" s="257"/>
      <c r="G16" s="257"/>
      <c r="H16" s="258"/>
      <c r="I16" s="256">
        <f t="shared" si="2"/>
        <v>0</v>
      </c>
      <c r="J16" s="241"/>
      <c r="L16" s="478"/>
    </row>
    <row r="17" ht="15.75" customHeight="1">
      <c r="A17" s="252"/>
      <c r="B17" s="253" t="str">
        <f t="array" ref="B17">+XLOOKUP(C17,'Base de datos'!C:C,'Base de datos'!A:A,"",FALSE)</f>
        <v/>
      </c>
      <c r="C17" s="254"/>
      <c r="D17" s="255" t="s">
        <v>14</v>
      </c>
      <c r="E17" s="256">
        <f t="array" ref="E17">+XLOOKUP(B17,'Base de datos'!A:A,'Base de datos'!H:H,0)</f>
        <v>0</v>
      </c>
      <c r="F17" s="257"/>
      <c r="G17" s="257"/>
      <c r="H17" s="258" t="str">
        <f>IFERROR(1-G17/F17,"")</f>
        <v/>
      </c>
      <c r="I17" s="256">
        <f t="shared" si="2"/>
        <v>0</v>
      </c>
      <c r="J17" s="241"/>
      <c r="L17" s="288"/>
    </row>
    <row r="18" ht="15.75" customHeight="1">
      <c r="A18" s="240"/>
      <c r="B18" s="240"/>
      <c r="C18" s="241"/>
      <c r="D18" s="242"/>
      <c r="E18" s="243"/>
      <c r="F18" s="244"/>
      <c r="G18" s="244"/>
      <c r="H18" s="241"/>
      <c r="I18" s="241"/>
      <c r="J18" s="241"/>
      <c r="K18" s="241"/>
      <c r="L18" s="241"/>
    </row>
    <row r="19" ht="15.75" customHeight="1">
      <c r="A19" s="295"/>
      <c r="B19" s="295"/>
      <c r="C19" s="296" t="s">
        <v>337</v>
      </c>
      <c r="D19" s="297"/>
      <c r="E19" s="297"/>
      <c r="F19" s="297"/>
      <c r="G19" s="297"/>
      <c r="H19" s="297"/>
      <c r="I19" s="298"/>
      <c r="J19" s="241"/>
      <c r="K19" s="241"/>
      <c r="L19" s="241"/>
    </row>
    <row r="20" ht="15.75" customHeight="1">
      <c r="A20" s="299"/>
      <c r="B20" s="299"/>
      <c r="C20" s="300"/>
      <c r="D20" s="297"/>
      <c r="E20" s="297"/>
      <c r="F20" s="297"/>
      <c r="G20" s="297"/>
      <c r="H20" s="297"/>
      <c r="I20" s="298"/>
      <c r="J20" s="241"/>
      <c r="K20" s="241"/>
      <c r="L20" s="241"/>
    </row>
    <row r="21" ht="15.75" customHeight="1">
      <c r="A21" s="301"/>
      <c r="B21" s="301"/>
      <c r="C21" s="302"/>
      <c r="I21" s="278"/>
      <c r="J21" s="241"/>
      <c r="K21" s="241"/>
      <c r="L21" s="241"/>
    </row>
    <row r="22" ht="15.75" customHeight="1">
      <c r="A22" s="301"/>
      <c r="B22" s="301"/>
      <c r="C22" s="302"/>
      <c r="I22" s="278"/>
      <c r="J22" s="241"/>
      <c r="K22" s="241"/>
      <c r="L22" s="241"/>
    </row>
    <row r="23" ht="15.75" customHeight="1">
      <c r="A23" s="301"/>
      <c r="B23" s="301"/>
      <c r="C23" s="302"/>
      <c r="I23" s="278"/>
      <c r="J23" s="241"/>
      <c r="K23" s="241"/>
      <c r="L23" s="241"/>
    </row>
    <row r="24" ht="15.75" customHeight="1">
      <c r="A24" s="301"/>
      <c r="B24" s="301"/>
      <c r="C24" s="302"/>
      <c r="I24" s="278"/>
      <c r="J24" s="241"/>
      <c r="K24" s="241"/>
      <c r="L24" s="241"/>
    </row>
    <row r="25" ht="15.75" customHeight="1">
      <c r="A25" s="301"/>
      <c r="B25" s="301"/>
      <c r="C25" s="302"/>
      <c r="I25" s="278"/>
      <c r="J25" s="241"/>
      <c r="K25" s="241"/>
      <c r="L25" s="241"/>
    </row>
    <row r="26" ht="15.75" customHeight="1">
      <c r="A26" s="301"/>
      <c r="B26" s="301"/>
      <c r="C26" s="302"/>
      <c r="I26" s="278"/>
      <c r="J26" s="241"/>
      <c r="K26" s="241"/>
      <c r="L26" s="241"/>
    </row>
    <row r="27" ht="15.75" customHeight="1">
      <c r="A27" s="301"/>
      <c r="B27" s="301"/>
      <c r="C27" s="304"/>
      <c r="D27" s="305"/>
      <c r="E27" s="305"/>
      <c r="F27" s="305"/>
      <c r="G27" s="305"/>
      <c r="H27" s="305"/>
      <c r="I27" s="274"/>
      <c r="J27" s="241"/>
      <c r="K27" s="241"/>
      <c r="L27" s="241"/>
    </row>
    <row r="28" ht="15.75" customHeight="1">
      <c r="A28" s="240"/>
      <c r="B28" s="240"/>
      <c r="C28" s="241"/>
      <c r="D28" s="242"/>
      <c r="E28" s="243"/>
      <c r="F28" s="244"/>
      <c r="G28" s="244"/>
      <c r="H28" s="241"/>
      <c r="I28" s="241"/>
      <c r="J28" s="241"/>
      <c r="K28" s="241"/>
      <c r="L28" s="241"/>
    </row>
    <row r="29" ht="15.75" customHeight="1">
      <c r="A29" s="229"/>
      <c r="B29" s="230"/>
      <c r="C29" s="230"/>
      <c r="D29" s="230"/>
      <c r="E29" s="231"/>
      <c r="F29" s="232"/>
      <c r="G29" s="232"/>
      <c r="H29" s="230"/>
      <c r="I29" s="230"/>
      <c r="J29" s="230"/>
      <c r="K29" s="230"/>
      <c r="L29" s="230"/>
      <c r="M29" s="23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</row>
    <row r="30" ht="15.75" customHeight="1">
      <c r="A30" s="234"/>
      <c r="B30" s="234"/>
      <c r="C30" s="235" t="s">
        <v>313</v>
      </c>
      <c r="D30" s="236" t="s">
        <v>773</v>
      </c>
      <c r="E30" s="237"/>
      <c r="F30" s="237"/>
      <c r="G30" s="237"/>
      <c r="H30" s="237"/>
      <c r="I30" s="237"/>
      <c r="J30" s="238"/>
      <c r="K30" s="231"/>
      <c r="L30" s="230"/>
      <c r="M30" s="233"/>
    </row>
    <row r="31" ht="15.75" customHeight="1">
      <c r="A31" s="239"/>
      <c r="B31" s="239"/>
      <c r="C31" s="230"/>
      <c r="D31" s="230"/>
      <c r="E31" s="231"/>
      <c r="F31" s="232"/>
      <c r="G31" s="232"/>
      <c r="H31" s="230"/>
      <c r="I31" s="230"/>
      <c r="J31" s="230"/>
      <c r="K31" s="230"/>
      <c r="L31" s="230"/>
      <c r="M31" s="233"/>
    </row>
    <row r="32" ht="15.75" customHeight="1">
      <c r="A32" s="240"/>
      <c r="B32" s="240"/>
      <c r="C32" s="241"/>
      <c r="D32" s="242"/>
      <c r="E32" s="243"/>
      <c r="F32" s="244"/>
      <c r="G32" s="244"/>
      <c r="H32" s="241"/>
      <c r="I32" s="241"/>
      <c r="J32" s="241"/>
      <c r="K32" s="241"/>
      <c r="L32" s="241"/>
    </row>
    <row r="33" ht="15.75" customHeight="1">
      <c r="A33" s="245"/>
      <c r="B33" s="246" t="s">
        <v>0</v>
      </c>
      <c r="C33" s="246" t="s">
        <v>315</v>
      </c>
      <c r="D33" s="246" t="s">
        <v>316</v>
      </c>
      <c r="E33" s="247" t="s">
        <v>317</v>
      </c>
      <c r="F33" s="248" t="s">
        <v>318</v>
      </c>
      <c r="G33" s="248" t="s">
        <v>319</v>
      </c>
      <c r="H33" s="246" t="s">
        <v>320</v>
      </c>
      <c r="I33" s="246" t="s">
        <v>321</v>
      </c>
      <c r="J33" s="249"/>
      <c r="K33" s="250" t="s">
        <v>322</v>
      </c>
      <c r="L33" s="251"/>
      <c r="M33" s="251"/>
    </row>
    <row r="34" ht="15.75" customHeight="1">
      <c r="A34" s="252"/>
      <c r="B34" s="253" t="str">
        <f t="array" ref="B34">+XLOOKUP(C34,'Base de datos'!C:C,'Base de datos'!A:A,"",FALSE)</f>
        <v/>
      </c>
      <c r="C34" s="254"/>
      <c r="D34" s="255" t="s">
        <v>14</v>
      </c>
      <c r="E34" s="256">
        <f t="array" ref="E34">+XLOOKUP(B34,'Base de datos'!A:A,'Base de datos'!H:H,0)</f>
        <v>0</v>
      </c>
      <c r="F34" s="257"/>
      <c r="G34" s="257"/>
      <c r="H34" s="258" t="str">
        <f t="shared" ref="H34:H40" si="3">IFERROR(1-G34/F34,"")</f>
        <v/>
      </c>
      <c r="I34" s="256">
        <f t="shared" ref="I34:I45" si="4">IFERROR(E34*F34,"")</f>
        <v>0</v>
      </c>
      <c r="J34" s="241"/>
      <c r="K34" s="259" t="s">
        <v>324</v>
      </c>
      <c r="L34" s="260">
        <f>SUM(I34:I45)</f>
        <v>1.613802499</v>
      </c>
      <c r="M34" s="261"/>
    </row>
    <row r="35" ht="15.75" customHeight="1">
      <c r="A35" s="252"/>
      <c r="B35" s="262" t="str">
        <f>K57</f>
        <v/>
      </c>
      <c r="C35" s="262" t="str">
        <f>C57</f>
        <v/>
      </c>
      <c r="D35" s="263" t="s">
        <v>14</v>
      </c>
      <c r="E35" s="264" t="str">
        <f>K63</f>
        <v>PVP</v>
      </c>
      <c r="F35" s="265"/>
      <c r="G35" s="265"/>
      <c r="H35" s="266" t="str">
        <f t="shared" si="3"/>
        <v/>
      </c>
      <c r="I35" s="264" t="str">
        <f t="shared" si="4"/>
        <v/>
      </c>
      <c r="J35" s="241"/>
      <c r="K35" s="267" t="s">
        <v>325</v>
      </c>
      <c r="L35" s="268">
        <v>8.0</v>
      </c>
      <c r="M35" s="261"/>
    </row>
    <row r="36" ht="15.75" customHeight="1">
      <c r="A36" s="252"/>
      <c r="B36" s="269">
        <f t="array" ref="B36">+XLOOKUP(C36,'Base de datos'!C:C,'Base de datos'!A:A,"",FALSE)</f>
        <v>161</v>
      </c>
      <c r="C36" s="401" t="s">
        <v>194</v>
      </c>
      <c r="D36" s="255" t="s">
        <v>14</v>
      </c>
      <c r="E36" s="256">
        <f t="array" ref="E36">+XLOOKUP(B36,'Base de datos'!A:A,'Base de datos'!H:H,0)</f>
        <v>3.885121586</v>
      </c>
      <c r="F36" s="271">
        <v>0.1</v>
      </c>
      <c r="G36" s="271">
        <v>0.1</v>
      </c>
      <c r="H36" s="258">
        <f t="shared" si="3"/>
        <v>0</v>
      </c>
      <c r="I36" s="256">
        <f t="shared" si="4"/>
        <v>0.3885121586</v>
      </c>
      <c r="J36" s="241"/>
      <c r="K36" s="272" t="s">
        <v>326</v>
      </c>
      <c r="L36" s="273">
        <f>L35/1.1</f>
        <v>7.272727273</v>
      </c>
      <c r="M36" s="274"/>
    </row>
    <row r="37" ht="15.75" customHeight="1">
      <c r="A37" s="252"/>
      <c r="B37" s="269">
        <f t="array" ref="B37">+XLOOKUP(C37,'Base de datos'!C:C,'Base de datos'!A:A,"",FALSE)</f>
        <v>163</v>
      </c>
      <c r="C37" s="270" t="s">
        <v>197</v>
      </c>
      <c r="D37" s="275" t="s">
        <v>20</v>
      </c>
      <c r="E37" s="256">
        <f t="array" ref="E37">+XLOOKUP(B37,'Base de datos'!A:A,'Base de datos'!H:H,0)</f>
        <v>0.289</v>
      </c>
      <c r="F37" s="271">
        <v>1.0</v>
      </c>
      <c r="G37" s="271">
        <v>1.0</v>
      </c>
      <c r="H37" s="258">
        <f t="shared" si="3"/>
        <v>0</v>
      </c>
      <c r="I37" s="256">
        <f t="shared" si="4"/>
        <v>0.289</v>
      </c>
      <c r="J37" s="241"/>
      <c r="K37" s="276" t="s">
        <v>327</v>
      </c>
      <c r="L37" s="277">
        <v>0.1</v>
      </c>
      <c r="M37" s="278"/>
    </row>
    <row r="38" ht="15.75" customHeight="1">
      <c r="A38" s="252"/>
      <c r="B38" s="269">
        <f t="array" ref="B38">+XLOOKUP(C38,'Base de datos'!C:C,'Base de datos'!A:A,"",FALSE)</f>
        <v>131</v>
      </c>
      <c r="C38" s="270" t="s">
        <v>158</v>
      </c>
      <c r="D38" s="275" t="s">
        <v>14</v>
      </c>
      <c r="E38" s="256">
        <f t="array" ref="E38">+XLOOKUP(B38,'Base de datos'!A:A,'Base de datos'!H:H,0)</f>
        <v>1.92</v>
      </c>
      <c r="F38" s="271">
        <v>0.09</v>
      </c>
      <c r="G38" s="271">
        <v>0.09</v>
      </c>
      <c r="H38" s="258">
        <f t="shared" si="3"/>
        <v>0</v>
      </c>
      <c r="I38" s="256">
        <f t="shared" si="4"/>
        <v>0.1728</v>
      </c>
      <c r="J38" s="241"/>
      <c r="K38" s="279" t="s">
        <v>328</v>
      </c>
      <c r="L38" s="280">
        <f>L34/L36*100</f>
        <v>22.18978436</v>
      </c>
      <c r="M38" s="281" t="s">
        <v>329</v>
      </c>
    </row>
    <row r="39" ht="15.75" customHeight="1">
      <c r="A39" s="252"/>
      <c r="B39" s="269">
        <f t="array" ref="B39">+XLOOKUP(C39,'Base de datos'!C:C,'Base de datos'!A:A,"",FALSE)</f>
        <v>162</v>
      </c>
      <c r="C39" s="270" t="s">
        <v>195</v>
      </c>
      <c r="D39" s="275" t="s">
        <v>14</v>
      </c>
      <c r="E39" s="256">
        <f t="array" ref="E39">+XLOOKUP(B39,'Base de datos'!A:A,'Base de datos'!H:H,0)</f>
        <v>8.306122449</v>
      </c>
      <c r="F39" s="271">
        <v>0.03</v>
      </c>
      <c r="G39" s="271">
        <v>0.03</v>
      </c>
      <c r="H39" s="258">
        <f t="shared" si="3"/>
        <v>0</v>
      </c>
      <c r="I39" s="256">
        <f t="shared" si="4"/>
        <v>0.2491836735</v>
      </c>
      <c r="J39" s="241"/>
      <c r="K39" s="282" t="s">
        <v>330</v>
      </c>
      <c r="L39" s="283">
        <f>100-L38</f>
        <v>77.81021564</v>
      </c>
      <c r="M39" s="284" t="s">
        <v>329</v>
      </c>
    </row>
    <row r="40" ht="15.75" customHeight="1">
      <c r="A40" s="252"/>
      <c r="B40" s="269">
        <f t="array" ref="B40">+XLOOKUP(C40,'Base de datos'!C:C,'Base de datos'!A:A,"",FALSE)</f>
        <v>22</v>
      </c>
      <c r="C40" s="270" t="s">
        <v>45</v>
      </c>
      <c r="D40" s="275" t="s">
        <v>14</v>
      </c>
      <c r="E40" s="256">
        <f t="array" ref="E40">+XLOOKUP(B40,'Base de datos'!A:A,'Base de datos'!H:H,0)</f>
        <v>7.11</v>
      </c>
      <c r="F40" s="271">
        <v>0.024</v>
      </c>
      <c r="G40" s="271">
        <v>0.024</v>
      </c>
      <c r="H40" s="258">
        <f t="shared" si="3"/>
        <v>0</v>
      </c>
      <c r="I40" s="256">
        <f t="shared" si="4"/>
        <v>0.17064</v>
      </c>
      <c r="J40" s="241"/>
      <c r="L40" s="288"/>
    </row>
    <row r="41" ht="15.75" customHeight="1">
      <c r="A41" s="252"/>
      <c r="B41" s="269">
        <f t="array" ref="B41">+XLOOKUP(C41,'Base de datos'!C:C,'Base de datos'!A:A,"",FALSE)</f>
        <v>13</v>
      </c>
      <c r="C41" s="270" t="s">
        <v>32</v>
      </c>
      <c r="D41" s="255" t="s">
        <v>14</v>
      </c>
      <c r="E41" s="256">
        <f t="array" ref="E41">+XLOOKUP(B41,'Base de datos'!A:A,'Base de datos'!H:H,0)</f>
        <v>6.244444444</v>
      </c>
      <c r="F41" s="271">
        <v>0.015</v>
      </c>
      <c r="G41" s="257"/>
      <c r="H41" s="258"/>
      <c r="I41" s="256">
        <f t="shared" si="4"/>
        <v>0.09366666667</v>
      </c>
      <c r="J41" s="241"/>
      <c r="L41" s="288"/>
    </row>
    <row r="42" ht="15.75" customHeight="1">
      <c r="A42" s="252"/>
      <c r="B42" s="253" t="str">
        <f t="array" ref="B42">+XLOOKUP(C42,'Base de datos'!C:C,'Base de datos'!A:A,"",FALSE)</f>
        <v/>
      </c>
      <c r="C42" s="254"/>
      <c r="D42" s="255" t="s">
        <v>14</v>
      </c>
      <c r="E42" s="256">
        <f t="array" ref="E42">+XLOOKUP(B42,'Base de datos'!A:A,'Base de datos'!H:H,0)</f>
        <v>0</v>
      </c>
      <c r="F42" s="257"/>
      <c r="G42" s="257"/>
      <c r="H42" s="258"/>
      <c r="I42" s="256">
        <f t="shared" si="4"/>
        <v>0</v>
      </c>
      <c r="J42" s="241"/>
      <c r="L42" s="288"/>
    </row>
    <row r="43" ht="15.75" customHeight="1">
      <c r="A43" s="252"/>
      <c r="B43" s="253" t="str">
        <f t="array" ref="B43">+XLOOKUP(C43,'Base de datos'!C:C,'Base de datos'!A:A,"",FALSE)</f>
        <v/>
      </c>
      <c r="C43" s="254"/>
      <c r="D43" s="255" t="s">
        <v>14</v>
      </c>
      <c r="E43" s="256">
        <f t="array" ref="E43">+XLOOKUP(B43,'Base de datos'!A:A,'Base de datos'!H:H,0)</f>
        <v>0</v>
      </c>
      <c r="F43" s="257"/>
      <c r="G43" s="257"/>
      <c r="H43" s="258"/>
      <c r="I43" s="256">
        <f t="shared" si="4"/>
        <v>0</v>
      </c>
      <c r="J43" s="241"/>
      <c r="L43" s="288"/>
    </row>
    <row r="44" ht="15.75" customHeight="1">
      <c r="A44" s="252"/>
      <c r="B44" s="269">
        <f t="array" ref="B44">+XLOOKUP(C44,'Base de datos'!C:C,'Base de datos'!A:A,"",FALSE)</f>
        <v>29</v>
      </c>
      <c r="C44" s="270" t="s">
        <v>54</v>
      </c>
      <c r="D44" s="275" t="s">
        <v>20</v>
      </c>
      <c r="E44" s="256">
        <f t="array" ref="E44">+XLOOKUP(B44,'Base de datos'!A:A,'Base de datos'!H:H,0)</f>
        <v>0.1946</v>
      </c>
      <c r="F44" s="271">
        <v>1.0</v>
      </c>
      <c r="G44" s="271">
        <v>1.0</v>
      </c>
      <c r="H44" s="258">
        <f t="shared" ref="H44:H45" si="5">IFERROR(1-G44/F44,"")</f>
        <v>0</v>
      </c>
      <c r="I44" s="256">
        <f t="shared" si="4"/>
        <v>0.1946</v>
      </c>
      <c r="J44" s="241"/>
      <c r="L44" s="478"/>
    </row>
    <row r="45" ht="15.75" customHeight="1">
      <c r="A45" s="252"/>
      <c r="B45" s="269">
        <f t="array" ref="B45">+XLOOKUP(C45,'Base de datos'!C:C,'Base de datos'!A:A,"",FALSE)</f>
        <v>93</v>
      </c>
      <c r="C45" s="270" t="s">
        <v>114</v>
      </c>
      <c r="D45" s="275" t="s">
        <v>20</v>
      </c>
      <c r="E45" s="256">
        <f t="array" ref="E45">+XLOOKUP(B45,'Base de datos'!A:A,'Base de datos'!H:H,0)</f>
        <v>0.0277</v>
      </c>
      <c r="F45" s="271">
        <v>2.0</v>
      </c>
      <c r="G45" s="271">
        <v>2.0</v>
      </c>
      <c r="H45" s="258">
        <f t="shared" si="5"/>
        <v>0</v>
      </c>
      <c r="I45" s="256">
        <f t="shared" si="4"/>
        <v>0.0554</v>
      </c>
      <c r="J45" s="241"/>
      <c r="L45" s="288"/>
    </row>
    <row r="46" ht="15.75" customHeight="1">
      <c r="A46" s="240"/>
      <c r="B46" s="240"/>
      <c r="C46" s="241"/>
      <c r="D46" s="242"/>
      <c r="E46" s="243"/>
      <c r="F46" s="244"/>
      <c r="G46" s="244"/>
      <c r="H46" s="241"/>
      <c r="I46" s="241"/>
      <c r="J46" s="241"/>
      <c r="K46" s="241"/>
      <c r="L46" s="241"/>
    </row>
    <row r="47" ht="15.75" customHeight="1">
      <c r="A47" s="295"/>
      <c r="B47" s="295"/>
      <c r="C47" s="296" t="s">
        <v>337</v>
      </c>
      <c r="D47" s="297"/>
      <c r="E47" s="297"/>
      <c r="F47" s="297"/>
      <c r="G47" s="297"/>
      <c r="H47" s="297"/>
      <c r="I47" s="298"/>
      <c r="J47" s="241"/>
      <c r="K47" s="241"/>
      <c r="L47" s="241"/>
    </row>
    <row r="48" ht="15.75" customHeight="1">
      <c r="A48" s="299"/>
      <c r="B48" s="299"/>
      <c r="C48" s="300"/>
      <c r="D48" s="297"/>
      <c r="E48" s="297"/>
      <c r="F48" s="297"/>
      <c r="G48" s="297"/>
      <c r="H48" s="297"/>
      <c r="I48" s="298"/>
      <c r="J48" s="241"/>
      <c r="K48" s="241"/>
      <c r="L48" s="241"/>
    </row>
    <row r="49" ht="15.75" customHeight="1">
      <c r="A49" s="301"/>
      <c r="B49" s="301"/>
      <c r="C49" s="302"/>
      <c r="I49" s="278"/>
      <c r="J49" s="241"/>
      <c r="K49" s="241"/>
      <c r="L49" s="241"/>
    </row>
    <row r="50" ht="15.75" customHeight="1">
      <c r="A50" s="301"/>
      <c r="B50" s="301"/>
      <c r="C50" s="302"/>
      <c r="I50" s="278"/>
      <c r="J50" s="241"/>
      <c r="K50" s="241"/>
      <c r="L50" s="241"/>
    </row>
    <row r="51" ht="15.75" customHeight="1">
      <c r="A51" s="301"/>
      <c r="B51" s="301"/>
      <c r="C51" s="302"/>
      <c r="I51" s="278"/>
      <c r="J51" s="241"/>
      <c r="K51" s="241"/>
      <c r="L51" s="241"/>
    </row>
    <row r="52" ht="15.75" customHeight="1">
      <c r="A52" s="301"/>
      <c r="B52" s="301"/>
      <c r="C52" s="302"/>
      <c r="I52" s="278"/>
      <c r="J52" s="241"/>
      <c r="K52" s="241"/>
      <c r="L52" s="241"/>
    </row>
    <row r="53" ht="15.75" customHeight="1">
      <c r="A53" s="301"/>
      <c r="B53" s="301"/>
      <c r="C53" s="302"/>
      <c r="I53" s="278"/>
      <c r="J53" s="241"/>
      <c r="K53" s="241"/>
      <c r="L53" s="241"/>
    </row>
    <row r="54" ht="15.75" customHeight="1">
      <c r="A54" s="301"/>
      <c r="B54" s="301"/>
      <c r="C54" s="302"/>
      <c r="I54" s="278"/>
      <c r="J54" s="241"/>
      <c r="K54" s="241"/>
      <c r="L54" s="241"/>
    </row>
    <row r="55" ht="15.75" customHeight="1">
      <c r="A55" s="301"/>
      <c r="B55" s="301"/>
      <c r="C55" s="304"/>
      <c r="D55" s="305"/>
      <c r="E55" s="305"/>
      <c r="F55" s="305"/>
      <c r="G55" s="305"/>
      <c r="H55" s="305"/>
      <c r="I55" s="274"/>
      <c r="J55" s="241"/>
      <c r="K55" s="241"/>
      <c r="L55" s="241"/>
    </row>
    <row r="56" ht="15.75" customHeight="1">
      <c r="A56" s="307"/>
      <c r="B56" s="307"/>
      <c r="D56" s="308"/>
      <c r="E56" s="309"/>
    </row>
    <row r="57" ht="15.75" customHeight="1">
      <c r="A57" s="229"/>
      <c r="B57" s="230"/>
      <c r="C57" s="230"/>
      <c r="D57" s="230"/>
      <c r="E57" s="231"/>
      <c r="F57" s="232"/>
      <c r="G57" s="232"/>
      <c r="H57" s="230"/>
      <c r="I57" s="230"/>
      <c r="J57" s="230"/>
      <c r="K57" s="230"/>
      <c r="L57" s="230"/>
      <c r="M57" s="233"/>
    </row>
    <row r="58" ht="15.75" customHeight="1">
      <c r="A58" s="234"/>
      <c r="B58" s="234"/>
      <c r="C58" s="235" t="s">
        <v>313</v>
      </c>
      <c r="D58" s="236" t="s">
        <v>774</v>
      </c>
      <c r="E58" s="237"/>
      <c r="F58" s="237"/>
      <c r="G58" s="237"/>
      <c r="H58" s="237"/>
      <c r="I58" s="237"/>
      <c r="J58" s="238"/>
      <c r="K58" s="231"/>
      <c r="L58" s="230"/>
      <c r="M58" s="233"/>
    </row>
    <row r="59" ht="15.75" customHeight="1">
      <c r="A59" s="239"/>
      <c r="B59" s="239"/>
      <c r="C59" s="230"/>
      <c r="D59" s="230"/>
      <c r="E59" s="231"/>
      <c r="F59" s="232"/>
      <c r="G59" s="232"/>
      <c r="H59" s="230"/>
      <c r="I59" s="230"/>
      <c r="J59" s="230"/>
      <c r="K59" s="230"/>
      <c r="L59" s="230"/>
      <c r="M59" s="233"/>
    </row>
    <row r="60" ht="15.75" customHeight="1">
      <c r="A60" s="240"/>
      <c r="B60" s="240"/>
      <c r="C60" s="241"/>
      <c r="D60" s="242"/>
      <c r="E60" s="243"/>
      <c r="F60" s="244"/>
      <c r="G60" s="244"/>
      <c r="H60" s="241"/>
      <c r="I60" s="241"/>
      <c r="J60" s="241"/>
      <c r="K60" s="241"/>
      <c r="L60" s="241"/>
    </row>
    <row r="61" ht="15.75" customHeight="1">
      <c r="A61" s="245"/>
      <c r="B61" s="246" t="s">
        <v>0</v>
      </c>
      <c r="C61" s="246" t="s">
        <v>315</v>
      </c>
      <c r="D61" s="246" t="s">
        <v>316</v>
      </c>
      <c r="E61" s="247" t="s">
        <v>317</v>
      </c>
      <c r="F61" s="248" t="s">
        <v>318</v>
      </c>
      <c r="G61" s="248" t="s">
        <v>319</v>
      </c>
      <c r="H61" s="246" t="s">
        <v>320</v>
      </c>
      <c r="I61" s="246" t="s">
        <v>321</v>
      </c>
      <c r="J61" s="249"/>
      <c r="K61" s="250" t="s">
        <v>322</v>
      </c>
      <c r="L61" s="251"/>
      <c r="M61" s="251"/>
    </row>
    <row r="62" ht="15.75" customHeight="1">
      <c r="A62" s="252"/>
      <c r="B62" s="253" t="str">
        <f t="array" ref="B62">+XLOOKUP(C62,'Base de datos'!C:C,'Base de datos'!A:A,"",FALSE)</f>
        <v/>
      </c>
      <c r="C62" s="254"/>
      <c r="D62" s="255" t="s">
        <v>14</v>
      </c>
      <c r="E62" s="256">
        <f t="array" ref="E62">+XLOOKUP(B62,'Base de datos'!A:A,'Base de datos'!H:H,0)</f>
        <v>0</v>
      </c>
      <c r="F62" s="257"/>
      <c r="G62" s="257"/>
      <c r="H62" s="258" t="str">
        <f t="shared" ref="H62:H68" si="6">IFERROR(1-G62/F62,"")</f>
        <v/>
      </c>
      <c r="I62" s="256">
        <f t="shared" ref="I62:I73" si="7">IFERROR(E62*F62,"")</f>
        <v>0</v>
      </c>
      <c r="J62" s="241"/>
      <c r="K62" s="259" t="s">
        <v>324</v>
      </c>
      <c r="L62" s="260">
        <f>SUM(I62:I73)</f>
        <v>1.277385596</v>
      </c>
      <c r="M62" s="261"/>
    </row>
    <row r="63" ht="15.75" customHeight="1">
      <c r="A63" s="252"/>
      <c r="B63" s="262" t="str">
        <f>K85</f>
        <v/>
      </c>
      <c r="C63" s="262" t="str">
        <f>C85</f>
        <v/>
      </c>
      <c r="D63" s="263" t="s">
        <v>14</v>
      </c>
      <c r="E63" s="264" t="str">
        <f>K91</f>
        <v/>
      </c>
      <c r="F63" s="265"/>
      <c r="G63" s="265"/>
      <c r="H63" s="266" t="str">
        <f t="shared" si="6"/>
        <v/>
      </c>
      <c r="I63" s="264">
        <f t="shared" si="7"/>
        <v>0</v>
      </c>
      <c r="J63" s="241"/>
      <c r="K63" s="267" t="s">
        <v>325</v>
      </c>
      <c r="L63" s="268">
        <v>8.0</v>
      </c>
      <c r="M63" s="261"/>
    </row>
    <row r="64" ht="15.75" customHeight="1">
      <c r="A64" s="252"/>
      <c r="B64" s="269">
        <f t="array" ref="B64">+XLOOKUP(C64,'Base de datos'!C:C,'Base de datos'!A:A,"",FALSE)</f>
        <v>158</v>
      </c>
      <c r="C64" s="401" t="s">
        <v>190</v>
      </c>
      <c r="D64" s="255" t="s">
        <v>14</v>
      </c>
      <c r="E64" s="256">
        <f t="array" ref="E64">+XLOOKUP(B64,'Base de datos'!A:A,'Base de datos'!H:H,0)</f>
        <v>4</v>
      </c>
      <c r="F64" s="271">
        <v>0.15</v>
      </c>
      <c r="G64" s="271">
        <v>0.15</v>
      </c>
      <c r="H64" s="258">
        <f t="shared" si="6"/>
        <v>0</v>
      </c>
      <c r="I64" s="256">
        <f t="shared" si="7"/>
        <v>0.6</v>
      </c>
      <c r="J64" s="241"/>
      <c r="K64" s="272" t="s">
        <v>326</v>
      </c>
      <c r="L64" s="273">
        <f>L63/1.1</f>
        <v>7.272727273</v>
      </c>
      <c r="M64" s="274"/>
    </row>
    <row r="65" ht="15.75" customHeight="1">
      <c r="A65" s="252"/>
      <c r="B65" s="269">
        <f t="array" ref="B65">+XLOOKUP(C65,'Base de datos'!C:C,'Base de datos'!A:A,"",FALSE)</f>
        <v>163</v>
      </c>
      <c r="C65" s="270" t="s">
        <v>197</v>
      </c>
      <c r="D65" s="275" t="s">
        <v>20</v>
      </c>
      <c r="E65" s="256">
        <f t="array" ref="E65">+XLOOKUP(B65,'Base de datos'!A:A,'Base de datos'!H:H,0)</f>
        <v>0.289</v>
      </c>
      <c r="F65" s="271">
        <v>1.0</v>
      </c>
      <c r="G65" s="271">
        <v>1.0</v>
      </c>
      <c r="H65" s="258">
        <f t="shared" si="6"/>
        <v>0</v>
      </c>
      <c r="I65" s="256">
        <f t="shared" si="7"/>
        <v>0.289</v>
      </c>
      <c r="J65" s="241"/>
      <c r="K65" s="276" t="s">
        <v>327</v>
      </c>
      <c r="L65" s="277">
        <v>0.1</v>
      </c>
      <c r="M65" s="278"/>
    </row>
    <row r="66" ht="15.75" customHeight="1">
      <c r="A66" s="252"/>
      <c r="B66" s="269">
        <f t="array" ref="B66">+XLOOKUP(C66,'Base de datos'!C:C,'Base de datos'!A:A,"",FALSE)</f>
        <v>134</v>
      </c>
      <c r="C66" s="270" t="s">
        <v>161</v>
      </c>
      <c r="D66" s="275" t="s">
        <v>14</v>
      </c>
      <c r="E66" s="256">
        <f t="array" ref="E66">+XLOOKUP(B66,'Base de datos'!A:A,'Base de datos'!H:H,0)</f>
        <v>2.811017021</v>
      </c>
      <c r="F66" s="271">
        <v>0.035</v>
      </c>
      <c r="G66" s="271">
        <v>0.035</v>
      </c>
      <c r="H66" s="258">
        <f t="shared" si="6"/>
        <v>0</v>
      </c>
      <c r="I66" s="256">
        <f t="shared" si="7"/>
        <v>0.09838559575</v>
      </c>
      <c r="J66" s="241"/>
      <c r="K66" s="279" t="s">
        <v>328</v>
      </c>
      <c r="L66" s="280">
        <f>L62/L64*100</f>
        <v>17.56405194</v>
      </c>
      <c r="M66" s="281" t="s">
        <v>329</v>
      </c>
    </row>
    <row r="67" ht="15.75" customHeight="1">
      <c r="A67" s="252"/>
      <c r="B67" s="269">
        <f t="array" ref="B67">+XLOOKUP(C67,'Base de datos'!C:C,'Base de datos'!A:A,"",FALSE)</f>
        <v>72</v>
      </c>
      <c r="C67" s="270" t="s">
        <v>93</v>
      </c>
      <c r="D67" s="275" t="s">
        <v>14</v>
      </c>
      <c r="E67" s="256">
        <f t="array" ref="E67">+XLOOKUP(B67,'Base de datos'!A:A,'Base de datos'!H:H,0)</f>
        <v>2</v>
      </c>
      <c r="F67" s="271">
        <v>0.02</v>
      </c>
      <c r="G67" s="271">
        <v>0.02</v>
      </c>
      <c r="H67" s="258">
        <f t="shared" si="6"/>
        <v>0</v>
      </c>
      <c r="I67" s="256">
        <f t="shared" si="7"/>
        <v>0.04</v>
      </c>
      <c r="J67" s="241"/>
      <c r="K67" s="282" t="s">
        <v>330</v>
      </c>
      <c r="L67" s="283">
        <f>100-L66</f>
        <v>82.43594806</v>
      </c>
      <c r="M67" s="284" t="s">
        <v>329</v>
      </c>
    </row>
    <row r="68" ht="15.75" customHeight="1">
      <c r="A68" s="252"/>
      <c r="B68" s="253" t="str">
        <f t="array" ref="B68">+XLOOKUP(C68,'Base de datos'!C:C,'Base de datos'!A:A,"",FALSE)</f>
        <v/>
      </c>
      <c r="C68" s="270"/>
      <c r="D68" s="275" t="s">
        <v>14</v>
      </c>
      <c r="E68" s="256">
        <f t="array" ref="E68">+XLOOKUP(B68,'Base de datos'!A:A,'Base de datos'!H:H,0)</f>
        <v>0</v>
      </c>
      <c r="F68" s="271">
        <v>0.024</v>
      </c>
      <c r="G68" s="271">
        <v>0.024</v>
      </c>
      <c r="H68" s="258">
        <f t="shared" si="6"/>
        <v>0</v>
      </c>
      <c r="I68" s="256">
        <f t="shared" si="7"/>
        <v>0</v>
      </c>
      <c r="J68" s="241"/>
      <c r="L68" s="288"/>
    </row>
    <row r="69" ht="15.75" customHeight="1">
      <c r="A69" s="252"/>
      <c r="B69" s="253" t="str">
        <f t="array" ref="B69">+XLOOKUP(C69,'Base de datos'!C:C,'Base de datos'!A:A,"",FALSE)</f>
        <v/>
      </c>
      <c r="C69" s="270"/>
      <c r="D69" s="255" t="s">
        <v>14</v>
      </c>
      <c r="E69" s="256">
        <f t="array" ref="E69">+XLOOKUP(B69,'Base de datos'!A:A,'Base de datos'!H:H,0)</f>
        <v>0</v>
      </c>
      <c r="F69" s="271">
        <v>0.015</v>
      </c>
      <c r="G69" s="257"/>
      <c r="H69" s="258"/>
      <c r="I69" s="256">
        <f t="shared" si="7"/>
        <v>0</v>
      </c>
      <c r="J69" s="241"/>
      <c r="L69" s="288"/>
    </row>
    <row r="70" ht="15.75" customHeight="1">
      <c r="A70" s="252"/>
      <c r="B70" s="253" t="str">
        <f t="array" ref="B70">+XLOOKUP(C70,'Base de datos'!C:C,'Base de datos'!A:A,"",FALSE)</f>
        <v/>
      </c>
      <c r="C70" s="254"/>
      <c r="D70" s="255" t="s">
        <v>14</v>
      </c>
      <c r="E70" s="256">
        <f t="array" ref="E70">+XLOOKUP(B70,'Base de datos'!A:A,'Base de datos'!H:H,0)</f>
        <v>0</v>
      </c>
      <c r="F70" s="257"/>
      <c r="G70" s="257"/>
      <c r="H70" s="258"/>
      <c r="I70" s="256">
        <f t="shared" si="7"/>
        <v>0</v>
      </c>
      <c r="J70" s="241"/>
      <c r="L70" s="288"/>
    </row>
    <row r="71" ht="15.75" customHeight="1">
      <c r="A71" s="252"/>
      <c r="B71" s="253" t="str">
        <f t="array" ref="B71">+XLOOKUP(C71,'Base de datos'!C:C,'Base de datos'!A:A,"",FALSE)</f>
        <v/>
      </c>
      <c r="C71" s="254"/>
      <c r="D71" s="255" t="s">
        <v>14</v>
      </c>
      <c r="E71" s="256">
        <f t="array" ref="E71">+XLOOKUP(B71,'Base de datos'!A:A,'Base de datos'!H:H,0)</f>
        <v>0</v>
      </c>
      <c r="F71" s="257"/>
      <c r="G71" s="257"/>
      <c r="H71" s="258"/>
      <c r="I71" s="256">
        <f t="shared" si="7"/>
        <v>0</v>
      </c>
      <c r="J71" s="241"/>
      <c r="L71" s="288"/>
    </row>
    <row r="72" ht="15.75" customHeight="1">
      <c r="A72" s="252"/>
      <c r="B72" s="269">
        <f t="array" ref="B72">+XLOOKUP(C72,'Base de datos'!C:C,'Base de datos'!A:A,"",FALSE)</f>
        <v>29</v>
      </c>
      <c r="C72" s="270" t="s">
        <v>54</v>
      </c>
      <c r="D72" s="275" t="s">
        <v>20</v>
      </c>
      <c r="E72" s="256">
        <f t="array" ref="E72">+XLOOKUP(B72,'Base de datos'!A:A,'Base de datos'!H:H,0)</f>
        <v>0.1946</v>
      </c>
      <c r="F72" s="271">
        <v>1.0</v>
      </c>
      <c r="G72" s="271">
        <v>1.0</v>
      </c>
      <c r="H72" s="258">
        <f t="shared" ref="H72:H73" si="8">IFERROR(1-G72/F72,"")</f>
        <v>0</v>
      </c>
      <c r="I72" s="256">
        <f t="shared" si="7"/>
        <v>0.1946</v>
      </c>
      <c r="J72" s="241"/>
      <c r="L72" s="478"/>
    </row>
    <row r="73" ht="15.75" customHeight="1">
      <c r="A73" s="252"/>
      <c r="B73" s="269">
        <f t="array" ref="B73">+XLOOKUP(C73,'Base de datos'!C:C,'Base de datos'!A:A,"",FALSE)</f>
        <v>93</v>
      </c>
      <c r="C73" s="270" t="s">
        <v>114</v>
      </c>
      <c r="D73" s="275" t="s">
        <v>20</v>
      </c>
      <c r="E73" s="256">
        <f t="array" ref="E73">+XLOOKUP(B73,'Base de datos'!A:A,'Base de datos'!H:H,0)</f>
        <v>0.0277</v>
      </c>
      <c r="F73" s="271">
        <v>2.0</v>
      </c>
      <c r="G73" s="271">
        <v>2.0</v>
      </c>
      <c r="H73" s="258">
        <f t="shared" si="8"/>
        <v>0</v>
      </c>
      <c r="I73" s="256">
        <f t="shared" si="7"/>
        <v>0.0554</v>
      </c>
      <c r="J73" s="241"/>
      <c r="L73" s="288"/>
    </row>
    <row r="74" ht="15.75" customHeight="1">
      <c r="A74" s="240"/>
      <c r="B74" s="240"/>
      <c r="C74" s="241"/>
      <c r="D74" s="242"/>
      <c r="E74" s="243"/>
      <c r="F74" s="244"/>
      <c r="G74" s="244"/>
      <c r="H74" s="241"/>
      <c r="I74" s="241"/>
      <c r="J74" s="241"/>
      <c r="K74" s="241"/>
      <c r="L74" s="241"/>
    </row>
    <row r="75" ht="15.75" customHeight="1">
      <c r="A75" s="295"/>
      <c r="B75" s="295"/>
      <c r="C75" s="296" t="s">
        <v>337</v>
      </c>
      <c r="D75" s="297"/>
      <c r="E75" s="297"/>
      <c r="F75" s="297"/>
      <c r="G75" s="297"/>
      <c r="H75" s="297"/>
      <c r="I75" s="298"/>
      <c r="J75" s="241"/>
      <c r="K75" s="241"/>
      <c r="L75" s="241"/>
    </row>
    <row r="76" ht="15.75" customHeight="1">
      <c r="A76" s="299"/>
      <c r="B76" s="299"/>
      <c r="C76" s="300"/>
      <c r="D76" s="297"/>
      <c r="E76" s="297"/>
      <c r="F76" s="297"/>
      <c r="G76" s="297"/>
      <c r="H76" s="297"/>
      <c r="I76" s="298"/>
      <c r="J76" s="241"/>
      <c r="K76" s="241"/>
      <c r="L76" s="241"/>
    </row>
    <row r="77" ht="15.75" customHeight="1">
      <c r="A77" s="301"/>
      <c r="B77" s="301"/>
      <c r="C77" s="302"/>
      <c r="I77" s="278"/>
      <c r="J77" s="241"/>
      <c r="K77" s="241"/>
      <c r="L77" s="241"/>
    </row>
    <row r="78" ht="15.75" customHeight="1">
      <c r="A78" s="301"/>
      <c r="B78" s="301"/>
      <c r="C78" s="302"/>
      <c r="I78" s="278"/>
      <c r="J78" s="241"/>
      <c r="K78" s="241"/>
      <c r="L78" s="241"/>
    </row>
    <row r="79" ht="15.75" customHeight="1">
      <c r="A79" s="301"/>
      <c r="B79" s="301"/>
      <c r="C79" s="302"/>
      <c r="I79" s="278"/>
      <c r="J79" s="241"/>
      <c r="K79" s="241"/>
      <c r="L79" s="241"/>
    </row>
    <row r="80" ht="15.75" customHeight="1">
      <c r="A80" s="301"/>
      <c r="B80" s="301"/>
      <c r="C80" s="302"/>
      <c r="I80" s="278"/>
      <c r="J80" s="241"/>
      <c r="K80" s="241"/>
      <c r="L80" s="241"/>
    </row>
    <row r="81" ht="15.75" customHeight="1">
      <c r="A81" s="301"/>
      <c r="B81" s="301"/>
      <c r="C81" s="302"/>
      <c r="I81" s="278"/>
      <c r="J81" s="241"/>
      <c r="K81" s="241"/>
      <c r="L81" s="241"/>
    </row>
    <row r="82" ht="15.75" customHeight="1">
      <c r="A82" s="301"/>
      <c r="B82" s="301"/>
      <c r="C82" s="302"/>
      <c r="I82" s="278"/>
      <c r="J82" s="241"/>
      <c r="K82" s="241"/>
      <c r="L82" s="241"/>
    </row>
    <row r="83" ht="15.75" customHeight="1">
      <c r="A83" s="301"/>
      <c r="B83" s="301"/>
      <c r="C83" s="304"/>
      <c r="D83" s="305"/>
      <c r="E83" s="305"/>
      <c r="F83" s="305"/>
      <c r="G83" s="305"/>
      <c r="H83" s="305"/>
      <c r="I83" s="274"/>
      <c r="J83" s="241"/>
      <c r="K83" s="241"/>
      <c r="L83" s="241"/>
    </row>
    <row r="84" ht="15.75" customHeight="1">
      <c r="A84" s="307"/>
      <c r="B84" s="307"/>
      <c r="D84" s="308"/>
      <c r="E84" s="309"/>
    </row>
    <row r="85" ht="15.75" customHeight="1">
      <c r="A85" s="307"/>
      <c r="B85" s="307"/>
      <c r="D85" s="308"/>
      <c r="E85" s="309"/>
    </row>
    <row r="86" ht="15.75" customHeight="1">
      <c r="A86" s="307"/>
      <c r="B86" s="307"/>
      <c r="D86" s="308"/>
      <c r="E86" s="309"/>
    </row>
    <row r="87" ht="15.75" customHeight="1">
      <c r="A87" s="307"/>
      <c r="B87" s="307"/>
      <c r="D87" s="308"/>
      <c r="E87" s="309"/>
    </row>
    <row r="88" ht="15.75" customHeight="1">
      <c r="A88" s="307"/>
      <c r="B88" s="307"/>
      <c r="D88" s="308"/>
      <c r="E88" s="309"/>
    </row>
    <row r="89" ht="15.75" customHeight="1">
      <c r="A89" s="307"/>
      <c r="B89" s="307"/>
      <c r="D89" s="308"/>
      <c r="E89" s="309"/>
    </row>
    <row r="90" ht="15.75" customHeight="1">
      <c r="A90" s="307"/>
      <c r="B90" s="307"/>
      <c r="D90" s="308"/>
      <c r="E90" s="309"/>
    </row>
    <row r="91" ht="15.75" customHeight="1">
      <c r="A91" s="307"/>
      <c r="B91" s="307"/>
      <c r="D91" s="308"/>
      <c r="E91" s="309"/>
    </row>
    <row r="92" ht="15.75" customHeight="1">
      <c r="A92" s="307"/>
      <c r="B92" s="307"/>
      <c r="D92" s="308"/>
      <c r="E92" s="309"/>
    </row>
    <row r="93" ht="15.75" customHeight="1">
      <c r="A93" s="307"/>
      <c r="B93" s="307"/>
      <c r="D93" s="308"/>
      <c r="E93" s="309"/>
    </row>
    <row r="94" ht="15.75" customHeight="1">
      <c r="A94" s="307"/>
      <c r="B94" s="307"/>
      <c r="D94" s="308"/>
      <c r="E94" s="309"/>
    </row>
    <row r="95" ht="15.75" customHeight="1">
      <c r="A95" s="307"/>
      <c r="B95" s="307"/>
      <c r="D95" s="308"/>
      <c r="E95" s="309"/>
    </row>
    <row r="96" ht="15.75" customHeight="1">
      <c r="A96" s="307"/>
      <c r="B96" s="307"/>
      <c r="D96" s="308"/>
      <c r="E96" s="309"/>
    </row>
    <row r="97" ht="15.75" customHeight="1">
      <c r="A97" s="307"/>
      <c r="B97" s="307"/>
      <c r="D97" s="308"/>
      <c r="E97" s="309"/>
    </row>
    <row r="98" ht="15.75" customHeight="1">
      <c r="A98" s="307"/>
      <c r="B98" s="307"/>
      <c r="D98" s="308"/>
      <c r="E98" s="309"/>
    </row>
    <row r="99" ht="15.75" customHeight="1">
      <c r="A99" s="307"/>
      <c r="B99" s="307"/>
      <c r="D99" s="308"/>
      <c r="E99" s="309"/>
    </row>
    <row r="100" ht="15.75" customHeight="1">
      <c r="A100" s="307"/>
      <c r="B100" s="307"/>
      <c r="D100" s="308"/>
      <c r="E100" s="309"/>
    </row>
    <row r="101" ht="15.75" customHeight="1">
      <c r="A101" s="307"/>
      <c r="B101" s="307"/>
      <c r="D101" s="308"/>
      <c r="E101" s="309"/>
    </row>
    <row r="102" ht="15.75" customHeight="1">
      <c r="A102" s="307"/>
      <c r="B102" s="307"/>
      <c r="D102" s="308"/>
      <c r="E102" s="309"/>
    </row>
    <row r="103" ht="15.75" customHeight="1">
      <c r="A103" s="307"/>
      <c r="B103" s="307"/>
      <c r="D103" s="308"/>
      <c r="E103" s="309"/>
    </row>
    <row r="104" ht="15.75" customHeight="1">
      <c r="A104" s="307"/>
      <c r="B104" s="307"/>
      <c r="D104" s="308"/>
      <c r="E104" s="309"/>
    </row>
    <row r="105" ht="15.75" customHeight="1">
      <c r="A105" s="307"/>
      <c r="B105" s="307"/>
      <c r="D105" s="308"/>
      <c r="E105" s="309"/>
    </row>
    <row r="106" ht="15.75" customHeight="1">
      <c r="A106" s="307"/>
      <c r="B106" s="307"/>
      <c r="D106" s="308"/>
      <c r="E106" s="309"/>
    </row>
    <row r="107" ht="15.75" customHeight="1">
      <c r="A107" s="307"/>
      <c r="B107" s="307"/>
      <c r="D107" s="308"/>
      <c r="E107" s="309"/>
    </row>
    <row r="108" ht="15.75" customHeight="1">
      <c r="A108" s="307"/>
      <c r="B108" s="307"/>
      <c r="D108" s="308"/>
      <c r="E108" s="309"/>
    </row>
    <row r="109" ht="15.75" customHeight="1">
      <c r="A109" s="307"/>
      <c r="B109" s="307"/>
      <c r="D109" s="308"/>
      <c r="E109" s="309"/>
    </row>
    <row r="110" ht="15.75" customHeight="1">
      <c r="A110" s="307"/>
      <c r="B110" s="307"/>
      <c r="D110" s="308"/>
      <c r="E110" s="309"/>
    </row>
    <row r="111" ht="15.75" customHeight="1">
      <c r="A111" s="307"/>
      <c r="B111" s="307"/>
      <c r="D111" s="308"/>
      <c r="E111" s="309"/>
    </row>
    <row r="112" ht="15.75" customHeight="1">
      <c r="A112" s="307"/>
      <c r="B112" s="307"/>
      <c r="D112" s="308"/>
      <c r="E112" s="309"/>
    </row>
    <row r="113" ht="15.75" customHeight="1">
      <c r="A113" s="307"/>
      <c r="B113" s="307"/>
      <c r="D113" s="308"/>
      <c r="E113" s="309"/>
    </row>
    <row r="114" ht="15.75" customHeight="1">
      <c r="A114" s="307"/>
      <c r="B114" s="307"/>
      <c r="D114" s="308"/>
      <c r="E114" s="309"/>
    </row>
    <row r="115" ht="15.75" customHeight="1">
      <c r="A115" s="307"/>
      <c r="B115" s="307"/>
      <c r="D115" s="308"/>
      <c r="E115" s="309"/>
    </row>
    <row r="116" ht="15.75" customHeight="1">
      <c r="A116" s="307"/>
      <c r="B116" s="307"/>
      <c r="D116" s="308"/>
      <c r="E116" s="309"/>
    </row>
    <row r="117" ht="15.75" customHeight="1">
      <c r="A117" s="307"/>
      <c r="B117" s="307"/>
      <c r="D117" s="308"/>
      <c r="E117" s="309"/>
    </row>
    <row r="118" ht="15.75" customHeight="1">
      <c r="A118" s="307"/>
      <c r="B118" s="307"/>
      <c r="D118" s="308"/>
      <c r="E118" s="309"/>
    </row>
    <row r="119" ht="15.75" customHeight="1">
      <c r="A119" s="307"/>
      <c r="B119" s="307"/>
      <c r="D119" s="308"/>
      <c r="E119" s="309"/>
    </row>
    <row r="120" ht="15.75" customHeight="1">
      <c r="A120" s="307"/>
      <c r="B120" s="307"/>
      <c r="D120" s="308"/>
      <c r="E120" s="309"/>
    </row>
    <row r="121" ht="15.75" customHeight="1">
      <c r="A121" s="307"/>
      <c r="B121" s="307"/>
      <c r="D121" s="308"/>
      <c r="E121" s="309"/>
    </row>
    <row r="122" ht="15.75" customHeight="1">
      <c r="A122" s="307"/>
      <c r="B122" s="307"/>
      <c r="D122" s="308"/>
      <c r="E122" s="309"/>
    </row>
    <row r="123" ht="15.75" customHeight="1">
      <c r="A123" s="307"/>
      <c r="B123" s="307"/>
      <c r="D123" s="308"/>
      <c r="E123" s="309"/>
    </row>
    <row r="124" ht="15.75" customHeight="1">
      <c r="A124" s="307"/>
      <c r="B124" s="307"/>
      <c r="D124" s="308"/>
      <c r="E124" s="309"/>
    </row>
    <row r="125" ht="15.75" customHeight="1">
      <c r="A125" s="307"/>
      <c r="B125" s="307"/>
      <c r="D125" s="308"/>
      <c r="E125" s="309"/>
    </row>
    <row r="126" ht="15.75" customHeight="1">
      <c r="A126" s="307"/>
      <c r="B126" s="307"/>
      <c r="D126" s="308"/>
      <c r="E126" s="309"/>
    </row>
    <row r="127" ht="15.75" customHeight="1">
      <c r="A127" s="307"/>
      <c r="B127" s="307"/>
      <c r="D127" s="308"/>
      <c r="E127" s="309"/>
    </row>
    <row r="128" ht="15.75" customHeight="1">
      <c r="A128" s="307"/>
      <c r="B128" s="307"/>
      <c r="D128" s="308"/>
      <c r="E128" s="309"/>
    </row>
    <row r="129" ht="15.75" customHeight="1">
      <c r="A129" s="307"/>
      <c r="B129" s="307"/>
      <c r="D129" s="308"/>
      <c r="E129" s="309"/>
    </row>
    <row r="130" ht="15.75" customHeight="1">
      <c r="A130" s="307"/>
      <c r="B130" s="307"/>
      <c r="D130" s="308"/>
      <c r="E130" s="309"/>
    </row>
    <row r="131" ht="15.75" customHeight="1">
      <c r="A131" s="307"/>
      <c r="B131" s="307"/>
      <c r="D131" s="308"/>
      <c r="E131" s="309"/>
    </row>
    <row r="132" ht="15.75" customHeight="1">
      <c r="A132" s="307"/>
      <c r="B132" s="307"/>
      <c r="D132" s="308"/>
      <c r="E132" s="309"/>
    </row>
    <row r="133" ht="15.75" customHeight="1">
      <c r="A133" s="307"/>
      <c r="B133" s="307"/>
      <c r="D133" s="308"/>
      <c r="E133" s="309"/>
    </row>
    <row r="134" ht="15.75" customHeight="1">
      <c r="A134" s="307"/>
      <c r="B134" s="307"/>
      <c r="D134" s="308"/>
      <c r="E134" s="309"/>
    </row>
    <row r="135" ht="15.75" customHeight="1">
      <c r="A135" s="307"/>
      <c r="B135" s="307"/>
      <c r="D135" s="308"/>
      <c r="E135" s="309"/>
    </row>
    <row r="136" ht="15.75" customHeight="1">
      <c r="A136" s="307"/>
      <c r="B136" s="307"/>
      <c r="D136" s="308"/>
      <c r="E136" s="309"/>
    </row>
    <row r="137" ht="15.75" customHeight="1">
      <c r="A137" s="307"/>
      <c r="B137" s="307"/>
      <c r="D137" s="308"/>
      <c r="E137" s="309"/>
    </row>
    <row r="138" ht="15.75" customHeight="1">
      <c r="A138" s="307"/>
      <c r="B138" s="307"/>
      <c r="D138" s="308"/>
      <c r="E138" s="309"/>
    </row>
    <row r="139" ht="15.75" customHeight="1">
      <c r="A139" s="307"/>
      <c r="B139" s="307"/>
      <c r="D139" s="308"/>
      <c r="E139" s="309"/>
    </row>
    <row r="140" ht="15.75" customHeight="1">
      <c r="A140" s="307"/>
      <c r="B140" s="307"/>
      <c r="D140" s="308"/>
      <c r="E140" s="309"/>
    </row>
    <row r="141" ht="15.75" customHeight="1">
      <c r="A141" s="307"/>
      <c r="B141" s="307"/>
      <c r="D141" s="308"/>
      <c r="E141" s="309"/>
    </row>
    <row r="142" ht="15.75" customHeight="1">
      <c r="A142" s="307"/>
      <c r="B142" s="307"/>
      <c r="D142" s="308"/>
      <c r="E142" s="309"/>
    </row>
    <row r="143" ht="15.75" customHeight="1">
      <c r="A143" s="307"/>
      <c r="B143" s="307"/>
      <c r="D143" s="308"/>
      <c r="E143" s="309"/>
    </row>
    <row r="144" ht="15.75" customHeight="1">
      <c r="A144" s="307"/>
      <c r="B144" s="307"/>
      <c r="D144" s="308"/>
      <c r="E144" s="309"/>
    </row>
    <row r="145" ht="15.75" customHeight="1">
      <c r="A145" s="307"/>
      <c r="B145" s="307"/>
      <c r="D145" s="308"/>
      <c r="E145" s="309"/>
    </row>
    <row r="146" ht="15.75" customHeight="1">
      <c r="A146" s="307"/>
      <c r="B146" s="307"/>
      <c r="D146" s="308"/>
      <c r="E146" s="309"/>
    </row>
    <row r="147" ht="15.75" customHeight="1">
      <c r="A147" s="307"/>
      <c r="B147" s="307"/>
      <c r="D147" s="308"/>
      <c r="E147" s="309"/>
    </row>
    <row r="148" ht="15.75" customHeight="1">
      <c r="A148" s="307"/>
      <c r="B148" s="307"/>
      <c r="D148" s="308"/>
      <c r="E148" s="309"/>
    </row>
    <row r="149" ht="15.75" customHeight="1">
      <c r="A149" s="307"/>
      <c r="B149" s="307"/>
      <c r="D149" s="308"/>
      <c r="E149" s="309"/>
    </row>
    <row r="150" ht="15.75" customHeight="1">
      <c r="A150" s="307"/>
      <c r="B150" s="307"/>
      <c r="D150" s="308"/>
      <c r="E150" s="309"/>
    </row>
    <row r="151" ht="15.75" customHeight="1">
      <c r="A151" s="307"/>
      <c r="B151" s="307"/>
      <c r="D151" s="308"/>
      <c r="E151" s="309"/>
    </row>
    <row r="152" ht="15.75" customHeight="1">
      <c r="A152" s="307"/>
      <c r="B152" s="307"/>
      <c r="D152" s="308"/>
      <c r="E152" s="309"/>
    </row>
    <row r="153" ht="15.75" customHeight="1">
      <c r="A153" s="307"/>
      <c r="B153" s="307"/>
      <c r="D153" s="308"/>
      <c r="E153" s="309"/>
    </row>
    <row r="154" ht="15.75" customHeight="1">
      <c r="A154" s="307"/>
      <c r="B154" s="307"/>
      <c r="D154" s="308"/>
      <c r="E154" s="309"/>
    </row>
    <row r="155" ht="15.75" customHeight="1">
      <c r="A155" s="307"/>
      <c r="B155" s="307"/>
      <c r="D155" s="308"/>
      <c r="E155" s="309"/>
    </row>
    <row r="156" ht="15.75" customHeight="1">
      <c r="A156" s="307"/>
      <c r="B156" s="307"/>
      <c r="D156" s="308"/>
      <c r="E156" s="309"/>
    </row>
    <row r="157" ht="15.75" customHeight="1">
      <c r="A157" s="307"/>
      <c r="B157" s="307"/>
      <c r="D157" s="308"/>
      <c r="E157" s="309"/>
    </row>
    <row r="158" ht="15.75" customHeight="1">
      <c r="A158" s="307"/>
      <c r="B158" s="307"/>
      <c r="D158" s="308"/>
      <c r="E158" s="309"/>
    </row>
    <row r="159" ht="15.75" customHeight="1">
      <c r="A159" s="307"/>
      <c r="B159" s="307"/>
      <c r="D159" s="308"/>
      <c r="E159" s="309"/>
    </row>
    <row r="160" ht="15.75" customHeight="1">
      <c r="A160" s="307"/>
      <c r="B160" s="307"/>
      <c r="D160" s="308"/>
      <c r="E160" s="309"/>
    </row>
    <row r="161" ht="15.75" customHeight="1">
      <c r="A161" s="307"/>
      <c r="B161" s="307"/>
      <c r="D161" s="308"/>
      <c r="E161" s="309"/>
    </row>
    <row r="162" ht="15.75" customHeight="1">
      <c r="A162" s="307"/>
      <c r="B162" s="307"/>
      <c r="D162" s="308"/>
      <c r="E162" s="309"/>
    </row>
    <row r="163" ht="15.75" customHeight="1">
      <c r="A163" s="307"/>
      <c r="B163" s="307"/>
      <c r="D163" s="308"/>
      <c r="E163" s="309"/>
    </row>
    <row r="164" ht="15.75" customHeight="1">
      <c r="A164" s="307"/>
      <c r="B164" s="307"/>
      <c r="D164" s="308"/>
      <c r="E164" s="309"/>
    </row>
    <row r="165" ht="15.75" customHeight="1">
      <c r="A165" s="307"/>
      <c r="B165" s="307"/>
      <c r="D165" s="308"/>
      <c r="E165" s="309"/>
    </row>
    <row r="166" ht="15.75" customHeight="1">
      <c r="A166" s="307"/>
      <c r="B166" s="307"/>
      <c r="D166" s="308"/>
      <c r="E166" s="309"/>
    </row>
    <row r="167" ht="15.75" customHeight="1">
      <c r="A167" s="307"/>
      <c r="B167" s="307"/>
      <c r="D167" s="308"/>
      <c r="E167" s="309"/>
    </row>
    <row r="168" ht="15.75" customHeight="1">
      <c r="A168" s="307"/>
      <c r="B168" s="307"/>
      <c r="D168" s="308"/>
      <c r="E168" s="309"/>
    </row>
    <row r="169" ht="15.75" customHeight="1">
      <c r="A169" s="307"/>
      <c r="B169" s="307"/>
      <c r="D169" s="308"/>
      <c r="E169" s="309"/>
    </row>
    <row r="170" ht="15.75" customHeight="1">
      <c r="A170" s="307"/>
      <c r="B170" s="307"/>
      <c r="D170" s="308"/>
      <c r="E170" s="309"/>
    </row>
    <row r="171" ht="15.75" customHeight="1">
      <c r="A171" s="307"/>
      <c r="B171" s="307"/>
      <c r="D171" s="308"/>
      <c r="E171" s="309"/>
    </row>
    <row r="172" ht="15.75" customHeight="1">
      <c r="A172" s="307"/>
      <c r="B172" s="307"/>
      <c r="D172" s="308"/>
      <c r="E172" s="309"/>
    </row>
    <row r="173" ht="15.75" customHeight="1">
      <c r="A173" s="307"/>
      <c r="B173" s="307"/>
      <c r="D173" s="308"/>
      <c r="E173" s="309"/>
    </row>
    <row r="174" ht="15.75" customHeight="1">
      <c r="A174" s="307"/>
      <c r="B174" s="307"/>
      <c r="D174" s="308"/>
      <c r="E174" s="309"/>
    </row>
    <row r="175" ht="15.75" customHeight="1">
      <c r="A175" s="307"/>
      <c r="B175" s="307"/>
      <c r="D175" s="308"/>
      <c r="E175" s="309"/>
    </row>
    <row r="176" ht="15.75" customHeight="1">
      <c r="A176" s="307"/>
      <c r="B176" s="307"/>
      <c r="D176" s="308"/>
      <c r="E176" s="309"/>
    </row>
    <row r="177" ht="15.75" customHeight="1">
      <c r="A177" s="307"/>
      <c r="B177" s="307"/>
      <c r="D177" s="308"/>
      <c r="E177" s="309"/>
    </row>
    <row r="178" ht="15.75" customHeight="1">
      <c r="A178" s="307"/>
      <c r="B178" s="307"/>
      <c r="D178" s="308"/>
      <c r="E178" s="309"/>
    </row>
    <row r="179" ht="15.75" customHeight="1">
      <c r="A179" s="307"/>
      <c r="B179" s="307"/>
      <c r="D179" s="308"/>
      <c r="E179" s="309"/>
    </row>
    <row r="180" ht="15.75" customHeight="1">
      <c r="A180" s="307"/>
      <c r="B180" s="307"/>
      <c r="D180" s="308"/>
      <c r="E180" s="309"/>
    </row>
    <row r="181" ht="15.75" customHeight="1">
      <c r="A181" s="307"/>
      <c r="B181" s="307"/>
      <c r="D181" s="308"/>
      <c r="E181" s="309"/>
    </row>
    <row r="182" ht="15.75" customHeight="1">
      <c r="A182" s="307"/>
      <c r="B182" s="307"/>
      <c r="D182" s="308"/>
      <c r="E182" s="309"/>
    </row>
    <row r="183" ht="15.75" customHeight="1">
      <c r="A183" s="307"/>
      <c r="B183" s="307"/>
      <c r="D183" s="308"/>
      <c r="E183" s="309"/>
    </row>
    <row r="184" ht="15.75" customHeight="1">
      <c r="A184" s="307"/>
      <c r="B184" s="307"/>
      <c r="D184" s="308"/>
      <c r="E184" s="309"/>
    </row>
    <row r="185" ht="15.75" customHeight="1">
      <c r="A185" s="307"/>
      <c r="B185" s="307"/>
      <c r="D185" s="308"/>
      <c r="E185" s="309"/>
    </row>
    <row r="186" ht="15.75" customHeight="1">
      <c r="A186" s="307"/>
      <c r="B186" s="307"/>
      <c r="D186" s="308"/>
      <c r="E186" s="309"/>
    </row>
    <row r="187" ht="15.75" customHeight="1">
      <c r="A187" s="307"/>
      <c r="B187" s="307"/>
      <c r="D187" s="308"/>
      <c r="E187" s="309"/>
    </row>
    <row r="188" ht="15.75" customHeight="1">
      <c r="A188" s="307"/>
      <c r="B188" s="307"/>
      <c r="D188" s="308"/>
      <c r="E188" s="309"/>
    </row>
    <row r="189" ht="15.75" customHeight="1">
      <c r="A189" s="307"/>
      <c r="B189" s="307"/>
      <c r="D189" s="308"/>
      <c r="E189" s="309"/>
    </row>
    <row r="190" ht="15.75" customHeight="1">
      <c r="A190" s="307"/>
      <c r="B190" s="307"/>
      <c r="D190" s="308"/>
      <c r="E190" s="309"/>
    </row>
    <row r="191" ht="15.75" customHeight="1">
      <c r="A191" s="307"/>
      <c r="B191" s="307"/>
      <c r="D191" s="308"/>
      <c r="E191" s="309"/>
    </row>
    <row r="192" ht="15.75" customHeight="1">
      <c r="A192" s="307"/>
      <c r="B192" s="307"/>
      <c r="D192" s="308"/>
      <c r="E192" s="309"/>
    </row>
    <row r="193" ht="15.75" customHeight="1">
      <c r="A193" s="307"/>
      <c r="B193" s="307"/>
      <c r="D193" s="308"/>
      <c r="E193" s="309"/>
    </row>
    <row r="194" ht="15.75" customHeight="1">
      <c r="A194" s="307"/>
      <c r="B194" s="307"/>
      <c r="D194" s="308"/>
      <c r="E194" s="309"/>
    </row>
    <row r="195" ht="15.75" customHeight="1">
      <c r="A195" s="307"/>
      <c r="B195" s="307"/>
      <c r="D195" s="308"/>
      <c r="E195" s="309"/>
    </row>
    <row r="196" ht="15.75" customHeight="1">
      <c r="A196" s="307"/>
      <c r="B196" s="307"/>
      <c r="D196" s="308"/>
      <c r="E196" s="309"/>
    </row>
    <row r="197" ht="15.75" customHeight="1">
      <c r="A197" s="307"/>
      <c r="B197" s="307"/>
      <c r="D197" s="308"/>
      <c r="E197" s="309"/>
    </row>
    <row r="198" ht="15.75" customHeight="1">
      <c r="A198" s="307"/>
      <c r="B198" s="307"/>
      <c r="D198" s="308"/>
      <c r="E198" s="309"/>
    </row>
    <row r="199" ht="15.75" customHeight="1">
      <c r="A199" s="307"/>
      <c r="B199" s="307"/>
      <c r="D199" s="308"/>
      <c r="E199" s="309"/>
    </row>
    <row r="200" ht="15.75" customHeight="1">
      <c r="A200" s="307"/>
      <c r="B200" s="307"/>
      <c r="D200" s="308"/>
      <c r="E200" s="309"/>
    </row>
    <row r="201" ht="15.75" customHeight="1">
      <c r="A201" s="307"/>
      <c r="B201" s="307"/>
      <c r="D201" s="308"/>
      <c r="E201" s="309"/>
    </row>
    <row r="202" ht="15.75" customHeight="1">
      <c r="A202" s="307"/>
      <c r="B202" s="307"/>
      <c r="D202" s="308"/>
      <c r="E202" s="309"/>
    </row>
    <row r="203" ht="15.75" customHeight="1">
      <c r="A203" s="307"/>
      <c r="B203" s="307"/>
      <c r="D203" s="308"/>
      <c r="E203" s="309"/>
    </row>
    <row r="204" ht="15.75" customHeight="1">
      <c r="A204" s="307"/>
      <c r="B204" s="307"/>
      <c r="D204" s="308"/>
      <c r="E204" s="309"/>
    </row>
    <row r="205" ht="15.75" customHeight="1">
      <c r="A205" s="307"/>
      <c r="B205" s="307"/>
      <c r="D205" s="308"/>
      <c r="E205" s="309"/>
    </row>
    <row r="206" ht="15.75" customHeight="1">
      <c r="A206" s="307"/>
      <c r="B206" s="307"/>
      <c r="D206" s="308"/>
      <c r="E206" s="309"/>
    </row>
    <row r="207" ht="15.75" customHeight="1">
      <c r="A207" s="307"/>
      <c r="B207" s="307"/>
      <c r="D207" s="308"/>
      <c r="E207" s="309"/>
    </row>
    <row r="208" ht="15.75" customHeight="1">
      <c r="A208" s="307"/>
      <c r="B208" s="307"/>
      <c r="D208" s="308"/>
      <c r="E208" s="309"/>
    </row>
    <row r="209" ht="15.75" customHeight="1">
      <c r="A209" s="307"/>
      <c r="B209" s="307"/>
      <c r="D209" s="308"/>
      <c r="E209" s="309"/>
    </row>
    <row r="210" ht="15.75" customHeight="1">
      <c r="A210" s="307"/>
      <c r="B210" s="307"/>
      <c r="D210" s="308"/>
      <c r="E210" s="309"/>
    </row>
    <row r="211" ht="15.75" customHeight="1">
      <c r="A211" s="307"/>
      <c r="B211" s="307"/>
      <c r="D211" s="308"/>
      <c r="E211" s="309"/>
    </row>
    <row r="212" ht="15.75" customHeight="1">
      <c r="A212" s="307"/>
      <c r="B212" s="307"/>
      <c r="D212" s="308"/>
      <c r="E212" s="309"/>
    </row>
    <row r="213" ht="15.75" customHeight="1">
      <c r="A213" s="307"/>
      <c r="B213" s="307"/>
      <c r="D213" s="308"/>
      <c r="E213" s="309"/>
    </row>
    <row r="214" ht="15.75" customHeight="1">
      <c r="A214" s="307"/>
      <c r="B214" s="307"/>
      <c r="D214" s="308"/>
      <c r="E214" s="309"/>
    </row>
    <row r="215" ht="15.75" customHeight="1">
      <c r="A215" s="307"/>
      <c r="B215" s="307"/>
      <c r="D215" s="308"/>
      <c r="E215" s="309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307"/>
      <c r="D218" s="308"/>
      <c r="E218" s="309"/>
    </row>
    <row r="219" ht="15.75" customHeight="1">
      <c r="A219" s="307"/>
      <c r="B219" s="307"/>
      <c r="D219" s="308"/>
      <c r="E219" s="309"/>
    </row>
    <row r="220" ht="15.75" customHeight="1">
      <c r="A220" s="307"/>
      <c r="B220" s="307"/>
      <c r="D220" s="308"/>
      <c r="E220" s="309"/>
    </row>
    <row r="221" ht="15.75" customHeight="1">
      <c r="A221" s="307"/>
      <c r="B221" s="307"/>
      <c r="D221" s="308"/>
      <c r="E221" s="309"/>
    </row>
    <row r="222" ht="15.75" customHeight="1">
      <c r="A222" s="307"/>
      <c r="B222" s="307"/>
      <c r="D222" s="308"/>
      <c r="E222" s="309"/>
    </row>
    <row r="223" ht="15.75" customHeight="1">
      <c r="A223" s="307"/>
      <c r="B223" s="307"/>
      <c r="D223" s="308"/>
      <c r="E223" s="309"/>
    </row>
    <row r="224" ht="15.75" customHeight="1">
      <c r="A224" s="307"/>
      <c r="B224" s="307"/>
      <c r="D224" s="308"/>
      <c r="E224" s="309"/>
    </row>
    <row r="225" ht="15.75" customHeight="1">
      <c r="A225" s="307"/>
      <c r="B225" s="307"/>
      <c r="D225" s="308"/>
      <c r="E225" s="309"/>
    </row>
    <row r="226" ht="15.75" customHeight="1">
      <c r="A226" s="307"/>
      <c r="B226" s="307"/>
      <c r="D226" s="308"/>
      <c r="E226" s="309"/>
    </row>
    <row r="227" ht="15.75" customHeight="1">
      <c r="A227" s="307"/>
      <c r="B227" s="307"/>
      <c r="D227" s="308"/>
      <c r="E227" s="309"/>
    </row>
    <row r="228" ht="15.75" customHeight="1">
      <c r="A228" s="307"/>
      <c r="B228" s="307"/>
      <c r="D228" s="308"/>
      <c r="E228" s="309"/>
    </row>
    <row r="229" ht="15.75" customHeight="1">
      <c r="A229" s="307"/>
      <c r="B229" s="307"/>
      <c r="D229" s="308"/>
      <c r="E229" s="309"/>
    </row>
    <row r="230" ht="15.75" customHeight="1">
      <c r="A230" s="307"/>
      <c r="B230" s="307"/>
      <c r="D230" s="308"/>
      <c r="E230" s="309"/>
    </row>
    <row r="231" ht="15.75" customHeight="1">
      <c r="A231" s="307"/>
      <c r="B231" s="307"/>
      <c r="D231" s="308"/>
      <c r="E231" s="309"/>
    </row>
    <row r="232" ht="15.75" customHeight="1">
      <c r="A232" s="307"/>
      <c r="B232" s="307"/>
      <c r="D232" s="308"/>
      <c r="E232" s="309"/>
    </row>
    <row r="233" ht="15.75" customHeight="1">
      <c r="A233" s="307"/>
      <c r="B233" s="307"/>
      <c r="D233" s="308"/>
      <c r="E233" s="309"/>
    </row>
    <row r="234" ht="15.75" customHeight="1">
      <c r="A234" s="307"/>
      <c r="B234" s="307"/>
    </row>
    <row r="235" ht="15.75" customHeight="1">
      <c r="A235" s="307"/>
      <c r="B235" s="307"/>
    </row>
    <row r="236" ht="15.75" customHeight="1">
      <c r="A236" s="307"/>
      <c r="B236" s="307"/>
    </row>
    <row r="237" ht="15.75" customHeight="1">
      <c r="A237" s="307"/>
      <c r="B237" s="307"/>
    </row>
    <row r="238" ht="15.75" customHeight="1">
      <c r="A238" s="307"/>
      <c r="B238" s="307"/>
    </row>
    <row r="239" ht="15.75" customHeight="1">
      <c r="A239" s="307"/>
      <c r="B239" s="307"/>
    </row>
    <row r="240" ht="15.75" customHeight="1">
      <c r="A240" s="307"/>
      <c r="B240" s="307"/>
    </row>
    <row r="241" ht="15.75" customHeight="1">
      <c r="A241" s="307"/>
      <c r="B241" s="30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:I2"/>
    <mergeCell ref="L6:M6"/>
    <mergeCell ref="L7:M7"/>
    <mergeCell ref="L8:M8"/>
    <mergeCell ref="L9:M9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D30:I30"/>
    <mergeCell ref="L34:M34"/>
    <mergeCell ref="L35:M35"/>
    <mergeCell ref="L36:M36"/>
    <mergeCell ref="L37:M37"/>
    <mergeCell ref="C47:I47"/>
    <mergeCell ref="C48:I48"/>
    <mergeCell ref="C49:I49"/>
    <mergeCell ref="C50:I50"/>
    <mergeCell ref="C51:I51"/>
    <mergeCell ref="C52:I52"/>
    <mergeCell ref="C53:I53"/>
    <mergeCell ref="C54:I54"/>
    <mergeCell ref="C55:I55"/>
    <mergeCell ref="C77:I77"/>
    <mergeCell ref="C78:I78"/>
    <mergeCell ref="C79:I79"/>
    <mergeCell ref="C80:I80"/>
    <mergeCell ref="C81:I81"/>
    <mergeCell ref="C82:I82"/>
    <mergeCell ref="C83:I83"/>
    <mergeCell ref="D58:I58"/>
    <mergeCell ref="L62:M62"/>
    <mergeCell ref="L63:M63"/>
    <mergeCell ref="L64:M64"/>
    <mergeCell ref="L65:M65"/>
    <mergeCell ref="C75:I75"/>
    <mergeCell ref="C76:I76"/>
  </mergeCells>
  <dataValidations>
    <dataValidation type="list" allowBlank="1" showErrorMessage="1" sqref="D6:D17 D34:D45 D62:D73">
      <formula1>'Hoja 2'!$A$2:$A$4</formula1>
    </dataValidation>
    <dataValidation type="list" allowBlank="1" showErrorMessage="1" sqref="C6 C9:C17 C34 C37:C45 C62 C65:C73">
      <formula1>'Base de datos'!$C$2:$C$1000</formula1>
    </dataValidation>
    <dataValidation type="list" allowBlank="1" showErrorMessage="1" sqref="C8 C36 C64">
      <formula1>'Base de datos'!$C$2:$C$931</formula1>
    </dataValidation>
  </dataValidations>
  <hyperlinks>
    <hyperlink display="INDICE" location="'INDICE 25'!A1" ref="K5"/>
    <hyperlink display="INDICE" location="'INDICE 25'!A1" ref="K33"/>
    <hyperlink display="INDICE" location="'INDICE 25'!A1" ref="K6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37.0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  <col customWidth="1" min="14" max="14" width="6.13"/>
  </cols>
  <sheetData>
    <row r="1" ht="15.75" customHeight="1">
      <c r="A1" s="229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236" t="s">
        <v>651</v>
      </c>
      <c r="E2" s="237"/>
      <c r="F2" s="237"/>
      <c r="G2" s="237"/>
      <c r="H2" s="237"/>
      <c r="I2" s="237"/>
      <c r="J2" s="238"/>
      <c r="K2" s="310" t="s">
        <v>340</v>
      </c>
      <c r="L2" s="230"/>
      <c r="M2" s="233"/>
    </row>
    <row r="3" ht="15.75" customHeight="1">
      <c r="A3" s="239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479" t="s">
        <v>728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K5" s="250" t="s">
        <v>322</v>
      </c>
      <c r="L5" s="251"/>
      <c r="M5" s="251"/>
      <c r="O5" s="250" t="s">
        <v>322</v>
      </c>
      <c r="P5" s="480" t="s">
        <v>775</v>
      </c>
      <c r="Q5" s="251"/>
      <c r="S5" s="250" t="s">
        <v>323</v>
      </c>
      <c r="T5" s="251"/>
      <c r="U5" s="251"/>
    </row>
    <row r="6" ht="15.75" customHeight="1">
      <c r="A6" s="252"/>
      <c r="B6" s="253" t="str">
        <f t="array" ref="B6">+XLOOKUP(C6,'Base de datos'!C:C,'Base de datos'!A:A,"",FALSE)</f>
        <v/>
      </c>
      <c r="C6" s="254"/>
      <c r="D6" s="255" t="s">
        <v>14</v>
      </c>
      <c r="E6" s="256">
        <f t="array" ref="E6">+XLOOKUP(B6,'Base de datos'!A:A,'Base de datos'!H:H,0)</f>
        <v>0</v>
      </c>
      <c r="F6" s="257"/>
      <c r="G6" s="257"/>
      <c r="H6" s="258" t="str">
        <f>IFERROR(1-G6/F6,"")</f>
        <v/>
      </c>
      <c r="I6" s="256">
        <f>IFERROR(E6*F6,"")</f>
        <v>0</v>
      </c>
      <c r="J6" s="241"/>
      <c r="K6" s="259" t="s">
        <v>324</v>
      </c>
      <c r="L6" s="260">
        <f>SUM(I6:I11)</f>
        <v>0.1918767105</v>
      </c>
      <c r="M6" s="261"/>
      <c r="O6" s="259" t="s">
        <v>324</v>
      </c>
      <c r="P6" s="260">
        <f>SUM(I6:I11)</f>
        <v>0.1918767105</v>
      </c>
      <c r="Q6" s="261"/>
      <c r="S6" s="259" t="s">
        <v>324</v>
      </c>
      <c r="T6" s="260">
        <f>L6</f>
        <v>0.1918767105</v>
      </c>
      <c r="U6" s="261"/>
    </row>
    <row r="7" ht="15.75" customHeight="1">
      <c r="A7" s="252"/>
      <c r="B7" s="262"/>
      <c r="C7" s="262"/>
      <c r="D7" s="263"/>
      <c r="E7" s="264"/>
      <c r="F7" s="359"/>
      <c r="G7" s="265"/>
      <c r="H7" s="266"/>
      <c r="I7" s="264"/>
      <c r="J7" s="241"/>
      <c r="K7" s="267" t="s">
        <v>325</v>
      </c>
      <c r="L7" s="268">
        <v>0.5</v>
      </c>
      <c r="M7" s="261"/>
      <c r="O7" s="267" t="s">
        <v>325</v>
      </c>
      <c r="P7" s="268">
        <v>0.75</v>
      </c>
      <c r="Q7" s="261"/>
      <c r="S7" s="267" t="s">
        <v>325</v>
      </c>
      <c r="T7" s="268">
        <v>1.2</v>
      </c>
      <c r="U7" s="261"/>
    </row>
    <row r="8" ht="15.75" customHeight="1">
      <c r="A8" s="252"/>
      <c r="B8" s="366">
        <f t="array" ref="B8">+XLOOKUP(C8,'Base de datos'!C:C,'Base de datos'!A:A,"",FALSE)</f>
        <v>146</v>
      </c>
      <c r="C8" s="270" t="s">
        <v>175</v>
      </c>
      <c r="D8" s="255" t="s">
        <v>14</v>
      </c>
      <c r="E8" s="256">
        <f t="array" ref="E8">+XLOOKUP(B8,'Base de datos'!A:A,'Base de datos'!H:H,0)</f>
        <v>0.04115</v>
      </c>
      <c r="F8" s="271">
        <v>1.0</v>
      </c>
      <c r="G8" s="257"/>
      <c r="H8" s="258"/>
      <c r="I8" s="256">
        <f t="shared" ref="I8:I9" si="1">IFERROR(E8*F8,"")</f>
        <v>0.04115</v>
      </c>
      <c r="J8" s="241"/>
      <c r="K8" s="272" t="s">
        <v>326</v>
      </c>
      <c r="L8" s="273">
        <f>L7/1.1</f>
        <v>0.4545454545</v>
      </c>
      <c r="M8" s="274"/>
      <c r="O8" s="272" t="s">
        <v>326</v>
      </c>
      <c r="P8" s="273">
        <f>P7/1.1</f>
        <v>0.6818181818</v>
      </c>
      <c r="Q8" s="274"/>
      <c r="S8" s="272" t="s">
        <v>326</v>
      </c>
      <c r="T8" s="273">
        <f>T7/1.1</f>
        <v>1.090909091</v>
      </c>
      <c r="U8" s="274"/>
    </row>
    <row r="9" ht="15.75" customHeight="1">
      <c r="A9" s="252"/>
      <c r="B9" s="366">
        <f t="array" ref="B9">+XLOOKUP(C9,'Base de datos'!C:C,'Base de datos'!A:A,"",FALSE)</f>
        <v>132</v>
      </c>
      <c r="C9" s="270" t="s">
        <v>159</v>
      </c>
      <c r="D9" s="255" t="s">
        <v>14</v>
      </c>
      <c r="E9" s="256">
        <f t="array" ref="E9">+XLOOKUP(B9,'Base de datos'!A:A,'Base de datos'!H:H,0)</f>
        <v>3.014534211</v>
      </c>
      <c r="F9" s="271">
        <v>0.05</v>
      </c>
      <c r="G9" s="257"/>
      <c r="H9" s="258"/>
      <c r="I9" s="256">
        <f t="shared" si="1"/>
        <v>0.1507267105</v>
      </c>
      <c r="J9" s="241"/>
      <c r="K9" s="276" t="s">
        <v>327</v>
      </c>
      <c r="L9" s="277">
        <v>0.1</v>
      </c>
      <c r="M9" s="278"/>
      <c r="O9" s="276" t="s">
        <v>327</v>
      </c>
      <c r="P9" s="277">
        <v>0.1</v>
      </c>
      <c r="Q9" s="278"/>
      <c r="S9" s="276" t="s">
        <v>327</v>
      </c>
      <c r="T9" s="277">
        <v>0.1</v>
      </c>
      <c r="U9" s="278"/>
    </row>
    <row r="10" ht="15.75" customHeight="1">
      <c r="A10" s="252"/>
      <c r="B10" s="253"/>
      <c r="C10" s="270"/>
      <c r="D10" s="275"/>
      <c r="E10" s="256"/>
      <c r="F10" s="271"/>
      <c r="G10" s="271"/>
      <c r="H10" s="258"/>
      <c r="I10" s="256"/>
      <c r="J10" s="241"/>
      <c r="K10" s="279" t="s">
        <v>328</v>
      </c>
      <c r="L10" s="280">
        <f>L6/L8*100</f>
        <v>42.21287632</v>
      </c>
      <c r="M10" s="281" t="s">
        <v>329</v>
      </c>
      <c r="O10" s="279" t="s">
        <v>328</v>
      </c>
      <c r="P10" s="280">
        <f>P6/P8*100</f>
        <v>28.14191754</v>
      </c>
      <c r="Q10" s="281" t="s">
        <v>329</v>
      </c>
      <c r="S10" s="279" t="s">
        <v>328</v>
      </c>
      <c r="T10" s="280">
        <f>T6/T8*100</f>
        <v>17.58869846</v>
      </c>
      <c r="U10" s="281" t="s">
        <v>329</v>
      </c>
    </row>
    <row r="11" ht="15.75" customHeight="1">
      <c r="A11" s="252"/>
      <c r="B11" s="253"/>
      <c r="C11" s="270"/>
      <c r="D11" s="275"/>
      <c r="E11" s="256"/>
      <c r="F11" s="271"/>
      <c r="G11" s="271"/>
      <c r="H11" s="258"/>
      <c r="I11" s="256"/>
      <c r="J11" s="241"/>
      <c r="K11" s="282" t="s">
        <v>330</v>
      </c>
      <c r="L11" s="283">
        <f>100-L10</f>
        <v>57.78712368</v>
      </c>
      <c r="M11" s="284" t="s">
        <v>329</v>
      </c>
      <c r="O11" s="282" t="s">
        <v>330</v>
      </c>
      <c r="P11" s="283">
        <f>100-P10</f>
        <v>71.85808246</v>
      </c>
      <c r="Q11" s="284" t="s">
        <v>329</v>
      </c>
      <c r="S11" s="285" t="s">
        <v>330</v>
      </c>
      <c r="T11" s="286">
        <f>T8-T6</f>
        <v>0.8990323804</v>
      </c>
      <c r="U11" s="287" t="s">
        <v>331</v>
      </c>
    </row>
    <row r="12" ht="15.75" customHeight="1">
      <c r="A12" s="240"/>
      <c r="B12" s="240"/>
      <c r="C12" s="241"/>
      <c r="D12" s="242"/>
      <c r="E12" s="243"/>
      <c r="F12" s="244"/>
      <c r="G12" s="244"/>
      <c r="H12" s="241"/>
      <c r="I12" s="241"/>
      <c r="J12" s="241"/>
      <c r="K12" s="241"/>
      <c r="L12" s="241"/>
      <c r="S12" s="289" t="s">
        <v>332</v>
      </c>
      <c r="T12" s="290">
        <f>T8-T6-(T7*0.2)</f>
        <v>0.6590323804</v>
      </c>
      <c r="U12" s="291" t="s">
        <v>331</v>
      </c>
    </row>
    <row r="13" ht="15.75" customHeight="1">
      <c r="A13" s="240"/>
      <c r="B13" s="240"/>
      <c r="C13" s="241"/>
      <c r="D13" s="242"/>
      <c r="E13" s="243"/>
      <c r="F13" s="244"/>
      <c r="G13" s="244"/>
      <c r="H13" s="241"/>
      <c r="I13" s="241"/>
      <c r="J13" s="241"/>
      <c r="K13" s="241"/>
      <c r="L13" s="241"/>
      <c r="S13" s="289" t="s">
        <v>332</v>
      </c>
      <c r="T13" s="292">
        <f>T12/T8</f>
        <v>0.6041130154</v>
      </c>
      <c r="U13" s="291" t="s">
        <v>329</v>
      </c>
    </row>
    <row r="14" ht="15.75" customHeight="1">
      <c r="A14" s="307"/>
      <c r="B14" s="307"/>
      <c r="D14" s="308"/>
      <c r="E14" s="309"/>
    </row>
    <row r="15" ht="15.75" customHeight="1">
      <c r="A15" s="307"/>
      <c r="B15" s="307"/>
      <c r="D15" s="308"/>
      <c r="E15" s="309"/>
    </row>
    <row r="16" ht="15.75" customHeight="1">
      <c r="A16" s="307"/>
      <c r="B16" s="246" t="s">
        <v>0</v>
      </c>
      <c r="C16" s="479" t="s">
        <v>727</v>
      </c>
      <c r="D16" s="246" t="s">
        <v>316</v>
      </c>
      <c r="E16" s="247" t="s">
        <v>317</v>
      </c>
      <c r="F16" s="248" t="s">
        <v>318</v>
      </c>
      <c r="G16" s="248" t="s">
        <v>319</v>
      </c>
      <c r="H16" s="246" t="s">
        <v>320</v>
      </c>
      <c r="I16" s="246" t="s">
        <v>321</v>
      </c>
      <c r="J16" s="249"/>
      <c r="K16" s="250" t="s">
        <v>322</v>
      </c>
      <c r="L16" s="251"/>
      <c r="M16" s="251"/>
      <c r="O16" s="250" t="s">
        <v>322</v>
      </c>
      <c r="P16" s="480" t="s">
        <v>775</v>
      </c>
      <c r="Q16" s="251"/>
      <c r="S16" s="250" t="s">
        <v>323</v>
      </c>
      <c r="T16" s="251"/>
      <c r="U16" s="251"/>
    </row>
    <row r="17" ht="15.75" customHeight="1">
      <c r="A17" s="307"/>
      <c r="B17" s="253" t="str">
        <f t="array" ref="B17">+XLOOKUP(C17,'Base de datos'!C:C,'Base de datos'!A:A,"",FALSE)</f>
        <v/>
      </c>
      <c r="C17" s="254"/>
      <c r="D17" s="255" t="s">
        <v>14</v>
      </c>
      <c r="E17" s="256">
        <f t="array" ref="E17">+XLOOKUP(B17,'Base de datos'!A:A,'Base de datos'!H:H,0)</f>
        <v>0</v>
      </c>
      <c r="F17" s="257"/>
      <c r="G17" s="257"/>
      <c r="H17" s="258" t="str">
        <f>IFERROR(1-G17/F17,"")</f>
        <v/>
      </c>
      <c r="I17" s="256">
        <f>IFERROR(E17*F17,"")</f>
        <v>0</v>
      </c>
      <c r="J17" s="241"/>
      <c r="K17" s="259" t="s">
        <v>324</v>
      </c>
      <c r="L17" s="260">
        <f>SUM(I17:I22)</f>
        <v>0.13715</v>
      </c>
      <c r="M17" s="261"/>
      <c r="O17" s="259" t="s">
        <v>324</v>
      </c>
      <c r="P17" s="260">
        <f>SUM(I17:I22)</f>
        <v>0.13715</v>
      </c>
      <c r="Q17" s="261"/>
      <c r="S17" s="259" t="s">
        <v>324</v>
      </c>
      <c r="T17" s="260">
        <f>L17</f>
        <v>0.13715</v>
      </c>
      <c r="U17" s="261"/>
    </row>
    <row r="18" ht="15.75" customHeight="1">
      <c r="A18" s="307"/>
      <c r="B18" s="262"/>
      <c r="C18" s="262"/>
      <c r="D18" s="263"/>
      <c r="E18" s="264"/>
      <c r="F18" s="359"/>
      <c r="G18" s="265"/>
      <c r="H18" s="266"/>
      <c r="I18" s="264"/>
      <c r="J18" s="241"/>
      <c r="K18" s="267" t="s">
        <v>325</v>
      </c>
      <c r="L18" s="268">
        <v>0.5</v>
      </c>
      <c r="M18" s="261"/>
      <c r="O18" s="267" t="s">
        <v>325</v>
      </c>
      <c r="P18" s="268">
        <v>0.75</v>
      </c>
      <c r="Q18" s="261"/>
      <c r="S18" s="267" t="s">
        <v>325</v>
      </c>
      <c r="T18" s="268">
        <v>1.2</v>
      </c>
      <c r="U18" s="261"/>
    </row>
    <row r="19" ht="15.75" customHeight="1">
      <c r="A19" s="307"/>
      <c r="B19" s="366">
        <f t="array" ref="B19">+XLOOKUP(C19,'Base de datos'!C:C,'Base de datos'!A:A,"",FALSE)</f>
        <v>146</v>
      </c>
      <c r="C19" s="270" t="s">
        <v>175</v>
      </c>
      <c r="D19" s="255" t="s">
        <v>14</v>
      </c>
      <c r="E19" s="256">
        <f t="array" ref="E19">+XLOOKUP(B19,'Base de datos'!A:A,'Base de datos'!H:H,0)</f>
        <v>0.04115</v>
      </c>
      <c r="F19" s="271">
        <v>1.0</v>
      </c>
      <c r="G19" s="257"/>
      <c r="H19" s="258"/>
      <c r="I19" s="256">
        <f t="shared" ref="I19:I20" si="2">IFERROR(E19*F19,"")</f>
        <v>0.04115</v>
      </c>
      <c r="J19" s="241"/>
      <c r="K19" s="272" t="s">
        <v>326</v>
      </c>
      <c r="L19" s="273">
        <f>L18/1.1</f>
        <v>0.4545454545</v>
      </c>
      <c r="M19" s="274"/>
      <c r="O19" s="272" t="s">
        <v>326</v>
      </c>
      <c r="P19" s="273">
        <f>P18/1.1</f>
        <v>0.6818181818</v>
      </c>
      <c r="Q19" s="274"/>
      <c r="S19" s="272" t="s">
        <v>326</v>
      </c>
      <c r="T19" s="273">
        <f>T18/1.1</f>
        <v>1.090909091</v>
      </c>
      <c r="U19" s="274"/>
    </row>
    <row r="20" ht="15.75" customHeight="1">
      <c r="A20" s="307"/>
      <c r="B20" s="366">
        <f t="array" ref="B20">+XLOOKUP(C20,'Base de datos'!C:C,'Base de datos'!A:A,"",FALSE)</f>
        <v>131</v>
      </c>
      <c r="C20" s="270" t="s">
        <v>158</v>
      </c>
      <c r="D20" s="255" t="s">
        <v>14</v>
      </c>
      <c r="E20" s="256">
        <f t="array" ref="E20">+XLOOKUP(B20,'Base de datos'!A:A,'Base de datos'!H:H,0)</f>
        <v>1.92</v>
      </c>
      <c r="F20" s="271">
        <v>0.05</v>
      </c>
      <c r="G20" s="257"/>
      <c r="H20" s="258"/>
      <c r="I20" s="256">
        <f t="shared" si="2"/>
        <v>0.096</v>
      </c>
      <c r="J20" s="241"/>
      <c r="K20" s="276" t="s">
        <v>327</v>
      </c>
      <c r="L20" s="277">
        <v>0.1</v>
      </c>
      <c r="M20" s="278"/>
      <c r="O20" s="276" t="s">
        <v>327</v>
      </c>
      <c r="P20" s="277">
        <v>0.1</v>
      </c>
      <c r="Q20" s="278"/>
      <c r="S20" s="276" t="s">
        <v>327</v>
      </c>
      <c r="T20" s="277">
        <v>0.1</v>
      </c>
      <c r="U20" s="278"/>
    </row>
    <row r="21" ht="15.75" customHeight="1">
      <c r="A21" s="307"/>
      <c r="B21" s="253"/>
      <c r="C21" s="270"/>
      <c r="D21" s="275"/>
      <c r="E21" s="256"/>
      <c r="F21" s="271"/>
      <c r="G21" s="271"/>
      <c r="H21" s="258"/>
      <c r="I21" s="256"/>
      <c r="J21" s="241"/>
      <c r="K21" s="279" t="s">
        <v>328</v>
      </c>
      <c r="L21" s="280">
        <f>L17/L19*100</f>
        <v>30.173</v>
      </c>
      <c r="M21" s="281" t="s">
        <v>329</v>
      </c>
      <c r="O21" s="279" t="s">
        <v>328</v>
      </c>
      <c r="P21" s="280">
        <f>P17/P19*100</f>
        <v>20.11533333</v>
      </c>
      <c r="Q21" s="281" t="s">
        <v>329</v>
      </c>
      <c r="S21" s="279" t="s">
        <v>328</v>
      </c>
      <c r="T21" s="280">
        <f>T17/T19*100</f>
        <v>12.57208333</v>
      </c>
      <c r="U21" s="281" t="s">
        <v>329</v>
      </c>
    </row>
    <row r="22" ht="15.75" customHeight="1">
      <c r="A22" s="307"/>
      <c r="B22" s="253"/>
      <c r="C22" s="270"/>
      <c r="D22" s="275"/>
      <c r="E22" s="256"/>
      <c r="F22" s="271"/>
      <c r="G22" s="271"/>
      <c r="H22" s="258"/>
      <c r="I22" s="256"/>
      <c r="J22" s="241"/>
      <c r="K22" s="282" t="s">
        <v>330</v>
      </c>
      <c r="L22" s="283">
        <f>100-L21</f>
        <v>69.827</v>
      </c>
      <c r="M22" s="284" t="s">
        <v>329</v>
      </c>
      <c r="O22" s="282" t="s">
        <v>330</v>
      </c>
      <c r="P22" s="283">
        <f>100-P21</f>
        <v>79.88466667</v>
      </c>
      <c r="Q22" s="284" t="s">
        <v>329</v>
      </c>
      <c r="S22" s="285" t="s">
        <v>330</v>
      </c>
      <c r="T22" s="286">
        <f>T19-T17</f>
        <v>0.9537590909</v>
      </c>
      <c r="U22" s="287" t="s">
        <v>331</v>
      </c>
    </row>
    <row r="23" ht="15.75" customHeight="1">
      <c r="A23" s="307"/>
      <c r="B23" s="240"/>
      <c r="C23" s="241"/>
      <c r="D23" s="242"/>
      <c r="E23" s="243"/>
      <c r="F23" s="244"/>
      <c r="G23" s="244"/>
      <c r="H23" s="241"/>
      <c r="I23" s="241"/>
      <c r="J23" s="241"/>
      <c r="K23" s="241"/>
      <c r="L23" s="241"/>
      <c r="S23" s="289" t="s">
        <v>332</v>
      </c>
      <c r="T23" s="290">
        <f>T19-T17-(T18*0.2)</f>
        <v>0.7137590909</v>
      </c>
      <c r="U23" s="291" t="s">
        <v>331</v>
      </c>
    </row>
    <row r="24" ht="15.75" customHeight="1">
      <c r="A24" s="307"/>
      <c r="B24" s="307"/>
      <c r="D24" s="308"/>
      <c r="E24" s="309"/>
      <c r="S24" s="289" t="s">
        <v>332</v>
      </c>
      <c r="T24" s="292">
        <f>T23/T19</f>
        <v>0.6542791667</v>
      </c>
      <c r="U24" s="291" t="s">
        <v>329</v>
      </c>
    </row>
    <row r="25" ht="15.75" customHeight="1">
      <c r="A25" s="307"/>
      <c r="B25" s="307"/>
      <c r="D25" s="308"/>
      <c r="E25" s="309"/>
    </row>
    <row r="26" ht="15.75" customHeight="1">
      <c r="A26" s="307"/>
      <c r="B26" s="246" t="s">
        <v>0</v>
      </c>
      <c r="C26" s="479" t="s">
        <v>776</v>
      </c>
      <c r="D26" s="246" t="s">
        <v>316</v>
      </c>
      <c r="E26" s="247" t="s">
        <v>317</v>
      </c>
      <c r="F26" s="248" t="s">
        <v>318</v>
      </c>
      <c r="G26" s="248" t="s">
        <v>319</v>
      </c>
      <c r="H26" s="246" t="s">
        <v>320</v>
      </c>
      <c r="I26" s="246" t="s">
        <v>321</v>
      </c>
      <c r="J26" s="249"/>
      <c r="K26" s="250" t="s">
        <v>322</v>
      </c>
      <c r="L26" s="251"/>
      <c r="M26" s="251"/>
      <c r="O26" s="250" t="s">
        <v>322</v>
      </c>
      <c r="P26" s="480" t="s">
        <v>775</v>
      </c>
      <c r="Q26" s="251"/>
      <c r="S26" s="250" t="s">
        <v>323</v>
      </c>
      <c r="T26" s="251"/>
      <c r="U26" s="251"/>
    </row>
    <row r="27" ht="15.75" customHeight="1">
      <c r="A27" s="307"/>
      <c r="B27" s="253" t="str">
        <f t="array" ref="B27">+XLOOKUP(C27,'Base de datos'!C:C,'Base de datos'!A:A,"",FALSE)</f>
        <v/>
      </c>
      <c r="C27" s="254"/>
      <c r="D27" s="255" t="s">
        <v>14</v>
      </c>
      <c r="E27" s="256">
        <f t="array" ref="E27">+XLOOKUP(B27,'Base de datos'!A:A,'Base de datos'!H:H,0)</f>
        <v>0</v>
      </c>
      <c r="F27" s="257"/>
      <c r="G27" s="257"/>
      <c r="H27" s="258" t="str">
        <f>IFERROR(1-G27/F27,"")</f>
        <v/>
      </c>
      <c r="I27" s="256">
        <f>IFERROR(E27*F27,"")</f>
        <v>0</v>
      </c>
      <c r="J27" s="241"/>
      <c r="K27" s="259" t="s">
        <v>324</v>
      </c>
      <c r="L27" s="260">
        <f>SUM(I27:I32)</f>
        <v>0.1817008511</v>
      </c>
      <c r="M27" s="261"/>
      <c r="O27" s="259" t="s">
        <v>324</v>
      </c>
      <c r="P27" s="260">
        <f>SUM(I27:I32)</f>
        <v>0.1817008511</v>
      </c>
      <c r="Q27" s="261"/>
      <c r="S27" s="259" t="s">
        <v>324</v>
      </c>
      <c r="T27" s="260">
        <f>L27</f>
        <v>0.1817008511</v>
      </c>
      <c r="U27" s="261"/>
    </row>
    <row r="28" ht="15.75" customHeight="1">
      <c r="A28" s="307"/>
      <c r="B28" s="262"/>
      <c r="C28" s="262"/>
      <c r="D28" s="263"/>
      <c r="E28" s="264"/>
      <c r="F28" s="359"/>
      <c r="G28" s="265"/>
      <c r="H28" s="266"/>
      <c r="I28" s="264"/>
      <c r="J28" s="241"/>
      <c r="K28" s="267" t="s">
        <v>325</v>
      </c>
      <c r="L28" s="268">
        <v>0.5</v>
      </c>
      <c r="M28" s="261"/>
      <c r="O28" s="267" t="s">
        <v>325</v>
      </c>
      <c r="P28" s="268">
        <v>0.75</v>
      </c>
      <c r="Q28" s="261"/>
      <c r="S28" s="267" t="s">
        <v>325</v>
      </c>
      <c r="T28" s="268">
        <v>1.2</v>
      </c>
      <c r="U28" s="261"/>
    </row>
    <row r="29" ht="15.75" customHeight="1">
      <c r="A29" s="307"/>
      <c r="B29" s="366">
        <f t="array" ref="B29">+XLOOKUP(C29,'Base de datos'!C:C,'Base de datos'!A:A,"",FALSE)</f>
        <v>146</v>
      </c>
      <c r="C29" s="270" t="s">
        <v>175</v>
      </c>
      <c r="D29" s="255" t="s">
        <v>14</v>
      </c>
      <c r="E29" s="256">
        <f t="array" ref="E29">+XLOOKUP(B29,'Base de datos'!A:A,'Base de datos'!H:H,0)</f>
        <v>0.04115</v>
      </c>
      <c r="F29" s="271">
        <v>1.0</v>
      </c>
      <c r="G29" s="257"/>
      <c r="H29" s="258"/>
      <c r="I29" s="256">
        <f t="shared" ref="I29:I30" si="3">IFERROR(E29*F29,"")</f>
        <v>0.04115</v>
      </c>
      <c r="J29" s="241"/>
      <c r="K29" s="272" t="s">
        <v>326</v>
      </c>
      <c r="L29" s="273">
        <f>L28/1.1</f>
        <v>0.4545454545</v>
      </c>
      <c r="M29" s="274"/>
      <c r="O29" s="272" t="s">
        <v>326</v>
      </c>
      <c r="P29" s="273">
        <f>P28/1.1</f>
        <v>0.6818181818</v>
      </c>
      <c r="Q29" s="274"/>
      <c r="S29" s="272" t="s">
        <v>326</v>
      </c>
      <c r="T29" s="273">
        <f>T28/1.1</f>
        <v>1.090909091</v>
      </c>
      <c r="U29" s="274"/>
    </row>
    <row r="30" ht="15.75" customHeight="1">
      <c r="A30" s="307"/>
      <c r="B30" s="366">
        <f t="array" ref="B30">+XLOOKUP(C30,'Base de datos'!C:C,'Base de datos'!A:A,"",FALSE)</f>
        <v>134</v>
      </c>
      <c r="C30" s="270" t="s">
        <v>161</v>
      </c>
      <c r="D30" s="255" t="s">
        <v>14</v>
      </c>
      <c r="E30" s="256">
        <f t="array" ref="E30">+XLOOKUP(B30,'Base de datos'!A:A,'Base de datos'!H:H,0)</f>
        <v>2.811017021</v>
      </c>
      <c r="F30" s="271">
        <v>0.05</v>
      </c>
      <c r="G30" s="257"/>
      <c r="H30" s="258"/>
      <c r="I30" s="256">
        <f t="shared" si="3"/>
        <v>0.1405508511</v>
      </c>
      <c r="J30" s="241"/>
      <c r="K30" s="276" t="s">
        <v>327</v>
      </c>
      <c r="L30" s="277">
        <v>0.1</v>
      </c>
      <c r="M30" s="278"/>
      <c r="O30" s="276" t="s">
        <v>327</v>
      </c>
      <c r="P30" s="277">
        <v>0.1</v>
      </c>
      <c r="Q30" s="278"/>
      <c r="S30" s="276" t="s">
        <v>327</v>
      </c>
      <c r="T30" s="277">
        <v>0.1</v>
      </c>
      <c r="U30" s="278"/>
    </row>
    <row r="31" ht="15.75" customHeight="1">
      <c r="A31" s="307"/>
      <c r="B31" s="253"/>
      <c r="C31" s="270"/>
      <c r="D31" s="275"/>
      <c r="E31" s="256"/>
      <c r="F31" s="271"/>
      <c r="G31" s="271"/>
      <c r="H31" s="258"/>
      <c r="I31" s="256"/>
      <c r="J31" s="241"/>
      <c r="K31" s="279" t="s">
        <v>328</v>
      </c>
      <c r="L31" s="280">
        <f>L27/L29*100</f>
        <v>39.97418724</v>
      </c>
      <c r="M31" s="281" t="s">
        <v>329</v>
      </c>
      <c r="O31" s="279" t="s">
        <v>328</v>
      </c>
      <c r="P31" s="280">
        <f>P27/P29*100</f>
        <v>26.64945816</v>
      </c>
      <c r="Q31" s="281" t="s">
        <v>329</v>
      </c>
      <c r="S31" s="279" t="s">
        <v>328</v>
      </c>
      <c r="T31" s="280">
        <f>T27/T29*100</f>
        <v>16.65591135</v>
      </c>
      <c r="U31" s="281" t="s">
        <v>329</v>
      </c>
    </row>
    <row r="32" ht="15.75" customHeight="1">
      <c r="A32" s="307"/>
      <c r="B32" s="253"/>
      <c r="C32" s="270"/>
      <c r="D32" s="275"/>
      <c r="E32" s="256"/>
      <c r="F32" s="271"/>
      <c r="G32" s="271"/>
      <c r="H32" s="258"/>
      <c r="I32" s="256"/>
      <c r="J32" s="241"/>
      <c r="K32" s="282" t="s">
        <v>330</v>
      </c>
      <c r="L32" s="283">
        <f>100-L31</f>
        <v>60.02581276</v>
      </c>
      <c r="M32" s="284" t="s">
        <v>329</v>
      </c>
      <c r="O32" s="282" t="s">
        <v>330</v>
      </c>
      <c r="P32" s="283">
        <f>100-P31</f>
        <v>73.35054184</v>
      </c>
      <c r="Q32" s="284" t="s">
        <v>329</v>
      </c>
      <c r="S32" s="285" t="s">
        <v>330</v>
      </c>
      <c r="T32" s="286">
        <f>T29-T27</f>
        <v>0.9092082398</v>
      </c>
      <c r="U32" s="287" t="s">
        <v>331</v>
      </c>
    </row>
    <row r="33" ht="15.75" customHeight="1">
      <c r="A33" s="307"/>
      <c r="B33" s="240"/>
      <c r="C33" s="241"/>
      <c r="D33" s="242"/>
      <c r="E33" s="243"/>
      <c r="F33" s="244"/>
      <c r="G33" s="244"/>
      <c r="H33" s="241"/>
      <c r="I33" s="241"/>
      <c r="J33" s="241"/>
      <c r="K33" s="241"/>
      <c r="L33" s="241"/>
      <c r="S33" s="289" t="s">
        <v>332</v>
      </c>
      <c r="T33" s="290">
        <f>T29-T27-(T28*0.2)</f>
        <v>0.6692082398</v>
      </c>
      <c r="U33" s="291" t="s">
        <v>331</v>
      </c>
    </row>
    <row r="34" ht="15.75" customHeight="1">
      <c r="A34" s="307"/>
      <c r="B34" s="307"/>
      <c r="D34" s="308"/>
      <c r="E34" s="309"/>
      <c r="S34" s="289" t="s">
        <v>332</v>
      </c>
      <c r="T34" s="292">
        <f>T33/T29</f>
        <v>0.6134408865</v>
      </c>
      <c r="U34" s="291" t="s">
        <v>329</v>
      </c>
    </row>
    <row r="35" ht="15.75" customHeight="1">
      <c r="A35" s="307"/>
      <c r="B35" s="307"/>
      <c r="D35" s="308"/>
      <c r="E35" s="309"/>
    </row>
    <row r="36" ht="15.75" customHeight="1">
      <c r="A36" s="307"/>
      <c r="B36" s="246" t="s">
        <v>0</v>
      </c>
      <c r="C36" s="479" t="s">
        <v>723</v>
      </c>
      <c r="D36" s="246" t="s">
        <v>316</v>
      </c>
      <c r="E36" s="247" t="s">
        <v>317</v>
      </c>
      <c r="F36" s="248" t="s">
        <v>318</v>
      </c>
      <c r="G36" s="248" t="s">
        <v>319</v>
      </c>
      <c r="H36" s="246" t="s">
        <v>320</v>
      </c>
      <c r="I36" s="246" t="s">
        <v>321</v>
      </c>
      <c r="J36" s="249"/>
      <c r="K36" s="250" t="s">
        <v>322</v>
      </c>
      <c r="L36" s="251"/>
      <c r="M36" s="251"/>
      <c r="O36" s="250" t="s">
        <v>322</v>
      </c>
      <c r="P36" s="480" t="s">
        <v>775</v>
      </c>
      <c r="Q36" s="251"/>
      <c r="S36" s="250" t="s">
        <v>323</v>
      </c>
      <c r="T36" s="251"/>
      <c r="U36" s="251"/>
    </row>
    <row r="37" ht="15.75" customHeight="1">
      <c r="A37" s="307"/>
      <c r="B37" s="253" t="str">
        <f t="array" ref="B37">+XLOOKUP(C37,'Base de datos'!C:C,'Base de datos'!A:A,"",FALSE)</f>
        <v/>
      </c>
      <c r="C37" s="254"/>
      <c r="D37" s="255" t="s">
        <v>14</v>
      </c>
      <c r="E37" s="256">
        <f t="array" ref="E37">+XLOOKUP(B37,'Base de datos'!A:A,'Base de datos'!H:H,0)</f>
        <v>0</v>
      </c>
      <c r="F37" s="257"/>
      <c r="G37" s="257"/>
      <c r="H37" s="258" t="str">
        <f>IFERROR(1-G37/F37,"")</f>
        <v/>
      </c>
      <c r="I37" s="256">
        <f>IFERROR(E37*F37,"")</f>
        <v>0</v>
      </c>
      <c r="J37" s="241"/>
      <c r="K37" s="259" t="s">
        <v>324</v>
      </c>
      <c r="L37" s="260">
        <f>SUM(I37:I42)</f>
        <v>0.1044052569</v>
      </c>
      <c r="M37" s="261"/>
      <c r="O37" s="259" t="s">
        <v>324</v>
      </c>
      <c r="P37" s="260">
        <f>SUM(I37:I42)</f>
        <v>0.1044052569</v>
      </c>
      <c r="Q37" s="261"/>
      <c r="S37" s="259" t="s">
        <v>324</v>
      </c>
      <c r="T37" s="260">
        <f>L37</f>
        <v>0.1044052569</v>
      </c>
      <c r="U37" s="261"/>
    </row>
    <row r="38" ht="15.75" customHeight="1">
      <c r="A38" s="307"/>
      <c r="B38" s="262"/>
      <c r="C38" s="262"/>
      <c r="D38" s="263"/>
      <c r="E38" s="264"/>
      <c r="F38" s="359"/>
      <c r="G38" s="265"/>
      <c r="H38" s="266"/>
      <c r="I38" s="264"/>
      <c r="J38" s="241"/>
      <c r="K38" s="267" t="s">
        <v>325</v>
      </c>
      <c r="L38" s="268">
        <v>0.5</v>
      </c>
      <c r="M38" s="261"/>
      <c r="O38" s="267" t="s">
        <v>325</v>
      </c>
      <c r="P38" s="268">
        <v>0.75</v>
      </c>
      <c r="Q38" s="261"/>
      <c r="S38" s="267" t="s">
        <v>325</v>
      </c>
      <c r="T38" s="268">
        <v>1.2</v>
      </c>
      <c r="U38" s="261"/>
    </row>
    <row r="39" ht="15.75" customHeight="1">
      <c r="A39" s="307"/>
      <c r="B39" s="366">
        <f t="array" ref="B39">+XLOOKUP(C39,'Base de datos'!C:C,'Base de datos'!A:A,"",FALSE)</f>
        <v>146</v>
      </c>
      <c r="C39" s="270" t="s">
        <v>175</v>
      </c>
      <c r="D39" s="255" t="s">
        <v>14</v>
      </c>
      <c r="E39" s="256">
        <f t="array" ref="E39">+XLOOKUP(B39,'Base de datos'!A:A,'Base de datos'!H:H,0)</f>
        <v>0.04115</v>
      </c>
      <c r="F39" s="271">
        <v>1.0</v>
      </c>
      <c r="G39" s="257"/>
      <c r="H39" s="258"/>
      <c r="I39" s="256">
        <f t="shared" ref="I39:I40" si="4">IFERROR(E39*F39,"")</f>
        <v>0.04115</v>
      </c>
      <c r="J39" s="241"/>
      <c r="K39" s="272" t="s">
        <v>326</v>
      </c>
      <c r="L39" s="273">
        <f>L38/1.1</f>
        <v>0.4545454545</v>
      </c>
      <c r="M39" s="274"/>
      <c r="O39" s="272" t="s">
        <v>326</v>
      </c>
      <c r="P39" s="273">
        <f>P38/1.1</f>
        <v>0.6818181818</v>
      </c>
      <c r="Q39" s="274"/>
      <c r="S39" s="272" t="s">
        <v>326</v>
      </c>
      <c r="T39" s="273">
        <f>T38/1.1</f>
        <v>1.090909091</v>
      </c>
      <c r="U39" s="274"/>
    </row>
    <row r="40" ht="15.75" customHeight="1">
      <c r="A40" s="307"/>
      <c r="B40" s="366">
        <f t="array" ref="B40">+XLOOKUP(C40,'Base de datos'!C:C,'Base de datos'!A:A,"",FALSE)</f>
        <v>133</v>
      </c>
      <c r="C40" s="270" t="s">
        <v>160</v>
      </c>
      <c r="D40" s="255" t="s">
        <v>14</v>
      </c>
      <c r="E40" s="256">
        <f t="array" ref="E40">+XLOOKUP(B40,'Base de datos'!A:A,'Base de datos'!H:H,0)</f>
        <v>1.265105137</v>
      </c>
      <c r="F40" s="271">
        <v>0.05</v>
      </c>
      <c r="G40" s="257"/>
      <c r="H40" s="258"/>
      <c r="I40" s="256">
        <f t="shared" si="4"/>
        <v>0.06325525685</v>
      </c>
      <c r="J40" s="241"/>
      <c r="K40" s="276" t="s">
        <v>327</v>
      </c>
      <c r="L40" s="277">
        <v>0.1</v>
      </c>
      <c r="M40" s="278"/>
      <c r="O40" s="276" t="s">
        <v>327</v>
      </c>
      <c r="P40" s="277">
        <v>0.1</v>
      </c>
      <c r="Q40" s="278"/>
      <c r="S40" s="276" t="s">
        <v>327</v>
      </c>
      <c r="T40" s="277">
        <v>0.1</v>
      </c>
      <c r="U40" s="278"/>
    </row>
    <row r="41" ht="15.75" customHeight="1">
      <c r="A41" s="307"/>
      <c r="B41" s="253"/>
      <c r="C41" s="270"/>
      <c r="D41" s="275"/>
      <c r="E41" s="256"/>
      <c r="F41" s="271"/>
      <c r="G41" s="271"/>
      <c r="H41" s="258"/>
      <c r="I41" s="256"/>
      <c r="J41" s="241"/>
      <c r="K41" s="279" t="s">
        <v>328</v>
      </c>
      <c r="L41" s="280">
        <f>L37/L39*100</f>
        <v>22.96915651</v>
      </c>
      <c r="M41" s="281" t="s">
        <v>329</v>
      </c>
      <c r="O41" s="279" t="s">
        <v>328</v>
      </c>
      <c r="P41" s="280">
        <f>P37/P39*100</f>
        <v>15.31277101</v>
      </c>
      <c r="Q41" s="281" t="s">
        <v>329</v>
      </c>
      <c r="S41" s="279" t="s">
        <v>328</v>
      </c>
      <c r="T41" s="280">
        <f>T37/T39*100</f>
        <v>9.570481878</v>
      </c>
      <c r="U41" s="281" t="s">
        <v>329</v>
      </c>
    </row>
    <row r="42" ht="15.75" customHeight="1">
      <c r="A42" s="307"/>
      <c r="B42" s="253"/>
      <c r="C42" s="270"/>
      <c r="D42" s="275"/>
      <c r="E42" s="256"/>
      <c r="F42" s="271"/>
      <c r="G42" s="271"/>
      <c r="H42" s="258"/>
      <c r="I42" s="256"/>
      <c r="J42" s="241"/>
      <c r="K42" s="282" t="s">
        <v>330</v>
      </c>
      <c r="L42" s="283">
        <f>100-L41</f>
        <v>77.03084349</v>
      </c>
      <c r="M42" s="284" t="s">
        <v>329</v>
      </c>
      <c r="O42" s="282" t="s">
        <v>330</v>
      </c>
      <c r="P42" s="283">
        <f>100-P41</f>
        <v>84.68722899</v>
      </c>
      <c r="Q42" s="284" t="s">
        <v>329</v>
      </c>
      <c r="S42" s="285" t="s">
        <v>330</v>
      </c>
      <c r="T42" s="286">
        <f>T39-T37</f>
        <v>0.9865038341</v>
      </c>
      <c r="U42" s="287" t="s">
        <v>331</v>
      </c>
    </row>
    <row r="43" ht="15.75" customHeight="1">
      <c r="A43" s="307"/>
      <c r="B43" s="240"/>
      <c r="C43" s="241"/>
      <c r="D43" s="242"/>
      <c r="E43" s="243"/>
      <c r="F43" s="244"/>
      <c r="G43" s="244"/>
      <c r="H43" s="241"/>
      <c r="I43" s="241"/>
      <c r="J43" s="241"/>
      <c r="K43" s="241"/>
      <c r="L43" s="241"/>
      <c r="S43" s="289" t="s">
        <v>332</v>
      </c>
      <c r="T43" s="290">
        <f>T39-T37-(T38*0.2)</f>
        <v>0.7465038341</v>
      </c>
      <c r="U43" s="291" t="s">
        <v>331</v>
      </c>
    </row>
    <row r="44" ht="15.75" customHeight="1">
      <c r="A44" s="307"/>
      <c r="B44" s="307"/>
      <c r="D44" s="308"/>
      <c r="E44" s="309"/>
      <c r="S44" s="289" t="s">
        <v>332</v>
      </c>
      <c r="T44" s="292">
        <f>T43/T39</f>
        <v>0.6842951812</v>
      </c>
      <c r="U44" s="291" t="s">
        <v>329</v>
      </c>
    </row>
    <row r="45" ht="15.75" customHeight="1">
      <c r="A45" s="307"/>
      <c r="B45" s="246" t="s">
        <v>0</v>
      </c>
      <c r="C45" s="479" t="s">
        <v>208</v>
      </c>
      <c r="D45" s="246" t="s">
        <v>316</v>
      </c>
      <c r="E45" s="247" t="s">
        <v>317</v>
      </c>
      <c r="F45" s="248" t="s">
        <v>318</v>
      </c>
      <c r="G45" s="248" t="s">
        <v>319</v>
      </c>
      <c r="H45" s="246" t="s">
        <v>320</v>
      </c>
      <c r="I45" s="246" t="s">
        <v>321</v>
      </c>
      <c r="J45" s="249"/>
      <c r="K45" s="250" t="s">
        <v>322</v>
      </c>
      <c r="L45" s="251"/>
      <c r="M45" s="251"/>
      <c r="S45" s="250" t="s">
        <v>323</v>
      </c>
      <c r="T45" s="251"/>
      <c r="U45" s="251"/>
    </row>
    <row r="46" ht="15.75" customHeight="1">
      <c r="A46" s="307"/>
      <c r="B46" s="253" t="str">
        <f t="array" ref="B46">+XLOOKUP(C46,'Base de datos'!C:C,'Base de datos'!A:A,"",FALSE)</f>
        <v/>
      </c>
      <c r="C46" s="254"/>
      <c r="D46" s="255" t="s">
        <v>14</v>
      </c>
      <c r="E46" s="256">
        <f t="array" ref="E46">+XLOOKUP(B46,'Base de datos'!A:A,'Base de datos'!H:H,0)</f>
        <v>0</v>
      </c>
      <c r="F46" s="257"/>
      <c r="G46" s="257"/>
      <c r="H46" s="258" t="str">
        <f>IFERROR(1-G46/F46,"")</f>
        <v/>
      </c>
      <c r="I46" s="256">
        <f>IFERROR(E46*F46,"")</f>
        <v>0</v>
      </c>
      <c r="J46" s="241"/>
      <c r="K46" s="259" t="s">
        <v>324</v>
      </c>
      <c r="L46" s="260">
        <f>SUM(I46:I51)</f>
        <v>0.5774513699</v>
      </c>
      <c r="M46" s="261"/>
      <c r="S46" s="259" t="s">
        <v>324</v>
      </c>
      <c r="T46" s="260">
        <f>L46</f>
        <v>0.5774513699</v>
      </c>
      <c r="U46" s="261"/>
    </row>
    <row r="47" ht="15.75" customHeight="1">
      <c r="A47" s="307"/>
      <c r="B47" s="262"/>
      <c r="C47" s="262"/>
      <c r="D47" s="263"/>
      <c r="E47" s="264"/>
      <c r="F47" s="359"/>
      <c r="G47" s="265"/>
      <c r="H47" s="266"/>
      <c r="I47" s="264"/>
      <c r="J47" s="241"/>
      <c r="K47" s="267" t="s">
        <v>325</v>
      </c>
      <c r="L47" s="268">
        <v>2.0</v>
      </c>
      <c r="M47" s="261"/>
      <c r="S47" s="267" t="s">
        <v>325</v>
      </c>
      <c r="T47" s="268">
        <v>2.3</v>
      </c>
      <c r="U47" s="261"/>
    </row>
    <row r="48" ht="15.75" customHeight="1">
      <c r="A48" s="307"/>
      <c r="B48" s="366">
        <f t="array" ref="B48">+XLOOKUP(C48,'Base de datos'!C:C,'Base de datos'!A:A,"",FALSE)</f>
        <v>146</v>
      </c>
      <c r="C48" s="270" t="s">
        <v>175</v>
      </c>
      <c r="D48" s="255" t="s">
        <v>14</v>
      </c>
      <c r="E48" s="256">
        <f t="array" ref="E48">+XLOOKUP(B48,'Base de datos'!A:A,'Base de datos'!H:H,0)</f>
        <v>0.04115</v>
      </c>
      <c r="F48" s="271">
        <v>1.0</v>
      </c>
      <c r="G48" s="257"/>
      <c r="H48" s="258"/>
      <c r="I48" s="256">
        <f t="shared" ref="I48:I49" si="5">IFERROR(E48*F48,"")</f>
        <v>0.04115</v>
      </c>
      <c r="J48" s="241"/>
      <c r="K48" s="272" t="s">
        <v>326</v>
      </c>
      <c r="L48" s="273">
        <f>L47/1.1</f>
        <v>1.818181818</v>
      </c>
      <c r="M48" s="274"/>
      <c r="S48" s="272" t="s">
        <v>326</v>
      </c>
      <c r="T48" s="273">
        <f>T47/1.1</f>
        <v>2.090909091</v>
      </c>
      <c r="U48" s="274"/>
    </row>
    <row r="49" ht="15.75" customHeight="1">
      <c r="A49" s="307"/>
      <c r="B49" s="366">
        <f t="array" ref="B49">+XLOOKUP(C49,'Base de datos'!C:C,'Base de datos'!A:A,"",FALSE)</f>
        <v>115</v>
      </c>
      <c r="C49" s="270" t="s">
        <v>140</v>
      </c>
      <c r="D49" s="255" t="s">
        <v>14</v>
      </c>
      <c r="E49" s="256">
        <f t="array" ref="E49">+XLOOKUP(B49,'Base de datos'!A:A,'Base de datos'!H:H,0)</f>
        <v>10.7260274</v>
      </c>
      <c r="F49" s="271">
        <v>0.05</v>
      </c>
      <c r="G49" s="257"/>
      <c r="H49" s="258"/>
      <c r="I49" s="256">
        <f t="shared" si="5"/>
        <v>0.5363013699</v>
      </c>
      <c r="J49" s="241"/>
      <c r="K49" s="276" t="s">
        <v>327</v>
      </c>
      <c r="L49" s="277">
        <v>0.1</v>
      </c>
      <c r="M49" s="278"/>
      <c r="S49" s="276" t="s">
        <v>327</v>
      </c>
      <c r="T49" s="277">
        <v>0.1</v>
      </c>
      <c r="U49" s="278"/>
    </row>
    <row r="50" ht="15.75" customHeight="1">
      <c r="A50" s="307"/>
      <c r="B50" s="253"/>
      <c r="C50" s="270"/>
      <c r="D50" s="275"/>
      <c r="E50" s="256"/>
      <c r="F50" s="271"/>
      <c r="G50" s="271"/>
      <c r="H50" s="258"/>
      <c r="I50" s="256"/>
      <c r="J50" s="241"/>
      <c r="K50" s="279" t="s">
        <v>328</v>
      </c>
      <c r="L50" s="280">
        <f>L46/L48*100</f>
        <v>31.75982534</v>
      </c>
      <c r="M50" s="281" t="s">
        <v>329</v>
      </c>
      <c r="S50" s="279" t="s">
        <v>328</v>
      </c>
      <c r="T50" s="280">
        <f>T46/T48*100</f>
        <v>27.61723943</v>
      </c>
      <c r="U50" s="281" t="s">
        <v>329</v>
      </c>
    </row>
    <row r="51" ht="15.75" customHeight="1">
      <c r="A51" s="307"/>
      <c r="B51" s="253"/>
      <c r="C51" s="270"/>
      <c r="D51" s="275"/>
      <c r="E51" s="256"/>
      <c r="F51" s="271"/>
      <c r="G51" s="271"/>
      <c r="H51" s="258"/>
      <c r="I51" s="256"/>
      <c r="J51" s="241"/>
      <c r="K51" s="282" t="s">
        <v>330</v>
      </c>
      <c r="L51" s="283">
        <f>100-L50</f>
        <v>68.24017466</v>
      </c>
      <c r="M51" s="284" t="s">
        <v>329</v>
      </c>
      <c r="S51" s="285" t="s">
        <v>330</v>
      </c>
      <c r="T51" s="286">
        <f>T48-T46</f>
        <v>1.513457721</v>
      </c>
      <c r="U51" s="287" t="s">
        <v>331</v>
      </c>
    </row>
    <row r="52" ht="15.75" customHeight="1">
      <c r="A52" s="307"/>
      <c r="B52" s="240"/>
      <c r="C52" s="241"/>
      <c r="D52" s="242"/>
      <c r="E52" s="243"/>
      <c r="F52" s="244"/>
      <c r="G52" s="244"/>
      <c r="H52" s="241"/>
      <c r="I52" s="241"/>
      <c r="J52" s="241"/>
      <c r="K52" s="241"/>
      <c r="L52" s="241"/>
      <c r="S52" s="289" t="s">
        <v>332</v>
      </c>
      <c r="T52" s="290">
        <f>T48-T46-(T47*0.2)</f>
        <v>1.053457721</v>
      </c>
      <c r="U52" s="291" t="s">
        <v>331</v>
      </c>
    </row>
    <row r="53" ht="15.75" customHeight="1">
      <c r="A53" s="307"/>
      <c r="B53" s="307"/>
      <c r="S53" s="289" t="s">
        <v>332</v>
      </c>
      <c r="T53" s="292">
        <f>T52/T48</f>
        <v>0.5038276057</v>
      </c>
      <c r="U53" s="291" t="s">
        <v>329</v>
      </c>
    </row>
    <row r="54" ht="15.75" customHeight="1">
      <c r="A54" s="307"/>
      <c r="B54" s="307"/>
    </row>
    <row r="55" ht="15.75" customHeight="1">
      <c r="B55" s="246" t="s">
        <v>0</v>
      </c>
      <c r="C55" s="479" t="s">
        <v>777</v>
      </c>
      <c r="D55" s="246" t="s">
        <v>316</v>
      </c>
      <c r="E55" s="247" t="s">
        <v>317</v>
      </c>
      <c r="F55" s="248" t="s">
        <v>318</v>
      </c>
      <c r="G55" s="248" t="s">
        <v>319</v>
      </c>
      <c r="H55" s="246" t="s">
        <v>320</v>
      </c>
      <c r="I55" s="246" t="s">
        <v>321</v>
      </c>
      <c r="J55" s="249"/>
      <c r="K55" s="250" t="s">
        <v>322</v>
      </c>
      <c r="L55" s="251"/>
      <c r="M55" s="251"/>
      <c r="O55" s="250" t="s">
        <v>322</v>
      </c>
      <c r="P55" s="480" t="s">
        <v>775</v>
      </c>
      <c r="Q55" s="251"/>
      <c r="S55" s="250" t="s">
        <v>323</v>
      </c>
      <c r="T55" s="251"/>
      <c r="U55" s="251"/>
    </row>
    <row r="56" ht="15.75" customHeight="1">
      <c r="B56" s="253" t="str">
        <f t="array" ref="B56">+XLOOKUP(C56,'Base de datos'!C:C,'Base de datos'!A:A,"",FALSE)</f>
        <v/>
      </c>
      <c r="C56" s="254"/>
      <c r="D56" s="255" t="s">
        <v>14</v>
      </c>
      <c r="E56" s="256">
        <f t="array" ref="E56">+XLOOKUP(B56,'Base de datos'!A:A,'Base de datos'!H:H,0)</f>
        <v>0</v>
      </c>
      <c r="F56" s="257"/>
      <c r="G56" s="257"/>
      <c r="H56" s="258" t="str">
        <f>IFERROR(1-G56/F56,"")</f>
        <v/>
      </c>
      <c r="I56" s="256">
        <f>IFERROR(E56*F56,"")</f>
        <v>0</v>
      </c>
      <c r="J56" s="241"/>
      <c r="K56" s="259" t="s">
        <v>324</v>
      </c>
      <c r="L56" s="260">
        <f>SUM(I56:I61)</f>
        <v>0.1849337838</v>
      </c>
      <c r="M56" s="261"/>
      <c r="O56" s="259" t="s">
        <v>324</v>
      </c>
      <c r="P56" s="260">
        <f>SUM(I56:I61)</f>
        <v>0.1849337838</v>
      </c>
      <c r="Q56" s="261"/>
      <c r="S56" s="259" t="s">
        <v>324</v>
      </c>
      <c r="T56" s="260">
        <f>L56</f>
        <v>0.1849337838</v>
      </c>
      <c r="U56" s="261"/>
    </row>
    <row r="57" ht="15.75" customHeight="1">
      <c r="B57" s="262"/>
      <c r="C57" s="262"/>
      <c r="D57" s="263"/>
      <c r="E57" s="264"/>
      <c r="F57" s="359"/>
      <c r="G57" s="265"/>
      <c r="H57" s="266"/>
      <c r="I57" s="264"/>
      <c r="J57" s="241"/>
      <c r="K57" s="267" t="s">
        <v>325</v>
      </c>
      <c r="L57" s="268">
        <v>0.5</v>
      </c>
      <c r="M57" s="261"/>
      <c r="O57" s="267" t="s">
        <v>325</v>
      </c>
      <c r="P57" s="268">
        <v>0.75</v>
      </c>
      <c r="Q57" s="261"/>
      <c r="S57" s="267" t="s">
        <v>325</v>
      </c>
      <c r="T57" s="268">
        <v>1.2</v>
      </c>
      <c r="U57" s="261"/>
    </row>
    <row r="58" ht="15.75" customHeight="1">
      <c r="B58" s="366">
        <f t="array" ref="B58">+XLOOKUP(C58,'Base de datos'!C:C,'Base de datos'!A:A,"",FALSE)</f>
        <v>146</v>
      </c>
      <c r="C58" s="270" t="s">
        <v>175</v>
      </c>
      <c r="D58" s="255" t="s">
        <v>14</v>
      </c>
      <c r="E58" s="256">
        <f t="array" ref="E58">+XLOOKUP(B58,'Base de datos'!A:A,'Base de datos'!H:H,0)</f>
        <v>0.04115</v>
      </c>
      <c r="F58" s="271">
        <v>1.0</v>
      </c>
      <c r="G58" s="257"/>
      <c r="H58" s="258"/>
      <c r="I58" s="256">
        <f t="shared" ref="I58:I59" si="6">IFERROR(E58*F58,"")</f>
        <v>0.04115</v>
      </c>
      <c r="J58" s="241"/>
      <c r="K58" s="272" t="s">
        <v>326</v>
      </c>
      <c r="L58" s="273">
        <f>L57/1.1</f>
        <v>0.4545454545</v>
      </c>
      <c r="M58" s="274"/>
      <c r="O58" s="272" t="s">
        <v>326</v>
      </c>
      <c r="P58" s="273">
        <f>P57/1.1</f>
        <v>0.6818181818</v>
      </c>
      <c r="Q58" s="274"/>
      <c r="S58" s="272" t="s">
        <v>326</v>
      </c>
      <c r="T58" s="273">
        <f>T57/1.1</f>
        <v>1.090909091</v>
      </c>
      <c r="U58" s="274"/>
    </row>
    <row r="59" ht="15.75" customHeight="1">
      <c r="B59" s="366">
        <f t="array" ref="B59">+XLOOKUP(C59,'Base de datos'!C:C,'Base de datos'!A:A,"",FALSE)</f>
        <v>142</v>
      </c>
      <c r="C59" s="270" t="s">
        <v>170</v>
      </c>
      <c r="D59" s="255" t="s">
        <v>14</v>
      </c>
      <c r="E59" s="256">
        <f t="array" ref="E59">+XLOOKUP(B59,'Base de datos'!A:A,'Base de datos'!H:H,0)</f>
        <v>2.875675676</v>
      </c>
      <c r="F59" s="271">
        <v>0.05</v>
      </c>
      <c r="G59" s="257"/>
      <c r="H59" s="258"/>
      <c r="I59" s="256">
        <f t="shared" si="6"/>
        <v>0.1437837838</v>
      </c>
      <c r="J59" s="241"/>
      <c r="K59" s="276" t="s">
        <v>327</v>
      </c>
      <c r="L59" s="277">
        <v>0.1</v>
      </c>
      <c r="M59" s="278"/>
      <c r="O59" s="276" t="s">
        <v>327</v>
      </c>
      <c r="P59" s="277">
        <v>0.1</v>
      </c>
      <c r="Q59" s="278"/>
      <c r="S59" s="276" t="s">
        <v>327</v>
      </c>
      <c r="T59" s="277">
        <v>0.1</v>
      </c>
      <c r="U59" s="278"/>
    </row>
    <row r="60" ht="15.75" customHeight="1">
      <c r="B60" s="253"/>
      <c r="C60" s="270"/>
      <c r="D60" s="275"/>
      <c r="E60" s="256"/>
      <c r="F60" s="271"/>
      <c r="G60" s="271"/>
      <c r="H60" s="258"/>
      <c r="I60" s="256"/>
      <c r="J60" s="241"/>
      <c r="K60" s="279" t="s">
        <v>328</v>
      </c>
      <c r="L60" s="280">
        <f>L56/L58*100</f>
        <v>40.68543243</v>
      </c>
      <c r="M60" s="281" t="s">
        <v>329</v>
      </c>
      <c r="O60" s="279" t="s">
        <v>328</v>
      </c>
      <c r="P60" s="280">
        <f>P56/P58*100</f>
        <v>27.12362162</v>
      </c>
      <c r="Q60" s="281" t="s">
        <v>329</v>
      </c>
      <c r="S60" s="279" t="s">
        <v>328</v>
      </c>
      <c r="T60" s="280">
        <f>T56/T58*100</f>
        <v>16.95226351</v>
      </c>
      <c r="U60" s="281" t="s">
        <v>329</v>
      </c>
    </row>
    <row r="61" ht="15.75" customHeight="1">
      <c r="B61" s="253"/>
      <c r="C61" s="270"/>
      <c r="D61" s="275"/>
      <c r="E61" s="256"/>
      <c r="F61" s="271"/>
      <c r="G61" s="271"/>
      <c r="H61" s="258"/>
      <c r="I61" s="256"/>
      <c r="J61" s="241"/>
      <c r="K61" s="282" t="s">
        <v>330</v>
      </c>
      <c r="L61" s="283">
        <f>100-L60</f>
        <v>59.31456757</v>
      </c>
      <c r="M61" s="284" t="s">
        <v>329</v>
      </c>
      <c r="O61" s="282" t="s">
        <v>330</v>
      </c>
      <c r="P61" s="283">
        <f>100-P60</f>
        <v>72.87637838</v>
      </c>
      <c r="Q61" s="284" t="s">
        <v>329</v>
      </c>
      <c r="S61" s="285" t="s">
        <v>330</v>
      </c>
      <c r="T61" s="286">
        <f>T58-T56</f>
        <v>0.9059753071</v>
      </c>
      <c r="U61" s="287" t="s">
        <v>331</v>
      </c>
    </row>
    <row r="62" ht="15.75" customHeight="1">
      <c r="B62" s="240"/>
      <c r="C62" s="241"/>
      <c r="D62" s="242"/>
      <c r="E62" s="243"/>
      <c r="F62" s="244"/>
      <c r="G62" s="244"/>
      <c r="H62" s="241"/>
      <c r="I62" s="241"/>
      <c r="J62" s="241"/>
      <c r="K62" s="241"/>
      <c r="L62" s="241"/>
      <c r="S62" s="289" t="s">
        <v>332</v>
      </c>
      <c r="T62" s="290">
        <f>T58-T56-(T57*0.2)</f>
        <v>0.6659753071</v>
      </c>
      <c r="U62" s="291" t="s">
        <v>331</v>
      </c>
    </row>
    <row r="63" ht="15.75" customHeight="1">
      <c r="S63" s="289" t="s">
        <v>332</v>
      </c>
      <c r="T63" s="292">
        <f>T62/T58</f>
        <v>0.6104773649</v>
      </c>
      <c r="U63" s="291" t="s">
        <v>329</v>
      </c>
    </row>
    <row r="64" ht="15.75" customHeight="1"/>
    <row r="65" ht="15.75" customHeight="1">
      <c r="B65" s="246" t="s">
        <v>0</v>
      </c>
      <c r="C65" s="479" t="s">
        <v>778</v>
      </c>
      <c r="D65" s="246" t="s">
        <v>316</v>
      </c>
      <c r="E65" s="247" t="s">
        <v>317</v>
      </c>
      <c r="F65" s="248" t="s">
        <v>318</v>
      </c>
      <c r="G65" s="248" t="s">
        <v>319</v>
      </c>
      <c r="H65" s="246" t="s">
        <v>320</v>
      </c>
      <c r="I65" s="246" t="s">
        <v>321</v>
      </c>
      <c r="J65" s="249"/>
      <c r="K65" s="250" t="s">
        <v>322</v>
      </c>
      <c r="L65" s="251"/>
      <c r="M65" s="251"/>
      <c r="S65" s="250" t="s">
        <v>323</v>
      </c>
      <c r="T65" s="251"/>
      <c r="U65" s="251"/>
    </row>
    <row r="66" ht="15.75" customHeight="1">
      <c r="B66" s="253" t="str">
        <f t="array" ref="B66">+XLOOKUP(C66,'Base de datos'!C:C,'Base de datos'!A:A,"",FALSE)</f>
        <v/>
      </c>
      <c r="C66" s="254"/>
      <c r="D66" s="255" t="s">
        <v>14</v>
      </c>
      <c r="E66" s="256">
        <f t="array" ref="E66">+XLOOKUP(B66,'Base de datos'!A:A,'Base de datos'!H:H,0)</f>
        <v>0</v>
      </c>
      <c r="F66" s="257"/>
      <c r="G66" s="257"/>
      <c r="H66" s="258" t="str">
        <f>IFERROR(1-G66/F66,"")</f>
        <v/>
      </c>
      <c r="I66" s="256">
        <f>IFERROR(E66*F66,"")</f>
        <v>0</v>
      </c>
      <c r="J66" s="241"/>
      <c r="K66" s="259" t="s">
        <v>324</v>
      </c>
      <c r="L66" s="260">
        <f>SUM(I66:I71)</f>
        <v>0.251575</v>
      </c>
      <c r="M66" s="261"/>
      <c r="S66" s="259" t="s">
        <v>324</v>
      </c>
      <c r="T66" s="260">
        <f>L66</f>
        <v>0.251575</v>
      </c>
      <c r="U66" s="261"/>
    </row>
    <row r="67" ht="15.75" customHeight="1">
      <c r="B67" s="262"/>
      <c r="C67" s="262"/>
      <c r="D67" s="263"/>
      <c r="E67" s="264"/>
      <c r="F67" s="359"/>
      <c r="G67" s="265"/>
      <c r="H67" s="266"/>
      <c r="I67" s="264"/>
      <c r="J67" s="241"/>
      <c r="K67" s="267" t="s">
        <v>325</v>
      </c>
      <c r="L67" s="268">
        <v>1.0</v>
      </c>
      <c r="M67" s="261"/>
      <c r="S67" s="267" t="s">
        <v>325</v>
      </c>
      <c r="T67" s="268">
        <v>2.0</v>
      </c>
      <c r="U67" s="261"/>
    </row>
    <row r="68" ht="15.75" customHeight="1">
      <c r="B68" s="366">
        <f t="array" ref="B68">+XLOOKUP(C68,'Base de datos'!C:C,'Base de datos'!A:A,"",FALSE)</f>
        <v>146</v>
      </c>
      <c r="C68" s="270" t="s">
        <v>175</v>
      </c>
      <c r="D68" s="255" t="s">
        <v>14</v>
      </c>
      <c r="E68" s="256">
        <f t="array" ref="E68">+XLOOKUP(B68,'Base de datos'!A:A,'Base de datos'!H:H,0)</f>
        <v>0.04115</v>
      </c>
      <c r="F68" s="271">
        <v>1.0</v>
      </c>
      <c r="G68" s="257"/>
      <c r="H68" s="258"/>
      <c r="I68" s="256">
        <f t="shared" ref="I68:I69" si="7">IFERROR(E68*F68,"")</f>
        <v>0.04115</v>
      </c>
      <c r="J68" s="241"/>
      <c r="K68" s="272" t="s">
        <v>326</v>
      </c>
      <c r="L68" s="273">
        <f>L67/1.1</f>
        <v>0.9090909091</v>
      </c>
      <c r="M68" s="274"/>
      <c r="S68" s="272" t="s">
        <v>326</v>
      </c>
      <c r="T68" s="273">
        <f>T67/1.1</f>
        <v>1.818181818</v>
      </c>
      <c r="U68" s="274"/>
    </row>
    <row r="69" ht="15.75" customHeight="1">
      <c r="B69" s="366">
        <f t="array" ref="B69">+XLOOKUP(C69,'Base de datos'!C:C,'Base de datos'!A:A,"",FALSE)</f>
        <v>147</v>
      </c>
      <c r="C69" s="270" t="s">
        <v>176</v>
      </c>
      <c r="D69" s="255" t="s">
        <v>14</v>
      </c>
      <c r="E69" s="256">
        <f t="array" ref="E69">+XLOOKUP(B69,'Base de datos'!A:A,'Base de datos'!H:H,0)</f>
        <v>4.2085</v>
      </c>
      <c r="F69" s="271">
        <v>0.05</v>
      </c>
      <c r="G69" s="257"/>
      <c r="H69" s="258"/>
      <c r="I69" s="256">
        <f t="shared" si="7"/>
        <v>0.210425</v>
      </c>
      <c r="J69" s="241"/>
      <c r="K69" s="276" t="s">
        <v>327</v>
      </c>
      <c r="L69" s="277">
        <v>0.1</v>
      </c>
      <c r="M69" s="278"/>
      <c r="S69" s="276" t="s">
        <v>327</v>
      </c>
      <c r="T69" s="277">
        <v>0.1</v>
      </c>
      <c r="U69" s="278"/>
    </row>
    <row r="70" ht="15.75" customHeight="1">
      <c r="B70" s="253"/>
      <c r="C70" s="270"/>
      <c r="D70" s="275"/>
      <c r="E70" s="256"/>
      <c r="F70" s="271"/>
      <c r="G70" s="271"/>
      <c r="H70" s="258"/>
      <c r="I70" s="256"/>
      <c r="J70" s="241"/>
      <c r="K70" s="279" t="s">
        <v>328</v>
      </c>
      <c r="L70" s="280">
        <f>L66/L68*100</f>
        <v>27.67325</v>
      </c>
      <c r="M70" s="281" t="s">
        <v>329</v>
      </c>
      <c r="S70" s="279" t="s">
        <v>328</v>
      </c>
      <c r="T70" s="280">
        <f>T66/T68*100</f>
        <v>13.836625</v>
      </c>
      <c r="U70" s="281" t="s">
        <v>329</v>
      </c>
    </row>
    <row r="71" ht="15.75" customHeight="1">
      <c r="B71" s="253"/>
      <c r="C71" s="270"/>
      <c r="D71" s="275"/>
      <c r="E71" s="256"/>
      <c r="F71" s="271"/>
      <c r="G71" s="271"/>
      <c r="H71" s="258"/>
      <c r="I71" s="256"/>
      <c r="J71" s="241"/>
      <c r="K71" s="282" t="s">
        <v>330</v>
      </c>
      <c r="L71" s="283">
        <f>100-L70</f>
        <v>72.32675</v>
      </c>
      <c r="M71" s="284" t="s">
        <v>329</v>
      </c>
      <c r="S71" s="285" t="s">
        <v>330</v>
      </c>
      <c r="T71" s="286">
        <f>T68-T66</f>
        <v>1.566606818</v>
      </c>
      <c r="U71" s="287" t="s">
        <v>331</v>
      </c>
    </row>
    <row r="72" ht="15.75" customHeight="1">
      <c r="B72" s="240"/>
      <c r="C72" s="241"/>
      <c r="D72" s="242"/>
      <c r="E72" s="243"/>
      <c r="F72" s="244"/>
      <c r="G72" s="244"/>
      <c r="H72" s="241"/>
      <c r="I72" s="241"/>
      <c r="J72" s="241"/>
      <c r="K72" s="241"/>
      <c r="L72" s="241"/>
      <c r="S72" s="289" t="s">
        <v>332</v>
      </c>
      <c r="T72" s="290">
        <f>T68-T66-(T67*0.2)</f>
        <v>1.166606818</v>
      </c>
      <c r="U72" s="291" t="s">
        <v>331</v>
      </c>
    </row>
    <row r="73" ht="15.75" customHeight="1">
      <c r="S73" s="289" t="s">
        <v>332</v>
      </c>
      <c r="T73" s="292">
        <f>T72/T68</f>
        <v>0.64163375</v>
      </c>
      <c r="U73" s="291" t="s">
        <v>329</v>
      </c>
    </row>
    <row r="74" ht="15.75" customHeight="1">
      <c r="B74" s="246" t="s">
        <v>0</v>
      </c>
      <c r="C74" s="479" t="s">
        <v>779</v>
      </c>
      <c r="D74" s="246" t="s">
        <v>316</v>
      </c>
      <c r="E74" s="247" t="s">
        <v>317</v>
      </c>
      <c r="F74" s="248" t="s">
        <v>318</v>
      </c>
      <c r="G74" s="248" t="s">
        <v>319</v>
      </c>
      <c r="H74" s="246" t="s">
        <v>320</v>
      </c>
      <c r="I74" s="246" t="s">
        <v>321</v>
      </c>
      <c r="J74" s="249"/>
      <c r="K74" s="250" t="s">
        <v>322</v>
      </c>
      <c r="L74" s="251"/>
      <c r="M74" s="251"/>
      <c r="S74" s="250" t="s">
        <v>323</v>
      </c>
      <c r="T74" s="251"/>
      <c r="U74" s="251"/>
    </row>
    <row r="75" ht="15.75" customHeight="1">
      <c r="B75" s="253" t="str">
        <f t="array" ref="B75">+XLOOKUP(C75,'Base de datos'!C:C,'Base de datos'!A:A,"",FALSE)</f>
        <v/>
      </c>
      <c r="C75" s="254"/>
      <c r="D75" s="255" t="s">
        <v>14</v>
      </c>
      <c r="E75" s="256">
        <f t="array" ref="E75">+XLOOKUP(B75,'Base de datos'!A:A,'Base de datos'!H:H,0)</f>
        <v>0</v>
      </c>
      <c r="F75" s="257"/>
      <c r="G75" s="257"/>
      <c r="H75" s="258" t="str">
        <f>IFERROR(1-G75/F75,"")</f>
        <v/>
      </c>
      <c r="I75" s="256">
        <f>IFERROR(E75*F75,"")</f>
        <v>0</v>
      </c>
      <c r="J75" s="241"/>
      <c r="K75" s="259" t="s">
        <v>324</v>
      </c>
      <c r="L75" s="260">
        <f>SUM(I75:I80)</f>
        <v>0.126628677</v>
      </c>
      <c r="M75" s="261"/>
      <c r="S75" s="259" t="s">
        <v>324</v>
      </c>
      <c r="T75" s="260">
        <f>L75</f>
        <v>0.126628677</v>
      </c>
      <c r="U75" s="261"/>
    </row>
    <row r="76" ht="15.75" customHeight="1">
      <c r="B76" s="262"/>
      <c r="C76" s="262"/>
      <c r="D76" s="263"/>
      <c r="E76" s="264"/>
      <c r="F76" s="359"/>
      <c r="G76" s="265"/>
      <c r="H76" s="266"/>
      <c r="I76" s="264"/>
      <c r="J76" s="241"/>
      <c r="K76" s="267" t="s">
        <v>325</v>
      </c>
      <c r="L76" s="268">
        <v>1.2</v>
      </c>
      <c r="M76" s="261"/>
      <c r="S76" s="267" t="s">
        <v>325</v>
      </c>
      <c r="T76" s="268">
        <v>1.6</v>
      </c>
      <c r="U76" s="261"/>
    </row>
    <row r="77" ht="15.75" customHeight="1">
      <c r="B77" s="366">
        <f t="array" ref="B77">+XLOOKUP(C77,'Base de datos'!C:C,'Base de datos'!A:A,"",FALSE)</f>
        <v>146</v>
      </c>
      <c r="C77" s="270" t="s">
        <v>175</v>
      </c>
      <c r="D77" s="255" t="s">
        <v>14</v>
      </c>
      <c r="E77" s="256">
        <f t="array" ref="E77">+XLOOKUP(B77,'Base de datos'!A:A,'Base de datos'!H:H,0)</f>
        <v>0.04115</v>
      </c>
      <c r="F77" s="271">
        <v>1.0</v>
      </c>
      <c r="G77" s="257"/>
      <c r="H77" s="258"/>
      <c r="I77" s="256">
        <f t="shared" ref="I77:I78" si="8">IFERROR(E77*F77,"")</f>
        <v>0.04115</v>
      </c>
      <c r="J77" s="241"/>
      <c r="K77" s="272" t="s">
        <v>326</v>
      </c>
      <c r="L77" s="273">
        <f>L76/1.1</f>
        <v>1.090909091</v>
      </c>
      <c r="M77" s="274"/>
      <c r="S77" s="272" t="s">
        <v>326</v>
      </c>
      <c r="T77" s="273">
        <f>T76/1.1</f>
        <v>1.454545455</v>
      </c>
      <c r="U77" s="274"/>
    </row>
    <row r="78" ht="15.75" customHeight="1">
      <c r="B78" s="366">
        <f t="array" ref="B78">+XLOOKUP(C78,'Base de datos'!C:C,'Base de datos'!A:A,"",FALSE)</f>
        <v>135</v>
      </c>
      <c r="C78" s="270" t="s">
        <v>162</v>
      </c>
      <c r="D78" s="255" t="s">
        <v>14</v>
      </c>
      <c r="E78" s="256">
        <f t="array" ref="E78">+XLOOKUP(B78,'Base de datos'!A:A,'Base de datos'!H:H,0)</f>
        <v>1.709573541</v>
      </c>
      <c r="F78" s="271">
        <v>0.05</v>
      </c>
      <c r="G78" s="257"/>
      <c r="H78" s="258"/>
      <c r="I78" s="256">
        <f t="shared" si="8"/>
        <v>0.08547867704</v>
      </c>
      <c r="J78" s="241"/>
      <c r="K78" s="276" t="s">
        <v>327</v>
      </c>
      <c r="L78" s="277">
        <v>0.1</v>
      </c>
      <c r="M78" s="278"/>
      <c r="S78" s="276" t="s">
        <v>327</v>
      </c>
      <c r="T78" s="277">
        <v>0.1</v>
      </c>
      <c r="U78" s="278"/>
    </row>
    <row r="79" ht="15.75" customHeight="1">
      <c r="B79" s="253"/>
      <c r="C79" s="270"/>
      <c r="D79" s="275"/>
      <c r="E79" s="256"/>
      <c r="F79" s="271"/>
      <c r="G79" s="271"/>
      <c r="H79" s="258"/>
      <c r="I79" s="256"/>
      <c r="J79" s="241"/>
      <c r="K79" s="279" t="s">
        <v>328</v>
      </c>
      <c r="L79" s="280">
        <f>L75/L77*100</f>
        <v>11.60762873</v>
      </c>
      <c r="M79" s="281" t="s">
        <v>329</v>
      </c>
      <c r="S79" s="279" t="s">
        <v>328</v>
      </c>
      <c r="T79" s="280">
        <f>T75/T77*100</f>
        <v>8.705721547</v>
      </c>
      <c r="U79" s="281" t="s">
        <v>329</v>
      </c>
    </row>
    <row r="80" ht="15.75" customHeight="1">
      <c r="B80" s="253"/>
      <c r="C80" s="270"/>
      <c r="D80" s="275"/>
      <c r="E80" s="256"/>
      <c r="F80" s="271"/>
      <c r="G80" s="271"/>
      <c r="H80" s="258"/>
      <c r="I80" s="256"/>
      <c r="J80" s="241"/>
      <c r="K80" s="282" t="s">
        <v>330</v>
      </c>
      <c r="L80" s="283">
        <f>100-L79</f>
        <v>88.39237127</v>
      </c>
      <c r="M80" s="284" t="s">
        <v>329</v>
      </c>
      <c r="S80" s="285" t="s">
        <v>330</v>
      </c>
      <c r="T80" s="286">
        <f>T77-T75</f>
        <v>1.327916778</v>
      </c>
      <c r="U80" s="287" t="s">
        <v>331</v>
      </c>
    </row>
    <row r="81" ht="15.75" customHeight="1">
      <c r="S81" s="289" t="s">
        <v>332</v>
      </c>
      <c r="T81" s="290">
        <f>T77-T75-(T76*0.2)</f>
        <v>1.007916778</v>
      </c>
      <c r="U81" s="291" t="s">
        <v>331</v>
      </c>
    </row>
    <row r="82" ht="15.75" customHeight="1">
      <c r="S82" s="289" t="s">
        <v>332</v>
      </c>
      <c r="T82" s="292">
        <f>T81/T77</f>
        <v>0.6929427845</v>
      </c>
      <c r="U82" s="291" t="s">
        <v>329</v>
      </c>
    </row>
    <row r="83" ht="15.75" customHeight="1">
      <c r="B83" s="481"/>
      <c r="C83" s="482"/>
      <c r="D83" s="481"/>
      <c r="E83" s="483"/>
      <c r="F83" s="484"/>
      <c r="G83" s="484"/>
      <c r="H83" s="481"/>
      <c r="I83" s="481"/>
      <c r="J83" s="249"/>
      <c r="K83" s="188"/>
      <c r="L83" s="251"/>
      <c r="M83" s="251"/>
    </row>
    <row r="84" ht="15.75" customHeight="1">
      <c r="B84" s="246" t="s">
        <v>0</v>
      </c>
      <c r="C84" s="479" t="s">
        <v>722</v>
      </c>
      <c r="D84" s="246" t="s">
        <v>316</v>
      </c>
      <c r="E84" s="247" t="s">
        <v>317</v>
      </c>
      <c r="F84" s="248" t="s">
        <v>318</v>
      </c>
      <c r="G84" s="248" t="s">
        <v>319</v>
      </c>
      <c r="H84" s="246" t="s">
        <v>320</v>
      </c>
      <c r="I84" s="246" t="s">
        <v>321</v>
      </c>
      <c r="J84" s="249"/>
      <c r="K84" s="250" t="s">
        <v>322</v>
      </c>
      <c r="L84" s="251"/>
      <c r="M84" s="251"/>
      <c r="S84" s="250" t="s">
        <v>323</v>
      </c>
      <c r="T84" s="251"/>
      <c r="U84" s="251"/>
    </row>
    <row r="85" ht="15.75" customHeight="1">
      <c r="B85" s="253" t="str">
        <f t="array" ref="B85">+XLOOKUP(C85,'Base de datos'!C:C,'Base de datos'!A:A,"",FALSE)</f>
        <v/>
      </c>
      <c r="C85" s="254"/>
      <c r="D85" s="255" t="s">
        <v>14</v>
      </c>
      <c r="E85" s="256">
        <f t="array" ref="E85">+XLOOKUP(B85,'Base de datos'!A:A,'Base de datos'!H:H,0)</f>
        <v>0</v>
      </c>
      <c r="F85" s="257"/>
      <c r="G85" s="257"/>
      <c r="H85" s="258" t="str">
        <f>IFERROR(1-G85/F85,"")</f>
        <v/>
      </c>
      <c r="I85" s="256">
        <f>IFERROR(E85*F85,"")</f>
        <v>0</v>
      </c>
      <c r="J85" s="241"/>
      <c r="K85" s="259" t="s">
        <v>324</v>
      </c>
      <c r="L85" s="260">
        <f>SUM(I85:I90)</f>
        <v>0.1611167511</v>
      </c>
      <c r="M85" s="261"/>
      <c r="S85" s="259" t="s">
        <v>324</v>
      </c>
      <c r="T85" s="260">
        <f>L85</f>
        <v>0.1611167511</v>
      </c>
      <c r="U85" s="261"/>
    </row>
    <row r="86" ht="15.75" customHeight="1">
      <c r="B86" s="262"/>
      <c r="C86" s="262"/>
      <c r="D86" s="263"/>
      <c r="E86" s="264"/>
      <c r="F86" s="359"/>
      <c r="G86" s="265"/>
      <c r="H86" s="266"/>
      <c r="I86" s="264"/>
      <c r="J86" s="241"/>
      <c r="K86" s="267" t="s">
        <v>325</v>
      </c>
      <c r="L86" s="268">
        <v>1.2</v>
      </c>
      <c r="M86" s="261"/>
      <c r="S86" s="267" t="s">
        <v>325</v>
      </c>
      <c r="T86" s="268">
        <v>1.8</v>
      </c>
      <c r="U86" s="261"/>
    </row>
    <row r="87" ht="15.75" customHeight="1">
      <c r="B87" s="366">
        <f t="array" ref="B87">+XLOOKUP(C87,'Base de datos'!C:C,'Base de datos'!A:A,"",FALSE)</f>
        <v>146</v>
      </c>
      <c r="C87" s="270" t="s">
        <v>175</v>
      </c>
      <c r="D87" s="255" t="s">
        <v>14</v>
      </c>
      <c r="E87" s="256">
        <f t="array" ref="E87">+XLOOKUP(B87,'Base de datos'!A:A,'Base de datos'!H:H,0)</f>
        <v>0.04115</v>
      </c>
      <c r="F87" s="271">
        <v>1.0</v>
      </c>
      <c r="G87" s="257"/>
      <c r="H87" s="258"/>
      <c r="I87" s="256">
        <f t="shared" ref="I87:I88" si="9">IFERROR(E87*F87,"")</f>
        <v>0.04115</v>
      </c>
      <c r="J87" s="241"/>
      <c r="K87" s="272" t="s">
        <v>326</v>
      </c>
      <c r="L87" s="273">
        <f>L86/1.1</f>
        <v>1.090909091</v>
      </c>
      <c r="M87" s="274"/>
      <c r="S87" s="272" t="s">
        <v>326</v>
      </c>
      <c r="T87" s="273">
        <f>T86/1.1</f>
        <v>1.636363636</v>
      </c>
      <c r="U87" s="274"/>
    </row>
    <row r="88" ht="15.75" customHeight="1">
      <c r="B88" s="366">
        <f t="array" ref="B88">+XLOOKUP(C88,'Base de datos'!C:C,'Base de datos'!A:A,"",FALSE)</f>
        <v>139</v>
      </c>
      <c r="C88" s="270" t="s">
        <v>166</v>
      </c>
      <c r="D88" s="255" t="s">
        <v>14</v>
      </c>
      <c r="E88" s="256">
        <f t="array" ref="E88">+XLOOKUP(B88,'Base de datos'!A:A,'Base de datos'!H:H,0)</f>
        <v>2.399335022</v>
      </c>
      <c r="F88" s="271">
        <v>0.05</v>
      </c>
      <c r="G88" s="257"/>
      <c r="H88" s="258"/>
      <c r="I88" s="256">
        <f t="shared" si="9"/>
        <v>0.1199667511</v>
      </c>
      <c r="J88" s="241"/>
      <c r="K88" s="276" t="s">
        <v>327</v>
      </c>
      <c r="L88" s="277">
        <v>0.1</v>
      </c>
      <c r="M88" s="278"/>
      <c r="S88" s="276" t="s">
        <v>327</v>
      </c>
      <c r="T88" s="277">
        <v>0.1</v>
      </c>
      <c r="U88" s="278"/>
    </row>
    <row r="89" ht="15.75" customHeight="1">
      <c r="B89" s="253"/>
      <c r="C89" s="270"/>
      <c r="D89" s="275"/>
      <c r="E89" s="256"/>
      <c r="F89" s="271"/>
      <c r="G89" s="271"/>
      <c r="H89" s="258"/>
      <c r="I89" s="256"/>
      <c r="J89" s="241"/>
      <c r="K89" s="279" t="s">
        <v>328</v>
      </c>
      <c r="L89" s="280">
        <f>L85/L87*100</f>
        <v>14.76903552</v>
      </c>
      <c r="M89" s="281" t="s">
        <v>329</v>
      </c>
      <c r="S89" s="279" t="s">
        <v>328</v>
      </c>
      <c r="T89" s="280">
        <f>T85/T87*100</f>
        <v>9.846023677</v>
      </c>
      <c r="U89" s="281" t="s">
        <v>329</v>
      </c>
    </row>
    <row r="90" ht="15.75" customHeight="1">
      <c r="B90" s="253"/>
      <c r="C90" s="270"/>
      <c r="D90" s="275"/>
      <c r="E90" s="256"/>
      <c r="F90" s="271"/>
      <c r="G90" s="271"/>
      <c r="H90" s="258"/>
      <c r="I90" s="256"/>
      <c r="J90" s="241"/>
      <c r="K90" s="282" t="s">
        <v>330</v>
      </c>
      <c r="L90" s="283">
        <f>100-L89</f>
        <v>85.23096448</v>
      </c>
      <c r="M90" s="284" t="s">
        <v>329</v>
      </c>
      <c r="S90" s="285" t="s">
        <v>330</v>
      </c>
      <c r="T90" s="286">
        <f>T87-T85</f>
        <v>1.475246885</v>
      </c>
      <c r="U90" s="287" t="s">
        <v>331</v>
      </c>
    </row>
    <row r="91" ht="15.75" customHeight="1">
      <c r="S91" s="289" t="s">
        <v>332</v>
      </c>
      <c r="T91" s="290">
        <f>T87-T85-(T86*0.2)</f>
        <v>1.115246885</v>
      </c>
      <c r="U91" s="291" t="s">
        <v>331</v>
      </c>
    </row>
    <row r="92" ht="15.75" customHeight="1">
      <c r="S92" s="289" t="s">
        <v>332</v>
      </c>
      <c r="T92" s="292">
        <f>T91/T87</f>
        <v>0.6815397632</v>
      </c>
      <c r="U92" s="291" t="s">
        <v>329</v>
      </c>
    </row>
    <row r="93" ht="15.75" customHeight="1"/>
    <row r="94" ht="15.75" customHeight="1">
      <c r="B94" s="246" t="s">
        <v>0</v>
      </c>
      <c r="C94" s="479" t="s">
        <v>210</v>
      </c>
      <c r="D94" s="246" t="s">
        <v>316</v>
      </c>
      <c r="E94" s="247" t="s">
        <v>317</v>
      </c>
      <c r="F94" s="248" t="s">
        <v>318</v>
      </c>
      <c r="G94" s="248" t="s">
        <v>319</v>
      </c>
      <c r="H94" s="246" t="s">
        <v>320</v>
      </c>
      <c r="I94" s="246" t="s">
        <v>321</v>
      </c>
      <c r="J94" s="249"/>
      <c r="K94" s="250" t="s">
        <v>322</v>
      </c>
      <c r="L94" s="251"/>
      <c r="M94" s="251"/>
      <c r="O94" s="250" t="s">
        <v>322</v>
      </c>
      <c r="P94" s="480" t="s">
        <v>775</v>
      </c>
      <c r="Q94" s="251"/>
      <c r="S94" s="250" t="s">
        <v>323</v>
      </c>
      <c r="T94" s="251"/>
      <c r="U94" s="251"/>
    </row>
    <row r="95" ht="15.75" customHeight="1">
      <c r="B95" s="253" t="str">
        <f t="array" ref="B95">+XLOOKUP(C95,'Base de datos'!C:C,'Base de datos'!A:A,"",FALSE)</f>
        <v/>
      </c>
      <c r="C95" s="254"/>
      <c r="D95" s="255" t="s">
        <v>14</v>
      </c>
      <c r="E95" s="256">
        <f t="array" ref="E95">+XLOOKUP(B95,'Base de datos'!A:A,'Base de datos'!H:H,0)</f>
        <v>0</v>
      </c>
      <c r="F95" s="257"/>
      <c r="G95" s="257"/>
      <c r="H95" s="258" t="str">
        <f>IFERROR(1-G95/F95,"")</f>
        <v/>
      </c>
      <c r="I95" s="256">
        <f>IFERROR(E95*F95,"")</f>
        <v>0</v>
      </c>
      <c r="J95" s="241"/>
      <c r="K95" s="259" t="s">
        <v>324</v>
      </c>
      <c r="L95" s="260">
        <f>SUM(I95:I100)</f>
        <v>0.1500689189</v>
      </c>
      <c r="M95" s="261"/>
      <c r="O95" s="259" t="s">
        <v>324</v>
      </c>
      <c r="P95" s="260">
        <f>SUM(I95:I100)</f>
        <v>0.1500689189</v>
      </c>
      <c r="Q95" s="261"/>
      <c r="S95" s="259" t="s">
        <v>324</v>
      </c>
      <c r="T95" s="260">
        <f>L95</f>
        <v>0.1500689189</v>
      </c>
      <c r="U95" s="261"/>
    </row>
    <row r="96" ht="15.75" customHeight="1">
      <c r="B96" s="262"/>
      <c r="C96" s="262"/>
      <c r="D96" s="263"/>
      <c r="E96" s="264"/>
      <c r="F96" s="359"/>
      <c r="G96" s="265"/>
      <c r="H96" s="266"/>
      <c r="I96" s="264"/>
      <c r="J96" s="241"/>
      <c r="K96" s="267" t="s">
        <v>325</v>
      </c>
      <c r="L96" s="268">
        <v>0.5</v>
      </c>
      <c r="M96" s="261"/>
      <c r="O96" s="267" t="s">
        <v>325</v>
      </c>
      <c r="P96" s="268">
        <v>0.75</v>
      </c>
      <c r="Q96" s="261"/>
      <c r="S96" s="267" t="s">
        <v>325</v>
      </c>
      <c r="T96" s="268">
        <v>1.2</v>
      </c>
      <c r="U96" s="261"/>
    </row>
    <row r="97" ht="15.75" customHeight="1">
      <c r="B97" s="366">
        <f t="array" ref="B97">+XLOOKUP(C97,'Base de datos'!C:C,'Base de datos'!A:A,"",FALSE)</f>
        <v>146</v>
      </c>
      <c r="C97" s="270" t="s">
        <v>175</v>
      </c>
      <c r="D97" s="255" t="s">
        <v>14</v>
      </c>
      <c r="E97" s="256">
        <f t="array" ref="E97">+XLOOKUP(B97,'Base de datos'!A:A,'Base de datos'!H:H,0)</f>
        <v>0.04115</v>
      </c>
      <c r="F97" s="271">
        <v>1.0</v>
      </c>
      <c r="G97" s="257"/>
      <c r="H97" s="258"/>
      <c r="I97" s="256">
        <f t="shared" ref="I97:I98" si="10">IFERROR(E97*F97,"")</f>
        <v>0.04115</v>
      </c>
      <c r="J97" s="241"/>
      <c r="K97" s="272" t="s">
        <v>326</v>
      </c>
      <c r="L97" s="273">
        <f>L96/1.1</f>
        <v>0.4545454545</v>
      </c>
      <c r="M97" s="274"/>
      <c r="O97" s="272" t="s">
        <v>326</v>
      </c>
      <c r="P97" s="273">
        <f>P96/1.1</f>
        <v>0.6818181818</v>
      </c>
      <c r="Q97" s="274"/>
      <c r="S97" s="272" t="s">
        <v>326</v>
      </c>
      <c r="T97" s="273">
        <f>T96/1.1</f>
        <v>1.090909091</v>
      </c>
      <c r="U97" s="274"/>
    </row>
    <row r="98" ht="15.75" customHeight="1">
      <c r="B98" s="366">
        <f t="array" ref="B98">+XLOOKUP(C98,'Base de datos'!C:C,'Base de datos'!A:A,"",FALSE)</f>
        <v>148</v>
      </c>
      <c r="C98" s="270" t="s">
        <v>177</v>
      </c>
      <c r="D98" s="255" t="s">
        <v>14</v>
      </c>
      <c r="E98" s="256">
        <f t="array" ref="E98">+XLOOKUP(B98,'Base de datos'!A:A,'Base de datos'!H:H,0)</f>
        <v>2.178378378</v>
      </c>
      <c r="F98" s="271">
        <v>0.05</v>
      </c>
      <c r="G98" s="257"/>
      <c r="H98" s="258"/>
      <c r="I98" s="256">
        <f t="shared" si="10"/>
        <v>0.1089189189</v>
      </c>
      <c r="J98" s="241"/>
      <c r="K98" s="276" t="s">
        <v>327</v>
      </c>
      <c r="L98" s="277">
        <v>0.1</v>
      </c>
      <c r="M98" s="278"/>
      <c r="O98" s="276" t="s">
        <v>327</v>
      </c>
      <c r="P98" s="277">
        <v>0.1</v>
      </c>
      <c r="Q98" s="278"/>
      <c r="S98" s="276" t="s">
        <v>327</v>
      </c>
      <c r="T98" s="277">
        <v>0.1</v>
      </c>
      <c r="U98" s="278"/>
    </row>
    <row r="99" ht="15.75" customHeight="1">
      <c r="B99" s="253"/>
      <c r="C99" s="270"/>
      <c r="D99" s="275"/>
      <c r="E99" s="256"/>
      <c r="F99" s="271"/>
      <c r="G99" s="271"/>
      <c r="H99" s="258"/>
      <c r="I99" s="256"/>
      <c r="J99" s="241"/>
      <c r="K99" s="279" t="s">
        <v>328</v>
      </c>
      <c r="L99" s="280">
        <f>L95/L97*100</f>
        <v>33.01516216</v>
      </c>
      <c r="M99" s="281" t="s">
        <v>329</v>
      </c>
      <c r="O99" s="279" t="s">
        <v>328</v>
      </c>
      <c r="P99" s="280">
        <f>P95/P97*100</f>
        <v>22.01010811</v>
      </c>
      <c r="Q99" s="281" t="s">
        <v>329</v>
      </c>
      <c r="S99" s="279" t="s">
        <v>328</v>
      </c>
      <c r="T99" s="280">
        <f>T95/T97*100</f>
        <v>13.75631757</v>
      </c>
      <c r="U99" s="281" t="s">
        <v>329</v>
      </c>
    </row>
    <row r="100" ht="15.75" customHeight="1">
      <c r="B100" s="253"/>
      <c r="C100" s="270"/>
      <c r="D100" s="275"/>
      <c r="E100" s="256"/>
      <c r="F100" s="271"/>
      <c r="G100" s="271"/>
      <c r="H100" s="258"/>
      <c r="I100" s="256"/>
      <c r="J100" s="241"/>
      <c r="K100" s="282" t="s">
        <v>330</v>
      </c>
      <c r="L100" s="283">
        <f>100-L99</f>
        <v>66.98483784</v>
      </c>
      <c r="M100" s="284" t="s">
        <v>329</v>
      </c>
      <c r="O100" s="282" t="s">
        <v>330</v>
      </c>
      <c r="P100" s="283">
        <f>100-P99</f>
        <v>77.98989189</v>
      </c>
      <c r="Q100" s="284" t="s">
        <v>329</v>
      </c>
      <c r="S100" s="285" t="s">
        <v>330</v>
      </c>
      <c r="T100" s="286">
        <f>T97-T95</f>
        <v>0.940840172</v>
      </c>
      <c r="U100" s="287" t="s">
        <v>331</v>
      </c>
    </row>
    <row r="101" ht="15.75" customHeight="1">
      <c r="S101" s="289" t="s">
        <v>332</v>
      </c>
      <c r="T101" s="290">
        <f>T97-T95-(T96*0.2)</f>
        <v>0.700840172</v>
      </c>
      <c r="U101" s="291" t="s">
        <v>331</v>
      </c>
    </row>
    <row r="102" ht="15.75" customHeight="1">
      <c r="S102" s="289" t="s">
        <v>332</v>
      </c>
      <c r="T102" s="292">
        <f>T101/T97</f>
        <v>0.6424368243</v>
      </c>
      <c r="U102" s="291" t="s">
        <v>329</v>
      </c>
    </row>
    <row r="103" ht="15.75" customHeight="1"/>
    <row r="104" ht="15.75" customHeight="1"/>
    <row r="105" ht="15.75" customHeight="1">
      <c r="B105" s="246" t="s">
        <v>0</v>
      </c>
      <c r="C105" s="479" t="s">
        <v>211</v>
      </c>
      <c r="D105" s="246" t="s">
        <v>316</v>
      </c>
      <c r="E105" s="247" t="s">
        <v>317</v>
      </c>
      <c r="F105" s="248" t="s">
        <v>318</v>
      </c>
      <c r="G105" s="248" t="s">
        <v>319</v>
      </c>
      <c r="H105" s="246" t="s">
        <v>320</v>
      </c>
      <c r="I105" s="246" t="s">
        <v>321</v>
      </c>
      <c r="J105" s="249"/>
      <c r="K105" s="250" t="s">
        <v>322</v>
      </c>
      <c r="L105" s="251"/>
      <c r="M105" s="251"/>
      <c r="S105" s="250" t="s">
        <v>323</v>
      </c>
      <c r="T105" s="251"/>
      <c r="U105" s="251"/>
    </row>
    <row r="106" ht="15.75" customHeight="1">
      <c r="B106" s="253" t="str">
        <f t="array" ref="B106">+XLOOKUP(C106,'Base de datos'!C:C,'Base de datos'!A:A,"",FALSE)</f>
        <v/>
      </c>
      <c r="C106" s="254"/>
      <c r="D106" s="255" t="s">
        <v>14</v>
      </c>
      <c r="E106" s="256">
        <f t="array" ref="E106">+XLOOKUP(B106,'Base de datos'!A:A,'Base de datos'!H:H,0)</f>
        <v>0</v>
      </c>
      <c r="F106" s="257"/>
      <c r="G106" s="257"/>
      <c r="H106" s="258" t="str">
        <f>IFERROR(1-G106/F106,"")</f>
        <v/>
      </c>
      <c r="I106" s="256">
        <f>IFERROR(E106*F106,"")</f>
        <v>0</v>
      </c>
      <c r="J106" s="241"/>
      <c r="K106" s="259" t="s">
        <v>324</v>
      </c>
      <c r="L106" s="260">
        <f>SUM(I106:I111)</f>
        <v>0.2782181818</v>
      </c>
      <c r="M106" s="261"/>
      <c r="S106" s="259" t="s">
        <v>324</v>
      </c>
      <c r="T106" s="260">
        <f>L106</f>
        <v>0.2782181818</v>
      </c>
      <c r="U106" s="261"/>
    </row>
    <row r="107" ht="15.75" customHeight="1">
      <c r="B107" s="262"/>
      <c r="C107" s="262"/>
      <c r="D107" s="263"/>
      <c r="E107" s="264"/>
      <c r="F107" s="359"/>
      <c r="G107" s="265"/>
      <c r="H107" s="266"/>
      <c r="I107" s="264"/>
      <c r="J107" s="241"/>
      <c r="K107" s="267" t="s">
        <v>325</v>
      </c>
      <c r="L107" s="268">
        <v>1.2</v>
      </c>
      <c r="M107" s="261"/>
      <c r="S107" s="267" t="s">
        <v>325</v>
      </c>
      <c r="T107" s="268">
        <v>2.0</v>
      </c>
      <c r="U107" s="261"/>
    </row>
    <row r="108" ht="15.75" customHeight="1">
      <c r="B108" s="366">
        <f t="array" ref="B108">+XLOOKUP(C108,'Base de datos'!C:C,'Base de datos'!A:A,"",FALSE)</f>
        <v>146</v>
      </c>
      <c r="C108" s="270" t="s">
        <v>175</v>
      </c>
      <c r="D108" s="255" t="s">
        <v>14</v>
      </c>
      <c r="E108" s="256">
        <f t="array" ref="E108">+XLOOKUP(B108,'Base de datos'!A:A,'Base de datos'!H:H,0)</f>
        <v>0.04115</v>
      </c>
      <c r="F108" s="271">
        <v>1.0</v>
      </c>
      <c r="G108" s="257"/>
      <c r="H108" s="258"/>
      <c r="I108" s="256">
        <f t="shared" ref="I108:I109" si="11">IFERROR(E108*F108,"")</f>
        <v>0.04115</v>
      </c>
      <c r="J108" s="241"/>
      <c r="K108" s="272" t="s">
        <v>326</v>
      </c>
      <c r="L108" s="273">
        <f>L107/1.1</f>
        <v>1.090909091</v>
      </c>
      <c r="M108" s="274"/>
      <c r="S108" s="272" t="s">
        <v>326</v>
      </c>
      <c r="T108" s="273">
        <f>T107/1.1</f>
        <v>1.818181818</v>
      </c>
      <c r="U108" s="274"/>
    </row>
    <row r="109" ht="15.75" customHeight="1">
      <c r="B109" s="366">
        <f t="array" ref="B109">+XLOOKUP(C109,'Base de datos'!C:C,'Base de datos'!A:A,"",FALSE)</f>
        <v>150</v>
      </c>
      <c r="C109" s="270" t="s">
        <v>179</v>
      </c>
      <c r="D109" s="255" t="s">
        <v>14</v>
      </c>
      <c r="E109" s="256">
        <f t="array" ref="E109">+XLOOKUP(B109,'Base de datos'!A:A,'Base de datos'!H:H,0)</f>
        <v>4.741363636</v>
      </c>
      <c r="F109" s="271">
        <v>0.05</v>
      </c>
      <c r="G109" s="257"/>
      <c r="H109" s="258"/>
      <c r="I109" s="256">
        <f t="shared" si="11"/>
        <v>0.2370681818</v>
      </c>
      <c r="J109" s="241"/>
      <c r="K109" s="276" t="s">
        <v>327</v>
      </c>
      <c r="L109" s="277">
        <v>0.1</v>
      </c>
      <c r="M109" s="278"/>
      <c r="S109" s="276" t="s">
        <v>327</v>
      </c>
      <c r="T109" s="277">
        <v>0.1</v>
      </c>
      <c r="U109" s="278"/>
    </row>
    <row r="110" ht="15.75" customHeight="1">
      <c r="B110" s="253"/>
      <c r="C110" s="270"/>
      <c r="D110" s="275"/>
      <c r="E110" s="256"/>
      <c r="F110" s="271"/>
      <c r="G110" s="271"/>
      <c r="H110" s="258"/>
      <c r="I110" s="256"/>
      <c r="J110" s="241"/>
      <c r="K110" s="279" t="s">
        <v>328</v>
      </c>
      <c r="L110" s="280">
        <f>L106/L108*100</f>
        <v>25.50333333</v>
      </c>
      <c r="M110" s="281" t="s">
        <v>329</v>
      </c>
      <c r="S110" s="279" t="s">
        <v>328</v>
      </c>
      <c r="T110" s="280">
        <f>T106/T108*100</f>
        <v>15.302</v>
      </c>
      <c r="U110" s="281" t="s">
        <v>329</v>
      </c>
    </row>
    <row r="111" ht="15.75" customHeight="1">
      <c r="B111" s="253"/>
      <c r="C111" s="270"/>
      <c r="D111" s="275"/>
      <c r="E111" s="256"/>
      <c r="F111" s="271"/>
      <c r="G111" s="271"/>
      <c r="H111" s="258"/>
      <c r="I111" s="256"/>
      <c r="J111" s="241"/>
      <c r="K111" s="282" t="s">
        <v>330</v>
      </c>
      <c r="L111" s="283">
        <f>100-L110</f>
        <v>74.49666667</v>
      </c>
      <c r="M111" s="284" t="s">
        <v>329</v>
      </c>
      <c r="S111" s="285" t="s">
        <v>330</v>
      </c>
      <c r="T111" s="286">
        <f>T108-T106</f>
        <v>1.539963636</v>
      </c>
      <c r="U111" s="287" t="s">
        <v>331</v>
      </c>
    </row>
    <row r="112" ht="15.75" customHeight="1">
      <c r="S112" s="289" t="s">
        <v>332</v>
      </c>
      <c r="T112" s="290">
        <f>T108-T106-(T107*0.2)</f>
        <v>1.139963636</v>
      </c>
      <c r="U112" s="291" t="s">
        <v>331</v>
      </c>
    </row>
    <row r="113" ht="15.75" customHeight="1">
      <c r="S113" s="289" t="s">
        <v>332</v>
      </c>
      <c r="T113" s="292">
        <f>T112/T108</f>
        <v>0.62698</v>
      </c>
      <c r="U113" s="291" t="s">
        <v>329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</sheetData>
  <mergeCells count="113">
    <mergeCell ref="D2:I2"/>
    <mergeCell ref="L6:M6"/>
    <mergeCell ref="P6:Q6"/>
    <mergeCell ref="T6:U6"/>
    <mergeCell ref="L7:M7"/>
    <mergeCell ref="T7:U7"/>
    <mergeCell ref="L8:M8"/>
    <mergeCell ref="T8:U8"/>
    <mergeCell ref="P7:Q7"/>
    <mergeCell ref="P8:Q8"/>
    <mergeCell ref="L9:M9"/>
    <mergeCell ref="P9:Q9"/>
    <mergeCell ref="T9:U9"/>
    <mergeCell ref="P17:Q17"/>
    <mergeCell ref="T17:U17"/>
    <mergeCell ref="L17:M17"/>
    <mergeCell ref="L18:M18"/>
    <mergeCell ref="P18:Q18"/>
    <mergeCell ref="T18:U18"/>
    <mergeCell ref="L19:M19"/>
    <mergeCell ref="T19:U19"/>
    <mergeCell ref="L20:M20"/>
    <mergeCell ref="T20:U20"/>
    <mergeCell ref="P19:Q19"/>
    <mergeCell ref="P20:Q20"/>
    <mergeCell ref="L27:M27"/>
    <mergeCell ref="P27:Q27"/>
    <mergeCell ref="T27:U27"/>
    <mergeCell ref="P28:Q28"/>
    <mergeCell ref="T28:U28"/>
    <mergeCell ref="L28:M28"/>
    <mergeCell ref="L29:M29"/>
    <mergeCell ref="P29:Q29"/>
    <mergeCell ref="T29:U29"/>
    <mergeCell ref="L30:M30"/>
    <mergeCell ref="P30:Q30"/>
    <mergeCell ref="T30:U30"/>
    <mergeCell ref="L37:M37"/>
    <mergeCell ref="P37:Q37"/>
    <mergeCell ref="T37:U37"/>
    <mergeCell ref="L38:M38"/>
    <mergeCell ref="P38:Q38"/>
    <mergeCell ref="L39:M39"/>
    <mergeCell ref="L40:M40"/>
    <mergeCell ref="T40:U40"/>
    <mergeCell ref="T57:U57"/>
    <mergeCell ref="T58:U58"/>
    <mergeCell ref="T59:U59"/>
    <mergeCell ref="T38:U38"/>
    <mergeCell ref="T39:U39"/>
    <mergeCell ref="T46:U46"/>
    <mergeCell ref="T47:U47"/>
    <mergeCell ref="T48:U48"/>
    <mergeCell ref="T49:U49"/>
    <mergeCell ref="T56:U56"/>
    <mergeCell ref="T108:U108"/>
    <mergeCell ref="T109:U109"/>
    <mergeCell ref="T88:U88"/>
    <mergeCell ref="T95:U95"/>
    <mergeCell ref="T96:U96"/>
    <mergeCell ref="T97:U97"/>
    <mergeCell ref="T98:U98"/>
    <mergeCell ref="T106:U106"/>
    <mergeCell ref="T107:U107"/>
    <mergeCell ref="P39:Q39"/>
    <mergeCell ref="P40:Q40"/>
    <mergeCell ref="L46:M46"/>
    <mergeCell ref="L47:M47"/>
    <mergeCell ref="L48:M48"/>
    <mergeCell ref="L49:M49"/>
    <mergeCell ref="P56:Q56"/>
    <mergeCell ref="L56:M56"/>
    <mergeCell ref="L57:M57"/>
    <mergeCell ref="L58:M58"/>
    <mergeCell ref="L59:M59"/>
    <mergeCell ref="L66:M66"/>
    <mergeCell ref="L67:M67"/>
    <mergeCell ref="L68:M68"/>
    <mergeCell ref="P57:Q57"/>
    <mergeCell ref="P58:Q58"/>
    <mergeCell ref="P59:Q59"/>
    <mergeCell ref="T66:U66"/>
    <mergeCell ref="T67:U67"/>
    <mergeCell ref="T68:U68"/>
    <mergeCell ref="T69:U69"/>
    <mergeCell ref="L69:M69"/>
    <mergeCell ref="L75:M75"/>
    <mergeCell ref="L76:M76"/>
    <mergeCell ref="L77:M77"/>
    <mergeCell ref="L78:M78"/>
    <mergeCell ref="L85:M85"/>
    <mergeCell ref="L86:M86"/>
    <mergeCell ref="T75:U75"/>
    <mergeCell ref="T76:U76"/>
    <mergeCell ref="T77:U77"/>
    <mergeCell ref="T78:U78"/>
    <mergeCell ref="T85:U85"/>
    <mergeCell ref="T86:U86"/>
    <mergeCell ref="T87:U87"/>
    <mergeCell ref="L97:M97"/>
    <mergeCell ref="L98:M98"/>
    <mergeCell ref="L106:M106"/>
    <mergeCell ref="L107:M107"/>
    <mergeCell ref="L108:M108"/>
    <mergeCell ref="L109:M109"/>
    <mergeCell ref="L87:M87"/>
    <mergeCell ref="L88:M88"/>
    <mergeCell ref="L95:M95"/>
    <mergeCell ref="P95:Q95"/>
    <mergeCell ref="L96:M96"/>
    <mergeCell ref="P96:Q96"/>
    <mergeCell ref="P97:Q97"/>
    <mergeCell ref="P98:Q98"/>
  </mergeCells>
  <dataValidations>
    <dataValidation type="list" allowBlank="1" showErrorMessage="1" sqref="D6:D11 D17:D22 D27:D32 D37:D42 D46:D51 D56:D61 D66:D71 D75:D80 D85:D90 D95:D100 D106:D111">
      <formula1>'Hoja 2'!$A$2:$A$4</formula1>
    </dataValidation>
    <dataValidation type="list" allowBlank="1" showErrorMessage="1" sqref="C6 C8:C11 C17 C19:C22 C27 C29:C32 C37 C39:C42 C46 C48:C51 C56 C58:C61 C66 C68:C71 C75 C77:C80 C85 C87:C90 C95 C97:C100 C106 C108:C111">
      <formula1>'Base de datos'!$C$2:$C$931</formula1>
    </dataValidation>
  </dataValidations>
  <hyperlinks>
    <hyperlink display="IR A BASE DE DATOS" location="'Base de datos'!A1" ref="K2"/>
    <hyperlink display="INDICE" location="'INDICE 25'!A1" ref="K5"/>
    <hyperlink display="INDICE" location="'INDICE 25'!A1" ref="O5"/>
    <hyperlink display="INDICE UBER " location="'INDICE UBER'!A1" ref="S5"/>
    <hyperlink display="INDICE" location="'INDICE 25'!A1" ref="K16"/>
    <hyperlink display="INDICE" location="'INDICE 25'!A1" ref="O16"/>
    <hyperlink display="INDICE UBER " location="'INDICE UBER'!A1" ref="S16"/>
    <hyperlink display="INDICE" location="'INDICE 25'!A1" ref="K26"/>
    <hyperlink display="INDICE" location="'INDICE 25'!A1" ref="O26"/>
    <hyperlink display="INDICE UBER " location="'INDICE UBER'!A1" ref="S26"/>
    <hyperlink display="INDICE" location="'INDICE 25'!A1" ref="K36"/>
    <hyperlink display="INDICE" location="'INDICE 25'!A1" ref="O36"/>
    <hyperlink display="INDICE UBER " location="'INDICE UBER'!A1" ref="S36"/>
    <hyperlink display="INDICE" location="'INDICE 25'!A1" ref="K45"/>
    <hyperlink display="INDICE UBER " location="'INDICE UBER'!A1" ref="S45"/>
    <hyperlink display="INDICE" location="'INDICE 25'!A1" ref="K55"/>
    <hyperlink display="INDICE" location="'INDICE 25'!A1" ref="O55"/>
    <hyperlink display="INDICE UBER " location="'INDICE UBER'!A1" ref="S55"/>
    <hyperlink display="INDICE" location="'INDICE 25'!A1" ref="K65"/>
    <hyperlink display="INDICE UBER " location="'INDICE UBER'!A1" ref="S65"/>
    <hyperlink display="INDICE" location="'INDICE 25'!A1" ref="K74"/>
    <hyperlink display="INDICE UBER " location="'INDICE UBER'!A1" ref="S74"/>
    <hyperlink display="INDICE" location="'INDICE 25'!A1" ref="K84"/>
    <hyperlink display="INDICE UBER " location="'INDICE UBER'!A1" ref="S84"/>
    <hyperlink display="INDICE" location="'INDICE 25'!A1" ref="K94"/>
    <hyperlink display="INDICE" location="'INDICE 25'!A1" ref="O94"/>
    <hyperlink display="INDICE UBER " location="'INDICE UBER'!A1" ref="S94"/>
    <hyperlink display="INDICE" location="'INDICE 25'!A1" ref="K105"/>
    <hyperlink display="INDICE UBER " location="'INDICE UBER'!A1" ref="S10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32.13"/>
    <col customWidth="1" min="3" max="5" width="13.63"/>
    <col customWidth="1" min="6" max="6" width="15.75"/>
    <col customWidth="1" min="10" max="10" width="28.38"/>
    <col customWidth="1" min="11" max="11" width="37.63"/>
  </cols>
  <sheetData>
    <row r="5" ht="22.5" customHeight="1">
      <c r="B5" s="429" t="s">
        <v>247</v>
      </c>
      <c r="C5" s="430" t="s">
        <v>325</v>
      </c>
      <c r="D5" s="430" t="s">
        <v>696</v>
      </c>
      <c r="E5" s="429" t="s">
        <v>697</v>
      </c>
      <c r="F5" s="431" t="s">
        <v>698</v>
      </c>
      <c r="G5" s="431" t="s">
        <v>704</v>
      </c>
      <c r="J5" s="432" t="s">
        <v>345</v>
      </c>
      <c r="K5" s="432" t="s">
        <v>213</v>
      </c>
      <c r="L5" s="432" t="s">
        <v>346</v>
      </c>
    </row>
    <row r="6" ht="22.5" customHeight="1">
      <c r="B6" s="433" t="s">
        <v>248</v>
      </c>
      <c r="C6" s="434">
        <v>8.0</v>
      </c>
      <c r="D6" s="435">
        <v>1.77</v>
      </c>
      <c r="E6" s="436">
        <v>75.71</v>
      </c>
      <c r="F6" s="436" t="s">
        <v>699</v>
      </c>
      <c r="G6" s="436" t="s">
        <v>303</v>
      </c>
      <c r="J6" s="437" t="s">
        <v>357</v>
      </c>
      <c r="K6" s="437" t="s">
        <v>371</v>
      </c>
      <c r="L6" s="438">
        <v>136.0</v>
      </c>
    </row>
    <row r="7" ht="22.5" customHeight="1">
      <c r="B7" s="439" t="s">
        <v>249</v>
      </c>
      <c r="C7" s="440">
        <v>7.0</v>
      </c>
      <c r="D7" s="435">
        <v>1.55</v>
      </c>
      <c r="E7" s="436">
        <v>75.66</v>
      </c>
      <c r="F7" s="436" t="s">
        <v>699</v>
      </c>
      <c r="G7" s="436" t="s">
        <v>303</v>
      </c>
      <c r="J7" s="437" t="s">
        <v>357</v>
      </c>
      <c r="K7" s="437" t="s">
        <v>379</v>
      </c>
      <c r="L7" s="438">
        <v>23.0</v>
      </c>
    </row>
    <row r="8" ht="22.5" customHeight="1">
      <c r="B8" s="441" t="s">
        <v>250</v>
      </c>
      <c r="C8" s="442">
        <v>9.9</v>
      </c>
      <c r="D8" s="443">
        <v>2.15</v>
      </c>
      <c r="E8" s="485">
        <v>76.07239057239056</v>
      </c>
      <c r="F8" s="442" t="s">
        <v>700</v>
      </c>
      <c r="J8" s="437" t="s">
        <v>357</v>
      </c>
      <c r="K8" s="437" t="s">
        <v>358</v>
      </c>
      <c r="L8" s="438">
        <v>20.0</v>
      </c>
    </row>
    <row r="9" ht="22.5" customHeight="1">
      <c r="B9" s="433" t="s">
        <v>251</v>
      </c>
      <c r="C9" s="440">
        <v>10.0</v>
      </c>
      <c r="D9" s="435">
        <v>2.17</v>
      </c>
      <c r="E9" s="445">
        <v>75.9015612917126</v>
      </c>
      <c r="F9" s="436" t="s">
        <v>699</v>
      </c>
      <c r="G9" s="436" t="s">
        <v>303</v>
      </c>
      <c r="J9" s="437" t="s">
        <v>357</v>
      </c>
      <c r="K9" s="437" t="s">
        <v>363</v>
      </c>
      <c r="L9" s="438">
        <v>13.0</v>
      </c>
    </row>
    <row r="10" ht="22.5" customHeight="1">
      <c r="B10" s="433" t="s">
        <v>252</v>
      </c>
      <c r="C10" s="446">
        <v>9.9</v>
      </c>
      <c r="D10" s="435">
        <v>2.61</v>
      </c>
      <c r="E10" s="445">
        <v>73.91697020848042</v>
      </c>
      <c r="J10" s="437" t="s">
        <v>357</v>
      </c>
      <c r="K10" s="437" t="s">
        <v>375</v>
      </c>
      <c r="L10" s="438">
        <v>13.0</v>
      </c>
    </row>
    <row r="11" ht="22.5" customHeight="1">
      <c r="B11" s="433" t="s">
        <v>253</v>
      </c>
      <c r="C11" s="440">
        <v>8.0</v>
      </c>
      <c r="D11" s="435">
        <v>2.21</v>
      </c>
      <c r="E11" s="445">
        <v>69.60010416666667</v>
      </c>
      <c r="F11" s="436" t="s">
        <v>701</v>
      </c>
      <c r="G11" s="436" t="s">
        <v>780</v>
      </c>
      <c r="J11" s="437" t="s">
        <v>357</v>
      </c>
      <c r="K11" s="437" t="s">
        <v>367</v>
      </c>
      <c r="L11" s="438">
        <v>1.0</v>
      </c>
    </row>
    <row r="12" ht="22.5" customHeight="1">
      <c r="B12" s="433" t="s">
        <v>254</v>
      </c>
      <c r="C12" s="446">
        <v>8.0</v>
      </c>
      <c r="D12" s="435">
        <v>2.22</v>
      </c>
      <c r="E12" s="445">
        <v>69.44679166666667</v>
      </c>
      <c r="F12" s="436" t="s">
        <v>701</v>
      </c>
      <c r="G12" s="436" t="s">
        <v>780</v>
      </c>
      <c r="J12" s="437" t="s">
        <v>357</v>
      </c>
      <c r="K12" s="437" t="s">
        <v>386</v>
      </c>
      <c r="L12" s="438">
        <v>1.0</v>
      </c>
    </row>
    <row r="13" ht="22.5" customHeight="1">
      <c r="B13" s="433" t="s">
        <v>255</v>
      </c>
      <c r="C13" s="440">
        <v>8.0</v>
      </c>
      <c r="D13" s="435">
        <v>2.6</v>
      </c>
      <c r="E13" s="445">
        <v>64.18824197147651</v>
      </c>
      <c r="J13" s="437" t="s">
        <v>391</v>
      </c>
      <c r="K13" s="437" t="s">
        <v>404</v>
      </c>
      <c r="L13" s="438">
        <v>10.0</v>
      </c>
    </row>
    <row r="14" ht="22.5" customHeight="1">
      <c r="B14" s="486" t="s">
        <v>256</v>
      </c>
      <c r="C14" s="487">
        <v>7.0</v>
      </c>
      <c r="D14" s="488">
        <v>2.67</v>
      </c>
      <c r="E14" s="445">
        <v>58.05222304511278</v>
      </c>
      <c r="F14" s="436" t="s">
        <v>701</v>
      </c>
      <c r="G14" s="436" t="s">
        <v>780</v>
      </c>
      <c r="J14" s="437" t="s">
        <v>391</v>
      </c>
      <c r="K14" s="437" t="s">
        <v>408</v>
      </c>
      <c r="L14" s="438">
        <v>7.0</v>
      </c>
    </row>
    <row r="15" ht="22.5" customHeight="1">
      <c r="J15" s="437" t="s">
        <v>391</v>
      </c>
      <c r="K15" s="437" t="s">
        <v>417</v>
      </c>
      <c r="L15" s="438">
        <v>6.0</v>
      </c>
    </row>
    <row r="16" ht="22.5" customHeight="1">
      <c r="J16" s="437" t="s">
        <v>391</v>
      </c>
      <c r="K16" s="437" t="s">
        <v>412</v>
      </c>
      <c r="L16" s="438">
        <v>2.0</v>
      </c>
    </row>
    <row r="17" ht="22.5" customHeight="1">
      <c r="J17" s="437" t="s">
        <v>391</v>
      </c>
      <c r="K17" s="437" t="s">
        <v>430</v>
      </c>
      <c r="L17" s="438">
        <v>2.0</v>
      </c>
    </row>
    <row r="18" ht="22.5" customHeight="1">
      <c r="B18" s="429" t="s">
        <v>702</v>
      </c>
      <c r="C18" s="430" t="s">
        <v>325</v>
      </c>
      <c r="D18" s="430" t="s">
        <v>696</v>
      </c>
      <c r="E18" s="429" t="s">
        <v>697</v>
      </c>
      <c r="F18" s="431" t="s">
        <v>704</v>
      </c>
      <c r="G18" s="431" t="s">
        <v>713</v>
      </c>
      <c r="J18" s="437" t="s">
        <v>391</v>
      </c>
      <c r="K18" s="437" t="s">
        <v>397</v>
      </c>
      <c r="L18" s="438">
        <v>1.0</v>
      </c>
    </row>
    <row r="19" ht="22.5" customHeight="1">
      <c r="B19" s="433" t="s">
        <v>230</v>
      </c>
      <c r="C19" s="436"/>
      <c r="D19" s="435">
        <v>1.34</v>
      </c>
      <c r="E19" s="447">
        <v>62.26</v>
      </c>
      <c r="F19" s="436" t="s">
        <v>701</v>
      </c>
      <c r="G19" s="436" t="s">
        <v>780</v>
      </c>
      <c r="J19" s="437" t="s">
        <v>391</v>
      </c>
      <c r="K19" s="437" t="s">
        <v>426</v>
      </c>
      <c r="L19" s="438">
        <v>1.0</v>
      </c>
    </row>
    <row r="20" ht="22.5" customHeight="1">
      <c r="B20" s="441" t="s">
        <v>231</v>
      </c>
      <c r="C20" s="442"/>
      <c r="D20" s="443">
        <v>1.53</v>
      </c>
      <c r="E20" s="444">
        <v>75.97414285714285</v>
      </c>
      <c r="F20" s="442" t="s">
        <v>700</v>
      </c>
      <c r="J20" s="437" t="s">
        <v>296</v>
      </c>
      <c r="K20" s="437" t="s">
        <v>370</v>
      </c>
      <c r="L20" s="438">
        <v>68.0</v>
      </c>
    </row>
    <row r="21" ht="22.5" customHeight="1">
      <c r="B21" s="433" t="s">
        <v>233</v>
      </c>
      <c r="C21" s="436"/>
      <c r="D21" s="435">
        <v>1.52</v>
      </c>
      <c r="E21" s="447">
        <v>76.18</v>
      </c>
      <c r="F21" s="436" t="s">
        <v>699</v>
      </c>
      <c r="G21" s="436" t="s">
        <v>303</v>
      </c>
      <c r="J21" s="437" t="s">
        <v>296</v>
      </c>
      <c r="K21" s="437" t="s">
        <v>378</v>
      </c>
      <c r="L21" s="438">
        <v>61.0</v>
      </c>
    </row>
    <row r="22" ht="22.5" customHeight="1">
      <c r="B22" s="441" t="s">
        <v>232</v>
      </c>
      <c r="C22" s="442"/>
      <c r="D22" s="443">
        <v>1.82</v>
      </c>
      <c r="E22" s="444">
        <v>74.918375</v>
      </c>
      <c r="F22" s="442" t="s">
        <v>700</v>
      </c>
      <c r="J22" s="437" t="s">
        <v>298</v>
      </c>
      <c r="K22" s="437" t="s">
        <v>405</v>
      </c>
      <c r="L22" s="438">
        <v>30.0</v>
      </c>
    </row>
    <row r="23" ht="22.5" customHeight="1">
      <c r="B23" s="441" t="s">
        <v>235</v>
      </c>
      <c r="C23" s="442"/>
      <c r="D23" s="443">
        <v>1.57</v>
      </c>
      <c r="E23" s="444">
        <f>SERRANOS!L39</f>
        <v>73.488</v>
      </c>
      <c r="F23" s="442" t="s">
        <v>700</v>
      </c>
      <c r="J23" s="437" t="s">
        <v>298</v>
      </c>
      <c r="K23" s="437" t="s">
        <v>449</v>
      </c>
      <c r="L23" s="438">
        <v>11.0</v>
      </c>
    </row>
    <row r="24" ht="22.5" customHeight="1">
      <c r="B24" s="433" t="s">
        <v>781</v>
      </c>
      <c r="E24" s="448"/>
      <c r="J24" s="437" t="s">
        <v>296</v>
      </c>
      <c r="K24" s="437" t="s">
        <v>383</v>
      </c>
      <c r="L24" s="438">
        <v>59.0</v>
      </c>
    </row>
    <row r="25" ht="22.5" customHeight="1">
      <c r="B25" s="433" t="s">
        <v>236</v>
      </c>
      <c r="D25" s="435">
        <v>1.63</v>
      </c>
      <c r="E25" s="448">
        <f>SERRANOS!L11</f>
        <v>70.1695</v>
      </c>
      <c r="F25" s="436" t="s">
        <v>701</v>
      </c>
      <c r="G25" s="436" t="s">
        <v>780</v>
      </c>
      <c r="J25" s="437" t="s">
        <v>296</v>
      </c>
      <c r="K25" s="437" t="s">
        <v>380</v>
      </c>
      <c r="L25" s="438">
        <v>59.0</v>
      </c>
    </row>
    <row r="26" ht="22.5" customHeight="1">
      <c r="B26" s="433" t="s">
        <v>782</v>
      </c>
      <c r="E26" s="448"/>
      <c r="J26" s="437" t="s">
        <v>294</v>
      </c>
      <c r="K26" s="437" t="s">
        <v>372</v>
      </c>
      <c r="L26" s="438">
        <v>58.0</v>
      </c>
    </row>
    <row r="27" ht="22.5" customHeight="1">
      <c r="B27" s="441" t="s">
        <v>237</v>
      </c>
      <c r="C27" s="442"/>
      <c r="D27" s="443">
        <v>1.57</v>
      </c>
      <c r="E27" s="444">
        <f>SERRANOS!L68</f>
        <v>73.4984142</v>
      </c>
      <c r="F27" s="442" t="s">
        <v>700</v>
      </c>
      <c r="J27" s="437" t="s">
        <v>359</v>
      </c>
      <c r="K27" s="437" t="s">
        <v>427</v>
      </c>
      <c r="L27" s="438">
        <v>56.0</v>
      </c>
    </row>
    <row r="28" ht="22.5" customHeight="1">
      <c r="B28" s="433" t="s">
        <v>783</v>
      </c>
      <c r="E28" s="448"/>
      <c r="J28" s="437" t="s">
        <v>298</v>
      </c>
      <c r="K28" s="437" t="s">
        <v>224</v>
      </c>
      <c r="L28" s="438">
        <v>11.0</v>
      </c>
    </row>
    <row r="29" ht="22.5" customHeight="1">
      <c r="B29" s="433" t="s">
        <v>238</v>
      </c>
      <c r="C29" s="436"/>
      <c r="D29" s="435">
        <v>1.5</v>
      </c>
      <c r="E29" s="447">
        <v>76.43</v>
      </c>
      <c r="F29" s="436" t="s">
        <v>699</v>
      </c>
      <c r="G29" s="436" t="s">
        <v>303</v>
      </c>
      <c r="J29" s="437" t="s">
        <v>298</v>
      </c>
      <c r="K29" s="437" t="s">
        <v>459</v>
      </c>
      <c r="L29" s="438">
        <v>10.0</v>
      </c>
    </row>
    <row r="30" ht="22.5" customHeight="1">
      <c r="B30" s="436" t="s">
        <v>708</v>
      </c>
      <c r="E30" s="448"/>
      <c r="J30" s="437" t="s">
        <v>297</v>
      </c>
      <c r="K30" s="437" t="s">
        <v>385</v>
      </c>
      <c r="L30" s="438">
        <v>54.0</v>
      </c>
    </row>
    <row r="31" ht="22.5" customHeight="1">
      <c r="B31" s="449" t="s">
        <v>223</v>
      </c>
      <c r="C31" s="450"/>
      <c r="D31" s="451">
        <v>1.4</v>
      </c>
      <c r="E31" s="452">
        <v>61.44</v>
      </c>
      <c r="F31" s="450" t="s">
        <v>709</v>
      </c>
      <c r="J31" s="437" t="s">
        <v>297</v>
      </c>
      <c r="K31" s="437" t="s">
        <v>465</v>
      </c>
      <c r="L31" s="438">
        <v>29.0</v>
      </c>
    </row>
    <row r="32" ht="22.5" customHeight="1">
      <c r="B32" s="449" t="s">
        <v>224</v>
      </c>
      <c r="C32" s="453"/>
      <c r="D32" s="451">
        <v>1.34</v>
      </c>
      <c r="E32" s="454">
        <f>BOCATAS!L25</f>
        <v>70.491</v>
      </c>
      <c r="F32" s="450" t="s">
        <v>709</v>
      </c>
      <c r="J32" s="437" t="s">
        <v>297</v>
      </c>
      <c r="K32" s="437" t="s">
        <v>411</v>
      </c>
      <c r="L32" s="438">
        <v>21.0</v>
      </c>
    </row>
    <row r="33" ht="22.5" customHeight="1">
      <c r="B33" s="449" t="s">
        <v>710</v>
      </c>
      <c r="C33" s="453"/>
      <c r="D33" s="451">
        <v>1.4</v>
      </c>
      <c r="E33" s="454">
        <f>BOCATAS!L11</f>
        <v>61.45</v>
      </c>
      <c r="F33" s="450" t="s">
        <v>709</v>
      </c>
      <c r="J33" s="437" t="s">
        <v>297</v>
      </c>
      <c r="K33" s="437" t="s">
        <v>467</v>
      </c>
      <c r="L33" s="438">
        <v>6.0</v>
      </c>
    </row>
    <row r="34" ht="22.5" customHeight="1">
      <c r="B34" s="449" t="s">
        <v>225</v>
      </c>
      <c r="C34" s="453"/>
      <c r="D34" s="451">
        <v>1.27</v>
      </c>
      <c r="E34" s="454">
        <f>BOCATAS!L53</f>
        <v>71.965</v>
      </c>
      <c r="F34" s="450" t="s">
        <v>709</v>
      </c>
      <c r="J34" s="437" t="s">
        <v>439</v>
      </c>
      <c r="K34" s="437" t="s">
        <v>420</v>
      </c>
      <c r="L34" s="438"/>
    </row>
    <row r="35" ht="22.5" customHeight="1">
      <c r="B35" s="449" t="s">
        <v>229</v>
      </c>
      <c r="C35" s="453"/>
      <c r="D35" s="451">
        <v>1.33</v>
      </c>
      <c r="E35" s="454">
        <v>70.7682</v>
      </c>
      <c r="F35" s="450" t="s">
        <v>709</v>
      </c>
      <c r="J35" s="437" t="s">
        <v>439</v>
      </c>
      <c r="K35" s="437" t="s">
        <v>445</v>
      </c>
      <c r="L35" s="438">
        <v>30.0</v>
      </c>
    </row>
    <row r="36" ht="22.5" customHeight="1">
      <c r="B36" s="433" t="s">
        <v>228</v>
      </c>
      <c r="C36" s="436"/>
      <c r="D36" s="435">
        <v>1.31</v>
      </c>
      <c r="E36" s="447">
        <v>72.42</v>
      </c>
      <c r="F36" s="436" t="s">
        <v>699</v>
      </c>
      <c r="G36" s="436" t="s">
        <v>303</v>
      </c>
      <c r="J36" s="437" t="s">
        <v>439</v>
      </c>
      <c r="K36" s="437" t="s">
        <v>453</v>
      </c>
      <c r="L36" s="438">
        <v>26.0</v>
      </c>
    </row>
    <row r="37" ht="22.5" customHeight="1">
      <c r="B37" s="433" t="s">
        <v>226</v>
      </c>
      <c r="C37" s="436"/>
      <c r="D37" s="435">
        <v>1.37</v>
      </c>
      <c r="E37" s="447">
        <v>69.89</v>
      </c>
      <c r="F37" s="436" t="s">
        <v>701</v>
      </c>
      <c r="G37" s="436" t="s">
        <v>780</v>
      </c>
      <c r="J37" s="437" t="s">
        <v>439</v>
      </c>
      <c r="K37" s="437" t="s">
        <v>440</v>
      </c>
      <c r="L37" s="438">
        <v>25.0</v>
      </c>
    </row>
    <row r="38" ht="22.5" customHeight="1">
      <c r="B38" s="441" t="s">
        <v>227</v>
      </c>
      <c r="C38" s="442"/>
      <c r="D38" s="443">
        <v>1.37</v>
      </c>
      <c r="E38" s="444">
        <v>76.83</v>
      </c>
      <c r="F38" s="442" t="s">
        <v>700</v>
      </c>
      <c r="J38" s="437" t="s">
        <v>439</v>
      </c>
      <c r="K38" s="437" t="s">
        <v>438</v>
      </c>
      <c r="L38" s="438">
        <v>22.0</v>
      </c>
    </row>
    <row r="39" ht="22.5" customHeight="1">
      <c r="E39" s="448"/>
      <c r="J39" s="437" t="s">
        <v>439</v>
      </c>
      <c r="K39" s="437" t="s">
        <v>487</v>
      </c>
      <c r="L39" s="438">
        <v>13.0</v>
      </c>
    </row>
    <row r="40" ht="22.5" customHeight="1">
      <c r="E40" s="448"/>
      <c r="J40" s="437" t="s">
        <v>295</v>
      </c>
      <c r="K40" s="437" t="s">
        <v>390</v>
      </c>
      <c r="L40" s="438">
        <v>26.0</v>
      </c>
    </row>
    <row r="41" ht="22.5" customHeight="1">
      <c r="E41" s="448"/>
      <c r="J41" s="437" t="s">
        <v>295</v>
      </c>
      <c r="K41" s="437" t="s">
        <v>416</v>
      </c>
      <c r="L41" s="438">
        <v>26.0</v>
      </c>
    </row>
    <row r="42" ht="22.5" customHeight="1">
      <c r="B42" s="436"/>
      <c r="E42" s="448"/>
      <c r="J42" s="437" t="s">
        <v>295</v>
      </c>
      <c r="K42" s="437" t="s">
        <v>455</v>
      </c>
      <c r="L42" s="438">
        <v>17.0</v>
      </c>
    </row>
    <row r="43" ht="22.5" customHeight="1">
      <c r="J43" s="437" t="s">
        <v>295</v>
      </c>
      <c r="K43" s="437" t="s">
        <v>443</v>
      </c>
      <c r="L43" s="438">
        <v>14.0</v>
      </c>
    </row>
    <row r="44" ht="22.5" customHeight="1">
      <c r="B44" s="429" t="s">
        <v>240</v>
      </c>
      <c r="C44" s="430" t="s">
        <v>325</v>
      </c>
      <c r="D44" s="430" t="s">
        <v>696</v>
      </c>
      <c r="E44" s="429" t="s">
        <v>697</v>
      </c>
      <c r="F44" s="431" t="s">
        <v>704</v>
      </c>
      <c r="G44" s="431" t="s">
        <v>713</v>
      </c>
      <c r="J44" s="437" t="s">
        <v>295</v>
      </c>
      <c r="K44" s="437" t="s">
        <v>471</v>
      </c>
      <c r="L44" s="438">
        <v>10.0</v>
      </c>
    </row>
    <row r="45" ht="22.5" customHeight="1">
      <c r="B45" s="433" t="s">
        <v>241</v>
      </c>
      <c r="C45" s="455">
        <v>9.9</v>
      </c>
      <c r="D45" s="455">
        <v>2.13</v>
      </c>
      <c r="E45" s="456">
        <v>76.36379756468799</v>
      </c>
      <c r="H45" s="205"/>
      <c r="J45" s="437" t="s">
        <v>295</v>
      </c>
      <c r="K45" s="437" t="s">
        <v>495</v>
      </c>
      <c r="L45" s="438">
        <v>3.0</v>
      </c>
    </row>
    <row r="46" ht="22.5" customHeight="1">
      <c r="B46" s="433" t="s">
        <v>242</v>
      </c>
      <c r="C46" s="455">
        <v>8.5</v>
      </c>
      <c r="D46" s="455">
        <v>2.02</v>
      </c>
      <c r="E46" s="456">
        <v>73.87888235294118</v>
      </c>
      <c r="H46" s="205"/>
      <c r="J46" s="437"/>
      <c r="K46" s="437"/>
      <c r="L46" s="438"/>
    </row>
    <row r="47" ht="22.5" customHeight="1">
      <c r="B47" s="441" t="s">
        <v>243</v>
      </c>
      <c r="C47" s="442">
        <v>8.0</v>
      </c>
      <c r="D47" s="443">
        <v>1.97</v>
      </c>
      <c r="E47" s="457">
        <v>72.91971296501238</v>
      </c>
      <c r="F47" s="442" t="s">
        <v>700</v>
      </c>
      <c r="J47" s="437" t="s">
        <v>293</v>
      </c>
      <c r="K47" s="437" t="s">
        <v>349</v>
      </c>
      <c r="L47" s="438">
        <v>142.0</v>
      </c>
    </row>
    <row r="48" ht="22.5" customHeight="1">
      <c r="B48" s="441" t="s">
        <v>244</v>
      </c>
      <c r="C48" s="442">
        <v>8.0</v>
      </c>
      <c r="D48" s="443">
        <v>2.01</v>
      </c>
      <c r="E48" s="457">
        <v>72.6681600877193</v>
      </c>
      <c r="F48" s="442" t="s">
        <v>700</v>
      </c>
      <c r="J48" s="437" t="s">
        <v>293</v>
      </c>
      <c r="K48" s="437" t="s">
        <v>352</v>
      </c>
      <c r="L48" s="438">
        <v>135.0</v>
      </c>
    </row>
    <row r="49" ht="22.5" customHeight="1">
      <c r="B49" s="458" t="s">
        <v>245</v>
      </c>
      <c r="C49" s="458"/>
      <c r="D49" s="458"/>
      <c r="E49" s="459">
        <v>72.29</v>
      </c>
      <c r="J49" s="437" t="s">
        <v>293</v>
      </c>
      <c r="K49" s="437" t="s">
        <v>356</v>
      </c>
      <c r="L49" s="438">
        <v>98.0</v>
      </c>
    </row>
    <row r="50" ht="22.5" customHeight="1">
      <c r="B50" s="433" t="s">
        <v>246</v>
      </c>
      <c r="C50" s="436">
        <v>8.0</v>
      </c>
      <c r="D50" s="435">
        <v>2.01</v>
      </c>
      <c r="E50" s="456">
        <v>72.36875</v>
      </c>
      <c r="F50" s="436" t="s">
        <v>701</v>
      </c>
      <c r="G50" s="436" t="s">
        <v>780</v>
      </c>
      <c r="J50" s="437" t="s">
        <v>293</v>
      </c>
      <c r="K50" s="437" t="s">
        <v>368</v>
      </c>
      <c r="L50" s="438">
        <v>88.0</v>
      </c>
    </row>
    <row r="51" ht="22.5" customHeight="1">
      <c r="J51" s="437" t="s">
        <v>293</v>
      </c>
      <c r="K51" s="437" t="s">
        <v>362</v>
      </c>
      <c r="L51" s="438">
        <v>86.0</v>
      </c>
    </row>
    <row r="52" ht="22.5" customHeight="1">
      <c r="J52" s="437" t="s">
        <v>293</v>
      </c>
      <c r="K52" s="437" t="s">
        <v>376</v>
      </c>
      <c r="L52" s="438">
        <v>65.0</v>
      </c>
    </row>
    <row r="53" ht="22.5" customHeight="1">
      <c r="B53" s="429" t="s">
        <v>258</v>
      </c>
      <c r="C53" s="430" t="s">
        <v>325</v>
      </c>
      <c r="D53" s="431" t="s">
        <v>696</v>
      </c>
      <c r="E53" s="431" t="s">
        <v>712</v>
      </c>
      <c r="F53" s="431" t="s">
        <v>713</v>
      </c>
      <c r="G53" s="431" t="s">
        <v>704</v>
      </c>
      <c r="J53" s="437" t="s">
        <v>293</v>
      </c>
      <c r="K53" s="437" t="s">
        <v>400</v>
      </c>
      <c r="L53" s="438">
        <v>21.0</v>
      </c>
    </row>
    <row r="54" ht="22.5" customHeight="1">
      <c r="B54" s="441" t="s">
        <v>262</v>
      </c>
      <c r="C54" s="442">
        <v>5.0</v>
      </c>
      <c r="D54" s="443">
        <v>0.7</v>
      </c>
      <c r="E54" s="457">
        <v>84.5640647368421</v>
      </c>
      <c r="F54" s="442" t="s">
        <v>700</v>
      </c>
      <c r="J54" s="437" t="s">
        <v>293</v>
      </c>
      <c r="K54" s="437" t="s">
        <v>433</v>
      </c>
      <c r="L54" s="438">
        <v>20.0</v>
      </c>
    </row>
    <row r="55" ht="22.5" customHeight="1">
      <c r="B55" s="441" t="s">
        <v>263</v>
      </c>
      <c r="C55" s="442">
        <v>7.0</v>
      </c>
      <c r="D55" s="443">
        <v>0.98</v>
      </c>
      <c r="E55" s="457">
        <v>84.56390244530245</v>
      </c>
      <c r="F55" s="442" t="s">
        <v>700</v>
      </c>
      <c r="J55" s="437" t="s">
        <v>293</v>
      </c>
      <c r="K55" s="437" t="s">
        <v>514</v>
      </c>
      <c r="L55" s="438">
        <v>19.0</v>
      </c>
    </row>
    <row r="56" ht="22.5" customHeight="1">
      <c r="B56" s="441" t="s">
        <v>260</v>
      </c>
      <c r="C56" s="442">
        <v>6.0</v>
      </c>
      <c r="D56" s="443">
        <v>1.56</v>
      </c>
      <c r="E56" s="457">
        <v>71.42004364035088</v>
      </c>
      <c r="F56" s="442" t="s">
        <v>700</v>
      </c>
      <c r="J56" s="437" t="s">
        <v>359</v>
      </c>
      <c r="K56" s="437" t="s">
        <v>418</v>
      </c>
      <c r="L56" s="438">
        <v>74.0</v>
      </c>
    </row>
    <row r="57" ht="22.5" customHeight="1">
      <c r="B57" s="449" t="s">
        <v>261</v>
      </c>
      <c r="C57" s="450">
        <v>6.0</v>
      </c>
      <c r="D57" s="451">
        <v>1.83</v>
      </c>
      <c r="E57" s="452">
        <v>66.40404364035086</v>
      </c>
      <c r="F57" s="450" t="s">
        <v>709</v>
      </c>
      <c r="J57" s="437" t="s">
        <v>359</v>
      </c>
      <c r="K57" s="437" t="s">
        <v>484</v>
      </c>
      <c r="L57" s="438">
        <v>71.0</v>
      </c>
    </row>
    <row r="58" ht="22.5" customHeight="1">
      <c r="B58" s="449" t="s">
        <v>259</v>
      </c>
      <c r="C58" s="450">
        <v>6.0</v>
      </c>
      <c r="D58" s="451">
        <v>2.42</v>
      </c>
      <c r="E58" s="452">
        <v>55.556210307017544</v>
      </c>
      <c r="F58" s="450" t="s">
        <v>709</v>
      </c>
      <c r="J58" s="437" t="s">
        <v>359</v>
      </c>
      <c r="K58" s="437" t="s">
        <v>470</v>
      </c>
      <c r="L58" s="438">
        <v>52.0</v>
      </c>
    </row>
    <row r="59" ht="22.5" customHeight="1">
      <c r="B59" s="433" t="s">
        <v>714</v>
      </c>
      <c r="C59" s="436">
        <v>6.0</v>
      </c>
      <c r="D59" s="435">
        <v>2.81</v>
      </c>
      <c r="E59" s="445">
        <v>48.43921030701755</v>
      </c>
      <c r="F59" s="436" t="s">
        <v>701</v>
      </c>
      <c r="G59" s="436" t="s">
        <v>780</v>
      </c>
      <c r="J59" s="437" t="s">
        <v>359</v>
      </c>
      <c r="K59" s="437" t="s">
        <v>715</v>
      </c>
      <c r="L59" s="438">
        <v>50.0</v>
      </c>
      <c r="N59" s="177">
        <f>L51+L57</f>
        <v>157</v>
      </c>
    </row>
    <row r="60" ht="22.5" customHeight="1">
      <c r="J60" s="437" t="s">
        <v>359</v>
      </c>
      <c r="K60" s="437" t="s">
        <v>360</v>
      </c>
      <c r="L60" s="438">
        <v>47.0</v>
      </c>
    </row>
    <row r="61" ht="22.5" customHeight="1">
      <c r="J61" s="437" t="s">
        <v>359</v>
      </c>
      <c r="K61" s="437" t="s">
        <v>356</v>
      </c>
      <c r="L61" s="438">
        <v>43.0</v>
      </c>
    </row>
    <row r="62" ht="22.5" customHeight="1">
      <c r="B62" s="429" t="s">
        <v>716</v>
      </c>
      <c r="C62" s="430" t="s">
        <v>325</v>
      </c>
      <c r="D62" s="431" t="s">
        <v>696</v>
      </c>
      <c r="E62" s="431" t="s">
        <v>712</v>
      </c>
      <c r="F62" s="431" t="s">
        <v>713</v>
      </c>
      <c r="J62" s="437" t="s">
        <v>359</v>
      </c>
      <c r="K62" s="437" t="s">
        <v>364</v>
      </c>
      <c r="L62" s="438">
        <v>41.0</v>
      </c>
    </row>
    <row r="63" ht="22.5" customHeight="1">
      <c r="B63" s="433" t="s">
        <v>717</v>
      </c>
      <c r="C63" s="436">
        <v>2.0</v>
      </c>
      <c r="D63" s="436">
        <v>0.26</v>
      </c>
      <c r="E63" s="445">
        <v>85.47770833333334</v>
      </c>
      <c r="J63" s="437" t="s">
        <v>359</v>
      </c>
      <c r="K63" s="437" t="s">
        <v>447</v>
      </c>
      <c r="L63" s="438">
        <v>19.0</v>
      </c>
    </row>
    <row r="64" ht="22.5" customHeight="1">
      <c r="B64" s="461"/>
      <c r="E64" s="445"/>
      <c r="J64" s="437" t="s">
        <v>359</v>
      </c>
      <c r="K64" s="437" t="s">
        <v>250</v>
      </c>
      <c r="L64" s="438">
        <v>17.0</v>
      </c>
    </row>
    <row r="65" ht="22.5" customHeight="1">
      <c r="J65" s="437" t="s">
        <v>359</v>
      </c>
      <c r="K65" s="437" t="s">
        <v>499</v>
      </c>
      <c r="L65" s="438">
        <v>16.0</v>
      </c>
    </row>
    <row r="66" ht="22.5" customHeight="1">
      <c r="J66" s="437" t="s">
        <v>359</v>
      </c>
      <c r="K66" s="437" t="s">
        <v>519</v>
      </c>
      <c r="L66" s="438">
        <v>11.0</v>
      </c>
    </row>
    <row r="67" ht="22.5" customHeight="1">
      <c r="J67" s="437" t="s">
        <v>359</v>
      </c>
      <c r="K67" s="437" t="s">
        <v>468</v>
      </c>
      <c r="L67" s="438">
        <v>8.0</v>
      </c>
    </row>
    <row r="68" ht="22.5" customHeight="1">
      <c r="J68" s="437" t="s">
        <v>422</v>
      </c>
      <c r="K68" s="437" t="s">
        <v>500</v>
      </c>
      <c r="L68" s="438">
        <v>63.0</v>
      </c>
    </row>
    <row r="69" ht="22.5" customHeight="1">
      <c r="B69" s="429" t="s">
        <v>266</v>
      </c>
      <c r="C69" s="430" t="s">
        <v>325</v>
      </c>
      <c r="D69" s="431" t="s">
        <v>696</v>
      </c>
      <c r="E69" s="431" t="s">
        <v>712</v>
      </c>
      <c r="F69" s="431" t="s">
        <v>713</v>
      </c>
      <c r="J69" s="437" t="s">
        <v>422</v>
      </c>
      <c r="K69" s="437" t="s">
        <v>474</v>
      </c>
      <c r="L69" s="438">
        <v>47.0</v>
      </c>
    </row>
    <row r="70" ht="22.5" customHeight="1">
      <c r="B70" s="433" t="s">
        <v>267</v>
      </c>
      <c r="C70" s="436">
        <v>6.0</v>
      </c>
      <c r="E70" s="445"/>
      <c r="J70" s="437" t="s">
        <v>422</v>
      </c>
      <c r="K70" s="437" t="s">
        <v>452</v>
      </c>
      <c r="L70" s="438">
        <v>40.0</v>
      </c>
    </row>
    <row r="71" ht="22.5" customHeight="1">
      <c r="B71" s="433" t="s">
        <v>268</v>
      </c>
      <c r="C71" s="436">
        <v>6.0</v>
      </c>
      <c r="D71" s="436">
        <v>4.3</v>
      </c>
      <c r="E71" s="445">
        <v>21.16666666666667</v>
      </c>
      <c r="F71" s="445"/>
      <c r="J71" s="437" t="s">
        <v>422</v>
      </c>
      <c r="K71" s="437" t="s">
        <v>423</v>
      </c>
      <c r="L71" s="438">
        <v>31.0</v>
      </c>
    </row>
    <row r="72" ht="22.5" customHeight="1">
      <c r="B72" s="433" t="s">
        <v>269</v>
      </c>
      <c r="C72" s="436">
        <v>6.0</v>
      </c>
      <c r="D72" s="436">
        <v>4.3</v>
      </c>
      <c r="E72" s="455">
        <v>27.3</v>
      </c>
      <c r="J72" s="437" t="s">
        <v>422</v>
      </c>
      <c r="K72" s="437" t="s">
        <v>538</v>
      </c>
      <c r="L72" s="438">
        <v>17.0</v>
      </c>
    </row>
    <row r="73" ht="22.5" customHeight="1">
      <c r="J73" s="437" t="s">
        <v>422</v>
      </c>
      <c r="K73" s="437" t="s">
        <v>497</v>
      </c>
      <c r="L73" s="438">
        <v>17.0</v>
      </c>
    </row>
    <row r="74" ht="22.5" customHeight="1">
      <c r="B74" s="462" t="s">
        <v>718</v>
      </c>
      <c r="C74" s="430" t="s">
        <v>325</v>
      </c>
      <c r="D74" s="431" t="s">
        <v>696</v>
      </c>
      <c r="E74" s="431" t="s">
        <v>712</v>
      </c>
      <c r="F74" s="431" t="s">
        <v>719</v>
      </c>
      <c r="J74" s="437" t="s">
        <v>422</v>
      </c>
      <c r="K74" s="437" t="s">
        <v>720</v>
      </c>
      <c r="L74" s="438">
        <v>6.0</v>
      </c>
    </row>
    <row r="75" ht="22.5" customHeight="1">
      <c r="B75" s="461" t="s">
        <v>721</v>
      </c>
      <c r="D75" s="463">
        <v>0.13</v>
      </c>
      <c r="E75" s="445">
        <v>88.39237127128658</v>
      </c>
      <c r="J75" s="437" t="s">
        <v>395</v>
      </c>
      <c r="K75" s="437" t="s">
        <v>396</v>
      </c>
      <c r="L75" s="438">
        <v>39.0</v>
      </c>
    </row>
    <row r="76" ht="22.5" customHeight="1">
      <c r="B76" s="461" t="s">
        <v>722</v>
      </c>
      <c r="D76" s="463">
        <v>0.16</v>
      </c>
      <c r="E76" s="445">
        <v>85.23096448386904</v>
      </c>
      <c r="J76" s="437" t="s">
        <v>395</v>
      </c>
      <c r="K76" s="437" t="s">
        <v>436</v>
      </c>
      <c r="L76" s="438">
        <v>19.0</v>
      </c>
    </row>
    <row r="77" ht="22.5" customHeight="1">
      <c r="B77" s="461" t="s">
        <v>723</v>
      </c>
      <c r="D77" s="463">
        <v>0.1</v>
      </c>
      <c r="E77" s="445">
        <v>77.030843492148</v>
      </c>
      <c r="F77" s="445">
        <v>84.68722899476532</v>
      </c>
      <c r="J77" s="437" t="s">
        <v>395</v>
      </c>
      <c r="K77" s="437" t="s">
        <v>464</v>
      </c>
      <c r="L77" s="438">
        <v>15.0</v>
      </c>
    </row>
    <row r="78" ht="22.5" customHeight="1">
      <c r="B78" s="461" t="s">
        <v>724</v>
      </c>
      <c r="D78" s="463">
        <v>0.26</v>
      </c>
      <c r="E78" s="445">
        <v>71.1085</v>
      </c>
      <c r="J78" s="437" t="s">
        <v>395</v>
      </c>
      <c r="K78" s="437" t="s">
        <v>525</v>
      </c>
      <c r="L78" s="438">
        <v>8.0</v>
      </c>
    </row>
    <row r="79" ht="22.5" customHeight="1">
      <c r="B79" s="461" t="s">
        <v>211</v>
      </c>
      <c r="D79" s="463">
        <v>0.32</v>
      </c>
      <c r="E79" s="445">
        <v>71.06541666666666</v>
      </c>
      <c r="J79" s="437" t="s">
        <v>395</v>
      </c>
      <c r="K79" s="437" t="s">
        <v>425</v>
      </c>
      <c r="L79" s="438">
        <v>3.0</v>
      </c>
    </row>
    <row r="80" ht="22.5" customHeight="1">
      <c r="B80" s="461" t="s">
        <v>208</v>
      </c>
      <c r="D80" s="463">
        <v>0.58</v>
      </c>
      <c r="E80" s="445">
        <v>68.24017465753424</v>
      </c>
      <c r="J80" s="437" t="s">
        <v>480</v>
      </c>
      <c r="K80" s="437" t="s">
        <v>481</v>
      </c>
      <c r="L80" s="438">
        <v>26.0</v>
      </c>
    </row>
    <row r="81" ht="22.5" customHeight="1">
      <c r="B81" s="461" t="s">
        <v>210</v>
      </c>
      <c r="D81" s="463">
        <v>0.15</v>
      </c>
      <c r="E81" s="445">
        <v>66.98483783783784</v>
      </c>
      <c r="F81" s="445">
        <v>77.98989189189189</v>
      </c>
      <c r="J81" s="437" t="s">
        <v>413</v>
      </c>
      <c r="K81" s="437" t="s">
        <v>414</v>
      </c>
      <c r="L81" s="438">
        <v>345.0</v>
      </c>
    </row>
    <row r="82" ht="22.5" customHeight="1">
      <c r="B82" s="461" t="s">
        <v>725</v>
      </c>
      <c r="D82" s="463">
        <v>0.18</v>
      </c>
      <c r="E82" s="445">
        <v>60.025812764728535</v>
      </c>
      <c r="F82" s="445">
        <v>73.35054184315236</v>
      </c>
      <c r="J82" s="437" t="s">
        <v>413</v>
      </c>
      <c r="K82" s="437" t="s">
        <v>529</v>
      </c>
      <c r="L82" s="438">
        <v>9.0</v>
      </c>
    </row>
    <row r="83" ht="22.5" customHeight="1">
      <c r="B83" s="461" t="s">
        <v>726</v>
      </c>
      <c r="D83" s="463">
        <v>0.18</v>
      </c>
      <c r="E83" s="445">
        <v>59.314567567567565</v>
      </c>
      <c r="J83" s="437" t="s">
        <v>413</v>
      </c>
      <c r="K83" s="437" t="s">
        <v>509</v>
      </c>
      <c r="L83" s="438">
        <v>8.0</v>
      </c>
    </row>
    <row r="84" ht="22.5" customHeight="1">
      <c r="B84" s="461" t="s">
        <v>727</v>
      </c>
      <c r="D84" s="463">
        <v>0.19</v>
      </c>
      <c r="E84" s="445">
        <v>58.226857718120804</v>
      </c>
      <c r="F84" s="445">
        <v>72.1512384787472</v>
      </c>
      <c r="J84" s="437" t="s">
        <v>294</v>
      </c>
      <c r="K84" s="437" t="s">
        <v>354</v>
      </c>
      <c r="L84" s="438">
        <v>227.0</v>
      </c>
    </row>
    <row r="85" ht="22.5" customHeight="1">
      <c r="B85" s="461" t="s">
        <v>728</v>
      </c>
      <c r="D85" s="463">
        <v>0.19</v>
      </c>
      <c r="E85" s="445">
        <v>57.78712368421052</v>
      </c>
      <c r="F85" s="445">
        <v>71.85808245614035</v>
      </c>
      <c r="J85" s="437" t="s">
        <v>294</v>
      </c>
      <c r="K85" s="437" t="s">
        <v>374</v>
      </c>
      <c r="L85" s="438">
        <v>60.0</v>
      </c>
    </row>
    <row r="86" ht="22.5" customHeight="1">
      <c r="J86" s="437" t="s">
        <v>294</v>
      </c>
      <c r="K86" s="437" t="s">
        <v>393</v>
      </c>
      <c r="L86" s="438">
        <v>39.0</v>
      </c>
    </row>
    <row r="87" ht="22.5" customHeight="1">
      <c r="J87" s="437" t="s">
        <v>284</v>
      </c>
      <c r="K87" s="437" t="s">
        <v>409</v>
      </c>
      <c r="L87" s="438">
        <v>100.0</v>
      </c>
      <c r="N87" s="177">
        <f>L92+L32</f>
        <v>47</v>
      </c>
    </row>
    <row r="88" ht="22.5" customHeight="1">
      <c r="J88" s="437" t="s">
        <v>284</v>
      </c>
      <c r="K88" s="437" t="s">
        <v>460</v>
      </c>
      <c r="L88" s="438">
        <v>97.0</v>
      </c>
    </row>
    <row r="89" ht="22.5" customHeight="1">
      <c r="J89" s="437" t="s">
        <v>284</v>
      </c>
      <c r="K89" s="437" t="s">
        <v>435</v>
      </c>
      <c r="L89" s="438">
        <v>72.0</v>
      </c>
    </row>
    <row r="90" ht="22.5" customHeight="1">
      <c r="J90" s="437" t="s">
        <v>284</v>
      </c>
      <c r="K90" s="437" t="s">
        <v>493</v>
      </c>
      <c r="L90" s="438">
        <v>45.0</v>
      </c>
    </row>
    <row r="91" ht="22.5" customHeight="1">
      <c r="J91" s="437" t="s">
        <v>284</v>
      </c>
      <c r="K91" s="437" t="s">
        <v>462</v>
      </c>
      <c r="L91" s="438">
        <v>45.0</v>
      </c>
    </row>
    <row r="92" ht="22.5" customHeight="1">
      <c r="J92" s="437" t="s">
        <v>284</v>
      </c>
      <c r="K92" s="437" t="s">
        <v>503</v>
      </c>
      <c r="L92" s="438">
        <v>26.0</v>
      </c>
    </row>
    <row r="93" ht="22.5" customHeight="1">
      <c r="J93" s="437" t="s">
        <v>284</v>
      </c>
      <c r="K93" s="437" t="s">
        <v>506</v>
      </c>
      <c r="L93" s="438">
        <v>10.0</v>
      </c>
    </row>
    <row r="94" ht="22.5" customHeight="1">
      <c r="J94" s="437" t="s">
        <v>284</v>
      </c>
      <c r="K94" s="437" t="s">
        <v>464</v>
      </c>
      <c r="L94" s="438">
        <v>7.0</v>
      </c>
    </row>
    <row r="95" ht="22.5" customHeight="1">
      <c r="J95" s="437" t="s">
        <v>284</v>
      </c>
      <c r="K95" s="437" t="s">
        <v>425</v>
      </c>
      <c r="L95" s="438">
        <v>4.0</v>
      </c>
    </row>
    <row r="96" ht="22.5" customHeight="1">
      <c r="J96" s="437" t="s">
        <v>515</v>
      </c>
      <c r="K96" s="437" t="s">
        <v>516</v>
      </c>
      <c r="L96" s="438">
        <v>12.0</v>
      </c>
    </row>
    <row r="97" ht="22.5" customHeight="1">
      <c r="J97" s="437" t="s">
        <v>515</v>
      </c>
      <c r="K97" s="437" t="s">
        <v>535</v>
      </c>
      <c r="L97" s="438">
        <v>8.0</v>
      </c>
    </row>
    <row r="98" ht="22.5" customHeight="1">
      <c r="J98" s="437" t="s">
        <v>515</v>
      </c>
      <c r="K98" s="437" t="s">
        <v>533</v>
      </c>
      <c r="L98" s="438">
        <v>6.0</v>
      </c>
    </row>
    <row r="99" ht="22.5" customHeight="1">
      <c r="J99" s="437" t="s">
        <v>515</v>
      </c>
      <c r="K99" s="437" t="s">
        <v>729</v>
      </c>
      <c r="L99" s="438">
        <v>3.0</v>
      </c>
    </row>
    <row r="100" ht="22.5" customHeight="1">
      <c r="J100" s="437" t="s">
        <v>515</v>
      </c>
      <c r="K100" s="437" t="s">
        <v>558</v>
      </c>
      <c r="L100" s="438">
        <v>2.0</v>
      </c>
    </row>
    <row r="101" ht="22.5" customHeight="1">
      <c r="J101" s="437" t="s">
        <v>515</v>
      </c>
      <c r="K101" s="437" t="s">
        <v>551</v>
      </c>
      <c r="L101" s="438">
        <v>2.0</v>
      </c>
    </row>
    <row r="102" ht="22.5" customHeight="1">
      <c r="J102" s="437" t="s">
        <v>515</v>
      </c>
      <c r="K102" s="437" t="s">
        <v>545</v>
      </c>
      <c r="L102" s="438">
        <v>1.0</v>
      </c>
    </row>
    <row r="103" ht="22.5" customHeight="1">
      <c r="J103" s="437" t="s">
        <v>522</v>
      </c>
      <c r="K103" s="437" t="s">
        <v>523</v>
      </c>
      <c r="L103" s="438">
        <v>19.0</v>
      </c>
    </row>
    <row r="104" ht="22.5" customHeight="1">
      <c r="J104" s="437" t="s">
        <v>522</v>
      </c>
      <c r="K104" s="437" t="s">
        <v>530</v>
      </c>
      <c r="L104" s="438">
        <v>10.0</v>
      </c>
    </row>
    <row r="105" ht="22.5" customHeight="1">
      <c r="J105" s="437" t="s">
        <v>522</v>
      </c>
      <c r="K105" s="437" t="s">
        <v>544</v>
      </c>
      <c r="L105" s="438">
        <v>7.0</v>
      </c>
    </row>
    <row r="106" ht="22.5" customHeight="1">
      <c r="J106" s="437" t="s">
        <v>522</v>
      </c>
      <c r="K106" s="437" t="s">
        <v>540</v>
      </c>
      <c r="L106" s="438">
        <v>4.0</v>
      </c>
    </row>
  </sheetData>
  <dataValidations>
    <dataValidation type="custom" allowBlank="1" showDropDown="1" sqref="E19:E42 E45:E50 D75:D85">
      <formula1>AND(ISNUMBER(D19),(NOT(OR(NOT(ISERROR(DATEVALUE(D19))), AND(ISNUMBER(D19), LEFT(CELL("format", D19))="D")))))</formula1>
    </dataValidation>
  </dataValidations>
  <hyperlinks>
    <hyperlink display="CRUJIPOLLO BBQ" location="null!A1" ref="B6"/>
    <hyperlink display="CRUJIPOLLO ORIGINAL " location="null!A1" ref="B7"/>
    <hyperlink display="MAKA" location="null!A1" ref="B8"/>
    <hyperlink display="BICHOTA" location="null!A1" ref="B9"/>
    <hyperlink display="DADDY" location="null!A1" ref="B10"/>
    <hyperlink display="DOBLE QUESOS" location="BURGERS!A1" ref="B11"/>
    <hyperlink display="CERO15" location="null!A1" ref="B12"/>
    <hyperlink display="KAROL " location="null!A1" ref="B13"/>
    <hyperlink display="BARRIERA" location="null!A1" ref="B14"/>
    <hyperlink display="BARBARA" location="null!A1" ref="B19"/>
    <hyperlink display="CRISTIAN" location="null!A1" ref="B20"/>
    <hyperlink display="GUARRITO" location="null!A1" ref="B21"/>
    <hyperlink display="JAKINIÑO" location="null!A1" ref="B22"/>
    <hyperlink display="SERRANO EMPANADO" location="null!A1" ref="B23"/>
    <hyperlink display="SERRANO EMPANADO + 3 Q" location="null!A1" ref="B24"/>
    <hyperlink display="SERRANO POLLO" location="SERRANOS!A1" ref="B25"/>
    <hyperlink display="SERRANO POLLO + 3 Q" location="SERRANOS!A1" ref="B26"/>
    <hyperlink display="SERRANO POLLO ASADO" location="null!A1" ref="B27"/>
    <hyperlink display="SERRANO POLLO ASADO + 3 Q" location="null!A1" ref="B28"/>
    <hyperlink display="SERRANO SOLOMILLO" location="null!A1" ref="B29"/>
    <hyperlink display="SIMPLE ASADO" location="null!A1" ref="B31"/>
    <hyperlink display="SIMPLE EMPANADO" location="null!A1" ref="B32"/>
    <hyperlink display="SIMPLE POLLO" location="BOCATAS!A1" ref="B33"/>
    <hyperlink display="SIMPLE SOLOMILO" location="null!A1" ref="B34"/>
    <hyperlink display="VEGETAL ATUN" location="null!A1" ref="B35"/>
    <hyperlink display="VEGETAL EMPANADO" location="null!A1" ref="B36"/>
    <hyperlink display="VEGETAL POLLO" location="null!A1" ref="B37"/>
    <hyperlink display="VEGETAL POLLO ASADO" location="null!A1" ref="B38"/>
    <hyperlink display="XMAS CHIKEN " location="null!A1" ref="B45"/>
    <hyperlink display="CESAR BRIOCHE " location="null!A1" ref="B46"/>
    <hyperlink display="GYPSY" location="null!A1" ref="B47"/>
    <hyperlink display="CHICKEN FRIED" location="'BRIOCH-SUBS'!A1" ref="B48"/>
    <hyperlink display="SMASH SERRANO" location="null!A1" ref="B50"/>
    <hyperlink display="BOX PATATAS" location="null!A1" ref="B54"/>
    <hyperlink display="BOX PAPAS PULLED PORK " location="null!A1" ref="B55"/>
    <hyperlink display="BOX LAGRIMITAS" location="null!A1" ref="B56"/>
    <hyperlink display="BOX NUGGETS" location="ENTRANTES!A1" ref="B57"/>
    <hyperlink display="BOX ALITAS" location="null!A1" ref="B58"/>
    <hyperlink display="BOX TEKILLOS " location="null!A1" ref="B59"/>
    <hyperlink display="CARTUCHO PATATAS EXTRA" location="null!A1" ref="B63"/>
    <hyperlink display="TARTA LOTUS" location="POSTRES!A1" ref="B70"/>
    <hyperlink display="TARTA QUESO" location="POSTRES!A1" ref="B71"/>
    <hyperlink display="TARTA DUBAI " location="POSTRES!A1" ref="B72"/>
    <hyperlink display="TARROS SALSAS" location="'TARROS SALSA'!A1" ref="B7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32.13"/>
    <col customWidth="1" min="3" max="5" width="13.63"/>
    <col customWidth="1" min="6" max="6" width="15.75"/>
    <col customWidth="1" min="10" max="10" width="28.38"/>
    <col customWidth="1" min="11" max="11" width="37.63"/>
  </cols>
  <sheetData>
    <row r="5" ht="22.5" customHeight="1">
      <c r="B5" s="429" t="s">
        <v>247</v>
      </c>
      <c r="C5" s="430" t="s">
        <v>325</v>
      </c>
      <c r="D5" s="430" t="s">
        <v>696</v>
      </c>
      <c r="E5" s="429" t="s">
        <v>697</v>
      </c>
      <c r="F5" s="431" t="s">
        <v>698</v>
      </c>
      <c r="J5" s="432" t="s">
        <v>345</v>
      </c>
      <c r="K5" s="432" t="s">
        <v>213</v>
      </c>
      <c r="L5" s="432" t="s">
        <v>346</v>
      </c>
    </row>
    <row r="6" ht="22.5" customHeight="1">
      <c r="B6" s="433" t="s">
        <v>248</v>
      </c>
      <c r="C6" s="489">
        <v>10.9</v>
      </c>
      <c r="D6" s="435">
        <v>1.77</v>
      </c>
      <c r="E6" s="490">
        <v>0.6017276758409786</v>
      </c>
      <c r="F6" s="436" t="s">
        <v>699</v>
      </c>
      <c r="J6" s="437" t="s">
        <v>357</v>
      </c>
      <c r="K6" s="437" t="s">
        <v>371</v>
      </c>
      <c r="L6" s="438">
        <v>136.0</v>
      </c>
    </row>
    <row r="7" ht="22.5" customHeight="1">
      <c r="B7" s="439" t="s">
        <v>249</v>
      </c>
      <c r="C7" s="491">
        <v>8.9</v>
      </c>
      <c r="D7" s="435">
        <v>1.55</v>
      </c>
      <c r="E7" s="490">
        <v>0.58857734082397</v>
      </c>
      <c r="F7" s="436" t="s">
        <v>699</v>
      </c>
      <c r="J7" s="437" t="s">
        <v>357</v>
      </c>
      <c r="K7" s="437" t="s">
        <v>379</v>
      </c>
      <c r="L7" s="438">
        <v>23.0</v>
      </c>
    </row>
    <row r="8" ht="22.5" customHeight="1">
      <c r="B8" s="441" t="s">
        <v>250</v>
      </c>
      <c r="C8" s="442">
        <v>13.0</v>
      </c>
      <c r="D8" s="443">
        <v>2.15</v>
      </c>
      <c r="E8" s="492">
        <v>0.63</v>
      </c>
      <c r="F8" s="442" t="s">
        <v>700</v>
      </c>
      <c r="J8" s="437" t="s">
        <v>357</v>
      </c>
      <c r="K8" s="437" t="s">
        <v>358</v>
      </c>
      <c r="L8" s="438">
        <v>20.0</v>
      </c>
    </row>
    <row r="9" ht="22.5" customHeight="1">
      <c r="B9" s="433" t="s">
        <v>251</v>
      </c>
      <c r="C9" s="491">
        <v>12.9</v>
      </c>
      <c r="D9" s="435">
        <v>2.17</v>
      </c>
      <c r="E9" s="490">
        <v>0.596481120606119</v>
      </c>
      <c r="F9" s="436" t="s">
        <v>699</v>
      </c>
      <c r="J9" s="437" t="s">
        <v>357</v>
      </c>
      <c r="K9" s="437" t="s">
        <v>363</v>
      </c>
      <c r="L9" s="438">
        <v>13.0</v>
      </c>
    </row>
    <row r="10" ht="22.5" customHeight="1">
      <c r="B10" s="433" t="s">
        <v>252</v>
      </c>
      <c r="C10" s="493" t="s">
        <v>784</v>
      </c>
      <c r="D10" s="435"/>
      <c r="E10" s="445"/>
      <c r="J10" s="437" t="s">
        <v>357</v>
      </c>
      <c r="K10" s="437" t="s">
        <v>375</v>
      </c>
      <c r="L10" s="438">
        <v>13.0</v>
      </c>
    </row>
    <row r="11" ht="22.5" customHeight="1">
      <c r="B11" s="433" t="s">
        <v>253</v>
      </c>
      <c r="C11" s="491">
        <v>11.9</v>
      </c>
      <c r="D11" s="435">
        <v>2.21</v>
      </c>
      <c r="E11" s="490">
        <v>0.5756309523809524</v>
      </c>
      <c r="F11" s="436" t="s">
        <v>701</v>
      </c>
      <c r="J11" s="437" t="s">
        <v>357</v>
      </c>
      <c r="K11" s="437" t="s">
        <v>367</v>
      </c>
      <c r="L11" s="438">
        <v>1.0</v>
      </c>
    </row>
    <row r="12" ht="22.5" customHeight="1">
      <c r="B12" s="433" t="s">
        <v>254</v>
      </c>
      <c r="C12" s="493">
        <v>11.9</v>
      </c>
      <c r="D12" s="435">
        <v>2.22</v>
      </c>
      <c r="E12" s="490">
        <v>0.5746002801120448</v>
      </c>
      <c r="F12" s="436" t="s">
        <v>701</v>
      </c>
      <c r="J12" s="437" t="s">
        <v>357</v>
      </c>
      <c r="K12" s="437" t="s">
        <v>386</v>
      </c>
      <c r="L12" s="438">
        <v>1.0</v>
      </c>
    </row>
    <row r="13" ht="22.5" customHeight="1">
      <c r="B13" s="494"/>
      <c r="C13" s="491" t="s">
        <v>784</v>
      </c>
      <c r="D13" s="435"/>
      <c r="E13" s="445"/>
      <c r="J13" s="437" t="s">
        <v>391</v>
      </c>
      <c r="K13" s="437" t="s">
        <v>404</v>
      </c>
      <c r="L13" s="438">
        <v>10.0</v>
      </c>
    </row>
    <row r="14" ht="22.5" customHeight="1">
      <c r="B14" s="433" t="s">
        <v>256</v>
      </c>
      <c r="C14" s="495">
        <v>9.9</v>
      </c>
      <c r="D14" s="435">
        <v>2.67</v>
      </c>
      <c r="E14" s="445">
        <v>58.05222304511278</v>
      </c>
      <c r="F14" s="436" t="s">
        <v>701</v>
      </c>
      <c r="J14" s="437" t="s">
        <v>391</v>
      </c>
      <c r="K14" s="437" t="s">
        <v>408</v>
      </c>
      <c r="L14" s="438">
        <v>7.0</v>
      </c>
    </row>
    <row r="15" ht="22.5" customHeight="1">
      <c r="J15" s="437" t="s">
        <v>391</v>
      </c>
      <c r="K15" s="437" t="s">
        <v>417</v>
      </c>
      <c r="L15" s="438">
        <v>6.0</v>
      </c>
    </row>
    <row r="16" ht="22.5" customHeight="1">
      <c r="J16" s="437" t="s">
        <v>391</v>
      </c>
      <c r="K16" s="437" t="s">
        <v>412</v>
      </c>
      <c r="L16" s="438">
        <v>2.0</v>
      </c>
    </row>
    <row r="17" ht="22.5" customHeight="1">
      <c r="J17" s="437" t="s">
        <v>391</v>
      </c>
      <c r="K17" s="437" t="s">
        <v>430</v>
      </c>
      <c r="L17" s="438">
        <v>2.0</v>
      </c>
    </row>
    <row r="18" ht="22.5" customHeight="1">
      <c r="B18" s="429" t="s">
        <v>702</v>
      </c>
      <c r="C18" s="430" t="s">
        <v>325</v>
      </c>
      <c r="D18" s="430" t="s">
        <v>696</v>
      </c>
      <c r="E18" s="429" t="s">
        <v>697</v>
      </c>
      <c r="F18" s="431" t="s">
        <v>704</v>
      </c>
      <c r="J18" s="437" t="s">
        <v>391</v>
      </c>
      <c r="K18" s="437" t="s">
        <v>397</v>
      </c>
      <c r="L18" s="438">
        <v>1.0</v>
      </c>
    </row>
    <row r="19" ht="22.5" customHeight="1">
      <c r="B19" s="441" t="s">
        <v>227</v>
      </c>
      <c r="C19" s="442">
        <v>6.9</v>
      </c>
      <c r="D19" s="443">
        <v>1.37</v>
      </c>
      <c r="E19" s="490">
        <v>0.5617372352285396</v>
      </c>
      <c r="F19" s="442" t="s">
        <v>700</v>
      </c>
      <c r="H19" s="496">
        <v>0.5617372352285396</v>
      </c>
      <c r="J19" s="437" t="s">
        <v>391</v>
      </c>
      <c r="K19" s="437" t="s">
        <v>426</v>
      </c>
      <c r="L19" s="438">
        <v>1.0</v>
      </c>
    </row>
    <row r="20" ht="22.5" customHeight="1">
      <c r="B20" s="433" t="s">
        <v>238</v>
      </c>
      <c r="C20" s="436">
        <v>9.2</v>
      </c>
      <c r="D20" s="435">
        <v>1.5</v>
      </c>
      <c r="E20" s="490">
        <v>0.6006978260869564</v>
      </c>
      <c r="F20" s="436" t="s">
        <v>699</v>
      </c>
      <c r="H20" s="497">
        <v>76.43</v>
      </c>
      <c r="J20" s="437" t="s">
        <v>296</v>
      </c>
      <c r="K20" s="437" t="s">
        <v>370</v>
      </c>
      <c r="L20" s="438">
        <v>68.0</v>
      </c>
    </row>
    <row r="21" ht="22.5" customHeight="1">
      <c r="B21" s="433" t="s">
        <v>233</v>
      </c>
      <c r="C21" s="436"/>
      <c r="D21" s="435">
        <v>1.52</v>
      </c>
      <c r="E21" s="498"/>
      <c r="F21" s="436" t="s">
        <v>699</v>
      </c>
      <c r="H21" s="497">
        <v>76.18</v>
      </c>
      <c r="J21" s="437" t="s">
        <v>296</v>
      </c>
      <c r="K21" s="437" t="s">
        <v>378</v>
      </c>
      <c r="L21" s="438">
        <v>61.0</v>
      </c>
    </row>
    <row r="22" ht="22.5" customHeight="1">
      <c r="B22" s="441" t="s">
        <v>231</v>
      </c>
      <c r="C22" s="442"/>
      <c r="D22" s="443">
        <v>1.53</v>
      </c>
      <c r="E22" s="492"/>
      <c r="F22" s="442" t="s">
        <v>700</v>
      </c>
      <c r="H22" s="497">
        <v>75.97414285714285</v>
      </c>
      <c r="J22" s="437" t="s">
        <v>298</v>
      </c>
      <c r="K22" s="437" t="s">
        <v>405</v>
      </c>
      <c r="L22" s="438">
        <v>30.0</v>
      </c>
    </row>
    <row r="23" ht="22.5" customHeight="1">
      <c r="B23" s="441" t="s">
        <v>232</v>
      </c>
      <c r="C23" s="442">
        <v>9.0</v>
      </c>
      <c r="D23" s="443">
        <v>1.82</v>
      </c>
      <c r="E23" s="499">
        <v>0.5570522222222222</v>
      </c>
      <c r="F23" s="442" t="s">
        <v>700</v>
      </c>
      <c r="H23" s="497">
        <v>74.918375</v>
      </c>
      <c r="J23" s="437" t="s">
        <v>298</v>
      </c>
      <c r="K23" s="437" t="s">
        <v>449</v>
      </c>
      <c r="L23" s="438">
        <v>11.0</v>
      </c>
    </row>
    <row r="24" ht="22.5" customHeight="1">
      <c r="B24" s="441" t="s">
        <v>237</v>
      </c>
      <c r="C24" s="442">
        <v>9.2</v>
      </c>
      <c r="D24" s="443">
        <v>1.57</v>
      </c>
      <c r="E24" s="492">
        <v>0.59</v>
      </c>
      <c r="F24" s="442" t="s">
        <v>700</v>
      </c>
      <c r="H24" s="497">
        <v>73.49841420118344</v>
      </c>
      <c r="J24" s="437" t="s">
        <v>296</v>
      </c>
      <c r="K24" s="437" t="s">
        <v>383</v>
      </c>
      <c r="L24" s="438">
        <v>59.0</v>
      </c>
    </row>
    <row r="25" ht="22.5" customHeight="1">
      <c r="B25" s="441" t="s">
        <v>235</v>
      </c>
      <c r="C25" s="442">
        <v>9.2</v>
      </c>
      <c r="D25" s="443">
        <v>1.57</v>
      </c>
      <c r="E25" s="492">
        <v>0.59</v>
      </c>
      <c r="F25" s="442" t="s">
        <v>700</v>
      </c>
      <c r="H25" s="497">
        <v>73.488</v>
      </c>
      <c r="J25" s="437" t="s">
        <v>296</v>
      </c>
      <c r="K25" s="437" t="s">
        <v>380</v>
      </c>
      <c r="L25" s="438">
        <v>59.0</v>
      </c>
    </row>
    <row r="26" ht="22.5" customHeight="1">
      <c r="B26" s="433" t="s">
        <v>228</v>
      </c>
      <c r="C26" s="436"/>
      <c r="D26" s="435">
        <v>1.31</v>
      </c>
      <c r="E26" s="498"/>
      <c r="F26" s="436" t="s">
        <v>699</v>
      </c>
      <c r="H26" s="497">
        <v>72.42</v>
      </c>
      <c r="J26" s="437" t="s">
        <v>294</v>
      </c>
      <c r="K26" s="437" t="s">
        <v>372</v>
      </c>
      <c r="L26" s="438">
        <v>58.0</v>
      </c>
    </row>
    <row r="27" ht="22.5" customHeight="1">
      <c r="B27" s="449" t="s">
        <v>229</v>
      </c>
      <c r="C27" s="453"/>
      <c r="D27" s="451">
        <v>1.33</v>
      </c>
      <c r="E27" s="500"/>
      <c r="F27" s="450" t="s">
        <v>709</v>
      </c>
      <c r="H27" s="501">
        <v>70.7682</v>
      </c>
      <c r="J27" s="437" t="s">
        <v>359</v>
      </c>
      <c r="K27" s="437" t="s">
        <v>427</v>
      </c>
      <c r="L27" s="438">
        <v>56.0</v>
      </c>
    </row>
    <row r="28" ht="22.5" customHeight="1">
      <c r="B28" s="433" t="s">
        <v>236</v>
      </c>
      <c r="C28" s="436">
        <v>8.2</v>
      </c>
      <c r="D28" s="435">
        <v>1.63</v>
      </c>
      <c r="E28" s="498">
        <v>0.56</v>
      </c>
      <c r="F28" s="436" t="s">
        <v>701</v>
      </c>
      <c r="H28" s="501">
        <v>70.1695</v>
      </c>
      <c r="J28" s="437" t="s">
        <v>298</v>
      </c>
      <c r="K28" s="437" t="s">
        <v>224</v>
      </c>
      <c r="L28" s="438">
        <v>11.0</v>
      </c>
    </row>
    <row r="29" ht="22.5" customHeight="1">
      <c r="B29" s="433" t="s">
        <v>226</v>
      </c>
      <c r="C29" s="436"/>
      <c r="D29" s="435">
        <v>1.37</v>
      </c>
      <c r="E29" s="498"/>
      <c r="F29" s="436" t="s">
        <v>701</v>
      </c>
      <c r="H29" s="497">
        <v>69.89</v>
      </c>
      <c r="J29" s="437" t="s">
        <v>298</v>
      </c>
      <c r="K29" s="437" t="s">
        <v>459</v>
      </c>
      <c r="L29" s="438">
        <v>10.0</v>
      </c>
    </row>
    <row r="30" ht="22.5" customHeight="1">
      <c r="B30" s="449" t="s">
        <v>225</v>
      </c>
      <c r="C30" s="453"/>
      <c r="D30" s="451">
        <v>1.27</v>
      </c>
      <c r="E30" s="500"/>
      <c r="F30" s="450" t="s">
        <v>709</v>
      </c>
      <c r="H30" s="501">
        <v>64.95625000000001</v>
      </c>
      <c r="J30" s="437" t="s">
        <v>297</v>
      </c>
      <c r="K30" s="437" t="s">
        <v>385</v>
      </c>
      <c r="L30" s="438">
        <v>54.0</v>
      </c>
    </row>
    <row r="31" ht="22.5" customHeight="1">
      <c r="B31" s="449" t="s">
        <v>224</v>
      </c>
      <c r="C31" s="453"/>
      <c r="D31" s="451">
        <v>1.34</v>
      </c>
      <c r="E31" s="500"/>
      <c r="F31" s="450" t="s">
        <v>709</v>
      </c>
      <c r="H31" s="501">
        <v>63.113749999999996</v>
      </c>
      <c r="J31" s="437" t="s">
        <v>297</v>
      </c>
      <c r="K31" s="437" t="s">
        <v>465</v>
      </c>
      <c r="L31" s="438">
        <v>29.0</v>
      </c>
    </row>
    <row r="32" ht="22.5" customHeight="1">
      <c r="B32" s="433" t="s">
        <v>230</v>
      </c>
      <c r="C32" s="436"/>
      <c r="D32" s="435">
        <v>1.34</v>
      </c>
      <c r="E32" s="498"/>
      <c r="F32" s="436" t="s">
        <v>701</v>
      </c>
      <c r="H32" s="497">
        <v>62.26</v>
      </c>
      <c r="J32" s="437" t="s">
        <v>297</v>
      </c>
      <c r="K32" s="437" t="s">
        <v>411</v>
      </c>
      <c r="L32" s="438">
        <v>21.0</v>
      </c>
    </row>
    <row r="33" ht="22.5" customHeight="1">
      <c r="B33" s="449" t="s">
        <v>710</v>
      </c>
      <c r="C33" s="453"/>
      <c r="D33" s="451">
        <v>1.4</v>
      </c>
      <c r="E33" s="500"/>
      <c r="F33" s="450" t="s">
        <v>709</v>
      </c>
      <c r="H33" s="501">
        <v>61.45</v>
      </c>
      <c r="J33" s="437" t="s">
        <v>297</v>
      </c>
      <c r="K33" s="437" t="s">
        <v>467</v>
      </c>
      <c r="L33" s="438">
        <v>6.0</v>
      </c>
    </row>
    <row r="34" ht="22.5" customHeight="1">
      <c r="B34" s="449" t="s">
        <v>223</v>
      </c>
      <c r="C34" s="450"/>
      <c r="D34" s="451">
        <v>1.4</v>
      </c>
      <c r="E34" s="502"/>
      <c r="F34" s="450" t="s">
        <v>709</v>
      </c>
      <c r="H34" s="497">
        <v>61.44</v>
      </c>
      <c r="J34" s="437" t="s">
        <v>439</v>
      </c>
      <c r="K34" s="437" t="s">
        <v>420</v>
      </c>
      <c r="L34" s="438"/>
    </row>
    <row r="35" ht="22.5" customHeight="1">
      <c r="B35" s="433" t="s">
        <v>785</v>
      </c>
      <c r="E35" s="490"/>
      <c r="J35" s="437" t="s">
        <v>439</v>
      </c>
      <c r="K35" s="437" t="s">
        <v>445</v>
      </c>
      <c r="L35" s="438">
        <v>30.0</v>
      </c>
    </row>
    <row r="36" ht="22.5" customHeight="1">
      <c r="B36" s="433" t="s">
        <v>786</v>
      </c>
      <c r="E36" s="490"/>
      <c r="J36" s="437" t="s">
        <v>439</v>
      </c>
      <c r="K36" s="437" t="s">
        <v>453</v>
      </c>
      <c r="L36" s="438">
        <v>26.0</v>
      </c>
    </row>
    <row r="37" ht="22.5" customHeight="1">
      <c r="B37" s="433" t="s">
        <v>787</v>
      </c>
      <c r="E37" s="490"/>
      <c r="J37" s="437" t="s">
        <v>439</v>
      </c>
      <c r="K37" s="437" t="s">
        <v>440</v>
      </c>
      <c r="L37" s="438">
        <v>25.0</v>
      </c>
    </row>
    <row r="38" ht="22.5" customHeight="1">
      <c r="B38" s="436" t="s">
        <v>708</v>
      </c>
      <c r="E38" s="490"/>
      <c r="J38" s="437" t="s">
        <v>439</v>
      </c>
      <c r="K38" s="437" t="s">
        <v>438</v>
      </c>
      <c r="L38" s="438">
        <v>22.0</v>
      </c>
    </row>
    <row r="39" ht="22.5" customHeight="1">
      <c r="E39" s="490"/>
      <c r="J39" s="437" t="s">
        <v>439</v>
      </c>
      <c r="K39" s="437" t="s">
        <v>487</v>
      </c>
      <c r="L39" s="438">
        <v>13.0</v>
      </c>
    </row>
    <row r="40" ht="22.5" customHeight="1">
      <c r="E40" s="490"/>
      <c r="J40" s="437" t="s">
        <v>295</v>
      </c>
      <c r="K40" s="437" t="s">
        <v>390</v>
      </c>
      <c r="L40" s="438">
        <v>26.0</v>
      </c>
    </row>
    <row r="41" ht="22.5" customHeight="1">
      <c r="E41" s="490"/>
      <c r="J41" s="437" t="s">
        <v>295</v>
      </c>
      <c r="K41" s="437" t="s">
        <v>416</v>
      </c>
      <c r="L41" s="438">
        <v>26.0</v>
      </c>
    </row>
    <row r="42" ht="22.5" customHeight="1">
      <c r="B42" s="436"/>
      <c r="E42" s="490"/>
      <c r="J42" s="437" t="s">
        <v>295</v>
      </c>
      <c r="K42" s="437" t="s">
        <v>455</v>
      </c>
      <c r="L42" s="438">
        <v>17.0</v>
      </c>
    </row>
    <row r="43" ht="22.5" customHeight="1">
      <c r="J43" s="437" t="s">
        <v>295</v>
      </c>
      <c r="K43" s="437" t="s">
        <v>443</v>
      </c>
      <c r="L43" s="438">
        <v>14.0</v>
      </c>
    </row>
    <row r="44" ht="22.5" customHeight="1">
      <c r="B44" s="429" t="s">
        <v>240</v>
      </c>
      <c r="C44" s="430" t="s">
        <v>325</v>
      </c>
      <c r="D44" s="430" t="s">
        <v>696</v>
      </c>
      <c r="E44" s="429" t="s">
        <v>697</v>
      </c>
      <c r="F44" s="431" t="s">
        <v>704</v>
      </c>
      <c r="J44" s="437" t="s">
        <v>295</v>
      </c>
      <c r="K44" s="437" t="s">
        <v>471</v>
      </c>
      <c r="L44" s="438">
        <v>10.0</v>
      </c>
    </row>
    <row r="45" ht="22.5" customHeight="1">
      <c r="B45" s="433" t="s">
        <v>711</v>
      </c>
      <c r="C45" s="445"/>
      <c r="D45" s="455">
        <v>2.13</v>
      </c>
      <c r="E45" s="456">
        <v>76.36379756468799</v>
      </c>
      <c r="H45" s="205"/>
      <c r="J45" s="437" t="s">
        <v>295</v>
      </c>
      <c r="K45" s="437" t="s">
        <v>495</v>
      </c>
      <c r="L45" s="438">
        <v>3.0</v>
      </c>
    </row>
    <row r="46" ht="22.5" customHeight="1">
      <c r="B46" s="441" t="s">
        <v>243</v>
      </c>
      <c r="C46" s="442">
        <v>9.9</v>
      </c>
      <c r="D46" s="443">
        <v>1.97</v>
      </c>
      <c r="E46" s="457">
        <v>56.0</v>
      </c>
      <c r="F46" s="442" t="s">
        <v>700</v>
      </c>
      <c r="J46" s="437" t="s">
        <v>293</v>
      </c>
      <c r="K46" s="437" t="s">
        <v>349</v>
      </c>
      <c r="L46" s="438">
        <v>142.0</v>
      </c>
    </row>
    <row r="47" ht="22.5" customHeight="1">
      <c r="B47" s="441" t="s">
        <v>244</v>
      </c>
      <c r="C47" s="442">
        <v>8.5</v>
      </c>
      <c r="D47" s="443">
        <v>2.01</v>
      </c>
      <c r="E47" s="457">
        <v>52.0</v>
      </c>
      <c r="F47" s="442" t="s">
        <v>700</v>
      </c>
      <c r="J47" s="437" t="s">
        <v>293</v>
      </c>
      <c r="K47" s="437" t="s">
        <v>352</v>
      </c>
      <c r="L47" s="438">
        <v>135.0</v>
      </c>
    </row>
    <row r="48" ht="22.5" customHeight="1">
      <c r="B48" s="458" t="s">
        <v>245</v>
      </c>
      <c r="C48" s="458"/>
      <c r="D48" s="458"/>
      <c r="E48" s="459"/>
      <c r="J48" s="437" t="s">
        <v>293</v>
      </c>
      <c r="K48" s="437" t="s">
        <v>356</v>
      </c>
      <c r="L48" s="438">
        <v>98.0</v>
      </c>
    </row>
    <row r="49" ht="22.5" customHeight="1">
      <c r="B49" s="433" t="s">
        <v>246</v>
      </c>
      <c r="C49" s="436">
        <v>11.9</v>
      </c>
      <c r="D49" s="435">
        <v>2.58</v>
      </c>
      <c r="E49" s="460">
        <v>59.0</v>
      </c>
      <c r="F49" s="436" t="s">
        <v>701</v>
      </c>
      <c r="J49" s="437" t="s">
        <v>293</v>
      </c>
      <c r="K49" s="437" t="s">
        <v>368</v>
      </c>
      <c r="L49" s="438">
        <v>88.0</v>
      </c>
    </row>
    <row r="50" ht="22.5" customHeight="1">
      <c r="B50" s="433" t="s">
        <v>242</v>
      </c>
      <c r="C50" s="455">
        <v>9.9</v>
      </c>
      <c r="D50" s="455">
        <v>2.02</v>
      </c>
      <c r="E50" s="460">
        <v>56.0</v>
      </c>
      <c r="J50" s="437" t="s">
        <v>293</v>
      </c>
      <c r="K50" s="437" t="s">
        <v>362</v>
      </c>
      <c r="L50" s="438">
        <v>86.0</v>
      </c>
    </row>
    <row r="51" ht="22.5" customHeight="1">
      <c r="J51" s="437" t="s">
        <v>293</v>
      </c>
      <c r="K51" s="437" t="s">
        <v>376</v>
      </c>
      <c r="L51" s="438">
        <v>65.0</v>
      </c>
    </row>
    <row r="52" ht="22.5" customHeight="1">
      <c r="B52" s="429" t="s">
        <v>258</v>
      </c>
      <c r="C52" s="431" t="s">
        <v>325</v>
      </c>
      <c r="D52" s="431" t="s">
        <v>696</v>
      </c>
      <c r="E52" s="431" t="s">
        <v>712</v>
      </c>
      <c r="F52" s="431" t="s">
        <v>713</v>
      </c>
      <c r="J52" s="437" t="s">
        <v>293</v>
      </c>
      <c r="K52" s="437" t="s">
        <v>400</v>
      </c>
      <c r="L52" s="438">
        <v>21.0</v>
      </c>
    </row>
    <row r="53" ht="22.5" customHeight="1">
      <c r="B53" s="441" t="s">
        <v>262</v>
      </c>
      <c r="C53" s="442">
        <v>6.5</v>
      </c>
      <c r="D53" s="443">
        <v>0.7</v>
      </c>
      <c r="E53" s="457">
        <v>66.0</v>
      </c>
      <c r="F53" s="442" t="s">
        <v>700</v>
      </c>
      <c r="J53" s="437" t="s">
        <v>293</v>
      </c>
      <c r="K53" s="437" t="s">
        <v>433</v>
      </c>
      <c r="L53" s="438">
        <v>20.0</v>
      </c>
    </row>
    <row r="54" ht="22.5" customHeight="1">
      <c r="B54" s="441" t="s">
        <v>263</v>
      </c>
      <c r="C54" s="442">
        <v>7.5</v>
      </c>
      <c r="D54" s="443">
        <v>0.98</v>
      </c>
      <c r="E54" s="457">
        <v>64.0</v>
      </c>
      <c r="F54" s="442" t="s">
        <v>700</v>
      </c>
      <c r="J54" s="437" t="s">
        <v>293</v>
      </c>
      <c r="K54" s="437" t="s">
        <v>514</v>
      </c>
      <c r="L54" s="438">
        <v>19.0</v>
      </c>
    </row>
    <row r="55" ht="22.5" customHeight="1">
      <c r="B55" s="441" t="s">
        <v>260</v>
      </c>
      <c r="C55" s="442">
        <v>6.5</v>
      </c>
      <c r="D55" s="443">
        <v>1.56</v>
      </c>
      <c r="E55" s="457">
        <v>52.0</v>
      </c>
      <c r="F55" s="442" t="s">
        <v>700</v>
      </c>
      <c r="J55" s="437" t="s">
        <v>359</v>
      </c>
      <c r="K55" s="437" t="s">
        <v>418</v>
      </c>
      <c r="L55" s="438">
        <v>74.0</v>
      </c>
    </row>
    <row r="56" ht="22.5" customHeight="1">
      <c r="B56" s="449" t="s">
        <v>261</v>
      </c>
      <c r="C56" s="450">
        <v>7.8</v>
      </c>
      <c r="D56" s="451">
        <v>1.83</v>
      </c>
      <c r="E56" s="452">
        <v>52.0</v>
      </c>
      <c r="F56" s="450" t="s">
        <v>709</v>
      </c>
      <c r="J56" s="437" t="s">
        <v>359</v>
      </c>
      <c r="K56" s="437" t="s">
        <v>484</v>
      </c>
      <c r="L56" s="438">
        <v>71.0</v>
      </c>
    </row>
    <row r="57" ht="22.5" customHeight="1">
      <c r="B57" s="449" t="s">
        <v>259</v>
      </c>
      <c r="C57" s="450" t="s">
        <v>788</v>
      </c>
      <c r="D57" s="451">
        <v>2.42</v>
      </c>
      <c r="E57" s="452">
        <v>40.0</v>
      </c>
      <c r="F57" s="450" t="s">
        <v>709</v>
      </c>
      <c r="J57" s="437" t="s">
        <v>359</v>
      </c>
      <c r="K57" s="437" t="s">
        <v>470</v>
      </c>
      <c r="L57" s="438">
        <v>52.0</v>
      </c>
    </row>
    <row r="58" ht="22.5" customHeight="1">
      <c r="B58" s="433" t="s">
        <v>714</v>
      </c>
      <c r="C58" s="436">
        <v>7.0</v>
      </c>
      <c r="D58" s="435">
        <v>2.81</v>
      </c>
      <c r="E58" s="455">
        <v>34.0</v>
      </c>
      <c r="F58" s="436" t="s">
        <v>701</v>
      </c>
      <c r="J58" s="437" t="s">
        <v>359</v>
      </c>
      <c r="K58" s="437" t="s">
        <v>715</v>
      </c>
      <c r="L58" s="438">
        <v>50.0</v>
      </c>
      <c r="N58" s="177">
        <f>L50+L56</f>
        <v>157</v>
      </c>
    </row>
    <row r="59" ht="22.5" customHeight="1">
      <c r="J59" s="437" t="s">
        <v>359</v>
      </c>
      <c r="K59" s="437" t="s">
        <v>360</v>
      </c>
      <c r="L59" s="438">
        <v>47.0</v>
      </c>
    </row>
    <row r="60" ht="22.5" customHeight="1">
      <c r="J60" s="437" t="s">
        <v>359</v>
      </c>
      <c r="K60" s="437" t="s">
        <v>356</v>
      </c>
      <c r="L60" s="438">
        <v>43.0</v>
      </c>
    </row>
    <row r="61" ht="22.5" customHeight="1">
      <c r="B61" s="429" t="s">
        <v>716</v>
      </c>
      <c r="C61" s="431" t="s">
        <v>703</v>
      </c>
      <c r="D61" s="431" t="s">
        <v>696</v>
      </c>
      <c r="E61" s="431" t="s">
        <v>712</v>
      </c>
      <c r="F61" s="431" t="s">
        <v>713</v>
      </c>
      <c r="J61" s="437" t="s">
        <v>359</v>
      </c>
      <c r="K61" s="437" t="s">
        <v>364</v>
      </c>
      <c r="L61" s="438">
        <v>41.0</v>
      </c>
    </row>
    <row r="62" ht="22.5" customHeight="1">
      <c r="B62" s="433" t="s">
        <v>717</v>
      </c>
      <c r="E62" s="445">
        <v>81.12259803921569</v>
      </c>
      <c r="J62" s="437" t="s">
        <v>359</v>
      </c>
      <c r="K62" s="437" t="s">
        <v>447</v>
      </c>
      <c r="L62" s="438">
        <v>19.0</v>
      </c>
    </row>
    <row r="63" ht="22.5" customHeight="1">
      <c r="B63" s="461"/>
      <c r="E63" s="445"/>
      <c r="J63" s="437" t="s">
        <v>359</v>
      </c>
      <c r="K63" s="437" t="s">
        <v>250</v>
      </c>
      <c r="L63" s="438">
        <v>17.0</v>
      </c>
    </row>
    <row r="64" ht="22.5" customHeight="1">
      <c r="J64" s="437" t="s">
        <v>359</v>
      </c>
      <c r="K64" s="437" t="s">
        <v>499</v>
      </c>
      <c r="L64" s="438">
        <v>16.0</v>
      </c>
    </row>
    <row r="65" ht="22.5" customHeight="1">
      <c r="J65" s="437" t="s">
        <v>359</v>
      </c>
      <c r="K65" s="437" t="s">
        <v>519</v>
      </c>
      <c r="L65" s="438">
        <v>11.0</v>
      </c>
    </row>
    <row r="66" ht="22.5" customHeight="1">
      <c r="J66" s="437" t="s">
        <v>359</v>
      </c>
      <c r="K66" s="437" t="s">
        <v>468</v>
      </c>
      <c r="L66" s="438">
        <v>8.0</v>
      </c>
    </row>
    <row r="67" ht="22.5" customHeight="1">
      <c r="J67" s="437" t="s">
        <v>422</v>
      </c>
      <c r="K67" s="437" t="s">
        <v>500</v>
      </c>
      <c r="L67" s="438">
        <v>63.0</v>
      </c>
    </row>
    <row r="68" ht="22.5" customHeight="1">
      <c r="B68" s="429" t="s">
        <v>266</v>
      </c>
      <c r="C68" s="430" t="s">
        <v>325</v>
      </c>
      <c r="D68" s="431" t="s">
        <v>696</v>
      </c>
      <c r="E68" s="431" t="s">
        <v>712</v>
      </c>
      <c r="F68" s="431" t="s">
        <v>713</v>
      </c>
      <c r="J68" s="437" t="s">
        <v>422</v>
      </c>
      <c r="K68" s="437" t="s">
        <v>474</v>
      </c>
      <c r="L68" s="438">
        <v>47.0</v>
      </c>
    </row>
    <row r="69" ht="22.5" customHeight="1">
      <c r="B69" s="433" t="s">
        <v>267</v>
      </c>
      <c r="C69" s="436">
        <v>8.0</v>
      </c>
      <c r="E69" s="445"/>
      <c r="J69" s="437" t="s">
        <v>422</v>
      </c>
      <c r="K69" s="437" t="s">
        <v>452</v>
      </c>
      <c r="L69" s="438">
        <v>40.0</v>
      </c>
    </row>
    <row r="70" ht="22.5" customHeight="1">
      <c r="B70" s="433" t="s">
        <v>268</v>
      </c>
      <c r="C70" s="436">
        <v>8.0</v>
      </c>
      <c r="D70" s="436">
        <v>4.3</v>
      </c>
      <c r="E70" s="490">
        <v>0.18874999999999997</v>
      </c>
      <c r="F70" s="445"/>
      <c r="J70" s="437" t="s">
        <v>422</v>
      </c>
      <c r="K70" s="437" t="s">
        <v>423</v>
      </c>
      <c r="L70" s="438">
        <v>31.0</v>
      </c>
    </row>
    <row r="71" ht="22.5" customHeight="1">
      <c r="B71" s="503" t="s">
        <v>269</v>
      </c>
      <c r="C71" s="504">
        <v>8.0</v>
      </c>
      <c r="D71" s="505">
        <v>4.3</v>
      </c>
      <c r="E71" s="506">
        <v>0.18874999999999997</v>
      </c>
      <c r="F71" s="507"/>
      <c r="J71" s="437" t="s">
        <v>422</v>
      </c>
      <c r="K71" s="437" t="s">
        <v>538</v>
      </c>
      <c r="L71" s="438">
        <v>17.0</v>
      </c>
    </row>
    <row r="72" ht="22.5" customHeight="1">
      <c r="B72" s="503"/>
      <c r="C72" s="504"/>
      <c r="D72" s="505"/>
      <c r="E72" s="506"/>
      <c r="F72" s="507"/>
      <c r="J72" s="437"/>
      <c r="K72" s="437"/>
      <c r="L72" s="438"/>
    </row>
    <row r="73" ht="22.5" customHeight="1">
      <c r="J73" s="437" t="s">
        <v>422</v>
      </c>
      <c r="K73" s="437" t="s">
        <v>497</v>
      </c>
      <c r="L73" s="438">
        <v>17.0</v>
      </c>
    </row>
    <row r="74" ht="22.5" customHeight="1">
      <c r="B74" s="462" t="s">
        <v>718</v>
      </c>
      <c r="C74" s="431" t="s">
        <v>703</v>
      </c>
      <c r="D74" s="431" t="s">
        <v>696</v>
      </c>
      <c r="E74" s="431" t="s">
        <v>712</v>
      </c>
      <c r="F74" s="431" t="s">
        <v>719</v>
      </c>
      <c r="J74" s="437" t="s">
        <v>422</v>
      </c>
      <c r="K74" s="437" t="s">
        <v>720</v>
      </c>
      <c r="L74" s="438">
        <v>6.0</v>
      </c>
    </row>
    <row r="75" ht="22.5" customHeight="1">
      <c r="B75" s="461" t="s">
        <v>721</v>
      </c>
      <c r="C75" s="436">
        <v>1.6</v>
      </c>
      <c r="D75" s="463">
        <v>0.13</v>
      </c>
      <c r="E75" s="490">
        <v>0.6929427845346493</v>
      </c>
      <c r="J75" s="437" t="s">
        <v>395</v>
      </c>
      <c r="K75" s="437" t="s">
        <v>396</v>
      </c>
      <c r="L75" s="438">
        <v>39.0</v>
      </c>
    </row>
    <row r="76" ht="22.5" customHeight="1">
      <c r="B76" s="461" t="s">
        <v>722</v>
      </c>
      <c r="C76" s="436">
        <v>1.8</v>
      </c>
      <c r="D76" s="463">
        <v>0.16</v>
      </c>
      <c r="E76" s="490">
        <v>0.6815397632257935</v>
      </c>
      <c r="F76" s="436" t="s">
        <v>789</v>
      </c>
      <c r="J76" s="437" t="s">
        <v>395</v>
      </c>
      <c r="K76" s="437" t="s">
        <v>436</v>
      </c>
      <c r="L76" s="438">
        <v>19.0</v>
      </c>
    </row>
    <row r="77" ht="22.5" customHeight="1">
      <c r="B77" s="461" t="s">
        <v>723</v>
      </c>
      <c r="C77" s="436">
        <v>1.2</v>
      </c>
      <c r="D77" s="463">
        <v>0.1</v>
      </c>
      <c r="E77" s="490">
        <v>0.6842951812172833</v>
      </c>
      <c r="F77" s="455" t="s">
        <v>790</v>
      </c>
      <c r="J77" s="437" t="s">
        <v>395</v>
      </c>
      <c r="K77" s="437" t="s">
        <v>464</v>
      </c>
      <c r="L77" s="438">
        <v>15.0</v>
      </c>
    </row>
    <row r="78" ht="22.5" customHeight="1">
      <c r="B78" s="461" t="s">
        <v>724</v>
      </c>
      <c r="C78" s="436">
        <v>2.0</v>
      </c>
      <c r="D78" s="463">
        <v>0.26</v>
      </c>
      <c r="E78" s="490">
        <v>0.6355425</v>
      </c>
      <c r="J78" s="437" t="s">
        <v>395</v>
      </c>
      <c r="K78" s="437" t="s">
        <v>525</v>
      </c>
      <c r="L78" s="438">
        <v>8.0</v>
      </c>
    </row>
    <row r="79" ht="22.5" customHeight="1">
      <c r="B79" s="461" t="s">
        <v>211</v>
      </c>
      <c r="C79" s="436">
        <v>2.0</v>
      </c>
      <c r="D79" s="463">
        <v>0.32</v>
      </c>
      <c r="E79" s="490">
        <v>0.6201174999999999</v>
      </c>
      <c r="J79" s="437" t="s">
        <v>395</v>
      </c>
      <c r="K79" s="437" t="s">
        <v>425</v>
      </c>
      <c r="L79" s="438">
        <v>3.0</v>
      </c>
    </row>
    <row r="80" ht="22.5" customHeight="1">
      <c r="B80" s="461" t="s">
        <v>208</v>
      </c>
      <c r="C80" s="436">
        <v>2.3</v>
      </c>
      <c r="D80" s="463">
        <v>0.58</v>
      </c>
      <c r="E80" s="490">
        <v>0.5038276057176889</v>
      </c>
      <c r="J80" s="437" t="s">
        <v>480</v>
      </c>
      <c r="K80" s="437" t="s">
        <v>481</v>
      </c>
      <c r="L80" s="438">
        <v>26.0</v>
      </c>
    </row>
    <row r="81" ht="22.5" customHeight="1">
      <c r="B81" s="461" t="s">
        <v>210</v>
      </c>
      <c r="C81" s="436">
        <v>1.2</v>
      </c>
      <c r="D81" s="463">
        <v>0.15</v>
      </c>
      <c r="E81" s="490">
        <v>0.6424368243243243</v>
      </c>
      <c r="F81" s="445"/>
      <c r="J81" s="437" t="s">
        <v>413</v>
      </c>
      <c r="K81" s="437" t="s">
        <v>414</v>
      </c>
      <c r="L81" s="438">
        <v>345.0</v>
      </c>
    </row>
    <row r="82" ht="22.5" customHeight="1">
      <c r="B82" s="461" t="s">
        <v>725</v>
      </c>
      <c r="C82" s="436">
        <v>1.2</v>
      </c>
      <c r="D82" s="463">
        <v>0.18</v>
      </c>
      <c r="E82" s="490"/>
      <c r="F82" s="455" t="s">
        <v>791</v>
      </c>
      <c r="J82" s="437" t="s">
        <v>413</v>
      </c>
      <c r="K82" s="437" t="s">
        <v>529</v>
      </c>
      <c r="L82" s="438">
        <v>9.0</v>
      </c>
    </row>
    <row r="83" ht="22.5" customHeight="1">
      <c r="B83" s="461" t="s">
        <v>726</v>
      </c>
      <c r="C83" s="436">
        <v>1.2</v>
      </c>
      <c r="D83" s="463">
        <v>0.18</v>
      </c>
      <c r="E83" s="445"/>
      <c r="F83" s="436" t="s">
        <v>791</v>
      </c>
      <c r="J83" s="437" t="s">
        <v>413</v>
      </c>
      <c r="K83" s="437" t="s">
        <v>509</v>
      </c>
      <c r="L83" s="438">
        <v>8.0</v>
      </c>
    </row>
    <row r="84" ht="22.5" customHeight="1">
      <c r="B84" s="461" t="s">
        <v>727</v>
      </c>
      <c r="C84" s="436">
        <v>1.2</v>
      </c>
      <c r="D84" s="463">
        <v>0.19</v>
      </c>
      <c r="E84" s="490">
        <v>0.6059452404921699</v>
      </c>
      <c r="F84" s="445"/>
      <c r="J84" s="437" t="s">
        <v>294</v>
      </c>
      <c r="K84" s="437" t="s">
        <v>354</v>
      </c>
      <c r="L84" s="438">
        <v>227.0</v>
      </c>
    </row>
    <row r="85" ht="22.5" customHeight="1">
      <c r="B85" s="461" t="s">
        <v>728</v>
      </c>
      <c r="C85" s="436">
        <v>1.2</v>
      </c>
      <c r="D85" s="463">
        <v>0.19</v>
      </c>
      <c r="E85" s="490">
        <v>0.6041130153508771</v>
      </c>
      <c r="F85" s="445"/>
      <c r="J85" s="437" t="s">
        <v>294</v>
      </c>
      <c r="K85" s="437" t="s">
        <v>374</v>
      </c>
      <c r="L85" s="438">
        <v>60.0</v>
      </c>
    </row>
    <row r="86" ht="22.5" customHeight="1">
      <c r="J86" s="437" t="s">
        <v>294</v>
      </c>
      <c r="K86" s="437" t="s">
        <v>393</v>
      </c>
      <c r="L86" s="438">
        <v>39.0</v>
      </c>
    </row>
    <row r="87" ht="22.5" customHeight="1">
      <c r="J87" s="437" t="s">
        <v>284</v>
      </c>
      <c r="K87" s="437" t="s">
        <v>409</v>
      </c>
      <c r="L87" s="438">
        <v>100.0</v>
      </c>
      <c r="N87" s="177">
        <f>L92+L32</f>
        <v>47</v>
      </c>
    </row>
    <row r="88" ht="22.5" customHeight="1">
      <c r="J88" s="437" t="s">
        <v>284</v>
      </c>
      <c r="K88" s="437" t="s">
        <v>460</v>
      </c>
      <c r="L88" s="438">
        <v>97.0</v>
      </c>
    </row>
    <row r="89" ht="22.5" customHeight="1">
      <c r="J89" s="437" t="s">
        <v>284</v>
      </c>
      <c r="K89" s="437" t="s">
        <v>435</v>
      </c>
      <c r="L89" s="438">
        <v>72.0</v>
      </c>
    </row>
    <row r="90" ht="22.5" customHeight="1">
      <c r="J90" s="437" t="s">
        <v>284</v>
      </c>
      <c r="K90" s="437" t="s">
        <v>493</v>
      </c>
      <c r="L90" s="438">
        <v>45.0</v>
      </c>
    </row>
    <row r="91" ht="22.5" customHeight="1">
      <c r="J91" s="437" t="s">
        <v>284</v>
      </c>
      <c r="K91" s="437" t="s">
        <v>462</v>
      </c>
      <c r="L91" s="438">
        <v>45.0</v>
      </c>
    </row>
    <row r="92" ht="22.5" customHeight="1">
      <c r="J92" s="437" t="s">
        <v>284</v>
      </c>
      <c r="K92" s="437" t="s">
        <v>503</v>
      </c>
      <c r="L92" s="438">
        <v>26.0</v>
      </c>
    </row>
    <row r="93" ht="22.5" customHeight="1">
      <c r="J93" s="437" t="s">
        <v>284</v>
      </c>
      <c r="K93" s="437" t="s">
        <v>506</v>
      </c>
      <c r="L93" s="438">
        <v>10.0</v>
      </c>
    </row>
    <row r="94" ht="22.5" customHeight="1">
      <c r="J94" s="437" t="s">
        <v>284</v>
      </c>
      <c r="K94" s="437" t="s">
        <v>464</v>
      </c>
      <c r="L94" s="438">
        <v>7.0</v>
      </c>
    </row>
    <row r="95" ht="22.5" customHeight="1">
      <c r="J95" s="437" t="s">
        <v>284</v>
      </c>
      <c r="K95" s="437" t="s">
        <v>425</v>
      </c>
      <c r="L95" s="438">
        <v>4.0</v>
      </c>
    </row>
    <row r="96" ht="22.5" customHeight="1">
      <c r="J96" s="437" t="s">
        <v>515</v>
      </c>
      <c r="K96" s="437" t="s">
        <v>516</v>
      </c>
      <c r="L96" s="438">
        <v>12.0</v>
      </c>
    </row>
    <row r="97" ht="22.5" customHeight="1">
      <c r="J97" s="437" t="s">
        <v>515</v>
      </c>
      <c r="K97" s="437" t="s">
        <v>535</v>
      </c>
      <c r="L97" s="438">
        <v>8.0</v>
      </c>
    </row>
    <row r="98" ht="22.5" customHeight="1">
      <c r="J98" s="437" t="s">
        <v>515</v>
      </c>
      <c r="K98" s="437" t="s">
        <v>533</v>
      </c>
      <c r="L98" s="438">
        <v>6.0</v>
      </c>
    </row>
    <row r="99" ht="22.5" customHeight="1">
      <c r="J99" s="437" t="s">
        <v>515</v>
      </c>
      <c r="K99" s="437" t="s">
        <v>729</v>
      </c>
      <c r="L99" s="438">
        <v>3.0</v>
      </c>
    </row>
    <row r="100" ht="22.5" customHeight="1">
      <c r="J100" s="437" t="s">
        <v>515</v>
      </c>
      <c r="K100" s="437" t="s">
        <v>558</v>
      </c>
      <c r="L100" s="438">
        <v>2.0</v>
      </c>
    </row>
    <row r="101" ht="22.5" customHeight="1">
      <c r="J101" s="437" t="s">
        <v>515</v>
      </c>
      <c r="K101" s="437" t="s">
        <v>551</v>
      </c>
      <c r="L101" s="438">
        <v>2.0</v>
      </c>
    </row>
    <row r="102" ht="22.5" customHeight="1">
      <c r="J102" s="437" t="s">
        <v>515</v>
      </c>
      <c r="K102" s="437" t="s">
        <v>545</v>
      </c>
      <c r="L102" s="438">
        <v>1.0</v>
      </c>
    </row>
    <row r="103" ht="22.5" customHeight="1">
      <c r="J103" s="437" t="s">
        <v>522</v>
      </c>
      <c r="K103" s="437" t="s">
        <v>523</v>
      </c>
      <c r="L103" s="438">
        <v>19.0</v>
      </c>
    </row>
    <row r="104" ht="22.5" customHeight="1">
      <c r="J104" s="437" t="s">
        <v>522</v>
      </c>
      <c r="K104" s="437" t="s">
        <v>530</v>
      </c>
      <c r="L104" s="438">
        <v>10.0</v>
      </c>
    </row>
    <row r="105" ht="22.5" customHeight="1">
      <c r="J105" s="437" t="s">
        <v>522</v>
      </c>
      <c r="K105" s="437" t="s">
        <v>544</v>
      </c>
      <c r="L105" s="438">
        <v>7.0</v>
      </c>
    </row>
    <row r="106" ht="22.5" customHeight="1">
      <c r="J106" s="437" t="s">
        <v>522</v>
      </c>
      <c r="K106" s="437" t="s">
        <v>540</v>
      </c>
      <c r="L106" s="438">
        <v>4.0</v>
      </c>
    </row>
  </sheetData>
  <dataValidations>
    <dataValidation type="custom" allowBlank="1" showDropDown="1" sqref="E19:E42 E45:E50 D75:D85">
      <formula1>AND(ISNUMBER(D19),(NOT(OR(NOT(ISERROR(DATEVALUE(D19))), AND(ISNUMBER(D19), LEFT(CELL("format", D19))="D")))))</formula1>
    </dataValidation>
  </dataValidations>
  <hyperlinks>
    <hyperlink display="CRUJIPOLLO BBQ" location="null!A1" ref="B6"/>
    <hyperlink display="CRUJIPOLLO ORIGINAL " location="null!A1" ref="B7"/>
    <hyperlink display="MAKA" location="null!A1" ref="B8"/>
    <hyperlink display="BICHOTA" location="null!A1" ref="B9"/>
    <hyperlink display="DADDY" location="null!A1" ref="B10"/>
    <hyperlink display="DOBLE QUESOS" location="BURGERS!A1" ref="B11"/>
    <hyperlink display="CERO15" location="null!A1" ref="B12"/>
    <hyperlink display="BARRIERA" location="null!A1" ref="B14"/>
    <hyperlink display="VEGETAL POLLO ASADO" location="null!A1" ref="B19"/>
    <hyperlink display="SERRANO SOLOMILLO" location="null!A1" ref="B20"/>
    <hyperlink display="GUARRITO" location="null!A1" ref="B21"/>
    <hyperlink display="CRISTIAN" location="null!A1" ref="B22"/>
    <hyperlink display="JAKINIÑO" location="null!A1" ref="B23"/>
    <hyperlink display="SERRANO POLLO ASADO" location="null!A1" ref="B24"/>
    <hyperlink display="SERRANO EMPANADO" location="null!A1" ref="B25"/>
    <hyperlink display="VEGETAL EMPANADO" location="null!A1" ref="B26"/>
    <hyperlink display="VEGETAL ATUN" location="null!A1" ref="B27"/>
    <hyperlink display="SERRANO POLLO" location="SERRANOS!A1" ref="B28"/>
    <hyperlink display="VEGETAL POLLO" location="null!A1" ref="B29"/>
    <hyperlink display="SIMPLE SOLOMILO" location="null!A1" ref="B30"/>
    <hyperlink display="SIMPLE EMPANADO" location="null!A1" ref="B31"/>
    <hyperlink display="BARBARA" location="null!A1" ref="B32"/>
    <hyperlink display="SIMPLE POLLO" location="BOCATAS!A1" ref="B33"/>
    <hyperlink display="SIMPLE ASADO" location="null!A1" ref="B34"/>
    <hyperlink display="SERRANO POLLO + 3 Q" location="SERRANOS!A1" ref="B35"/>
    <hyperlink display="SERRANO POLLO ASADO + 3 Q" location="null!A1" ref="B36"/>
    <hyperlink display="SERRANO EMPANADO + 3 Q" location="null!A1" ref="B37"/>
    <hyperlink display="NAVIDAD" location="null!A1" ref="B45"/>
    <hyperlink display="GYPSY" location="null!A1" ref="B46"/>
    <hyperlink display="CHICKEN FRIED" location="'BRIOCH-SUBS'!A1" ref="B47"/>
    <hyperlink display="SMASH SERRANO" location="null!A1" ref="B49"/>
    <hyperlink display="CESAR BRIOCHE " location="null!A1" ref="B50"/>
    <hyperlink display="BOX PATATAS" location="null!A1" ref="B53"/>
    <hyperlink display="BOX PAPAS PULLED PORK " location="null!A1" ref="B54"/>
    <hyperlink display="BOX LAGRIMITAS" location="null!A1" ref="B55"/>
    <hyperlink display="BOX NUGGETS" location="ENTRANTES!A1" ref="B56"/>
    <hyperlink display="BOX ALITAS" location="null!A1" ref="B57"/>
    <hyperlink display="BOX TEKILLOS " location="null!A1" ref="B58"/>
    <hyperlink display="CARTUCHO PATATAS EXTRA" location="null!A1" ref="B62"/>
    <hyperlink display="TARTA LOTUS" location="POSTRES!A1" ref="B69"/>
    <hyperlink display="TARTA QUESO" location="POSTRES!A1" ref="B70"/>
    <hyperlink display="TARROS SALSAS" location="'TARROS SALSA'!A1" ref="B74"/>
  </hyperlink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26.5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38"/>
  </cols>
  <sheetData>
    <row r="1" ht="15.75" customHeight="1">
      <c r="A1" s="230"/>
      <c r="B1" s="508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509" t="s">
        <v>792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0"/>
      <c r="B3" s="510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511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315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L5" s="251"/>
      <c r="M5" s="251"/>
    </row>
    <row r="6" ht="15.75" customHeight="1">
      <c r="A6" s="252"/>
      <c r="B6" s="512" t="str">
        <f t="array" ref="B6">+XLOOKUP(C6,'Base de datos'!C:C,'Base de datos'!A:A,"",FALSE)</f>
        <v/>
      </c>
      <c r="C6" s="254" t="s">
        <v>793</v>
      </c>
      <c r="D6" s="255" t="s">
        <v>14</v>
      </c>
      <c r="E6" s="256">
        <f t="array" ref="E6">+XLOOKUP(B6,'Base de datos'!A:A,'Base de datos'!H:H,0)</f>
        <v>0</v>
      </c>
      <c r="F6" s="257">
        <v>0.15</v>
      </c>
      <c r="G6" s="257">
        <v>0.142</v>
      </c>
      <c r="H6" s="258">
        <f t="shared" ref="H6:H12" si="1">IFERROR(1-G6/F6,"")</f>
        <v>0.05333333333</v>
      </c>
      <c r="I6" s="256">
        <f t="shared" ref="I6:I12" si="2">IFERROR(E6*F6,"")</f>
        <v>0</v>
      </c>
      <c r="J6" s="241"/>
      <c r="K6" s="259" t="s">
        <v>324</v>
      </c>
      <c r="L6" s="260">
        <f>SUM(I6:I12)</f>
        <v>0.00197044335</v>
      </c>
      <c r="M6" s="261"/>
    </row>
    <row r="7" ht="15.75" customHeight="1">
      <c r="A7" s="252"/>
      <c r="B7" s="513" t="str">
        <f>K25</f>
        <v>E.1</v>
      </c>
      <c r="C7" s="262" t="str">
        <f>C25</f>
        <v>Pesto casero (M&amp;P)</v>
      </c>
      <c r="D7" s="263" t="s">
        <v>14</v>
      </c>
      <c r="E7" s="264">
        <f>K31</f>
        <v>0.09852216749</v>
      </c>
      <c r="F7" s="265">
        <v>0.02</v>
      </c>
      <c r="G7" s="265">
        <v>0.02</v>
      </c>
      <c r="H7" s="266">
        <f t="shared" si="1"/>
        <v>0</v>
      </c>
      <c r="I7" s="264">
        <f t="shared" si="2"/>
        <v>0.00197044335</v>
      </c>
      <c r="J7" s="241"/>
      <c r="K7" s="267" t="s">
        <v>325</v>
      </c>
      <c r="L7" s="514">
        <v>9.0</v>
      </c>
      <c r="M7" s="261"/>
    </row>
    <row r="8" ht="15.75" customHeight="1">
      <c r="A8" s="252"/>
      <c r="B8" s="512" t="str">
        <f t="array" ref="B8">+XLOOKUP(C8,'Base de datos'!C:C,'Base de datos'!A:A,"",FALSE)</f>
        <v/>
      </c>
      <c r="C8" s="254" t="s">
        <v>794</v>
      </c>
      <c r="D8" s="255" t="s">
        <v>14</v>
      </c>
      <c r="E8" s="256">
        <f t="array" ref="E8">+XLOOKUP(B8,'Base de datos'!A:A,'Base de datos'!H:H,0)</f>
        <v>0</v>
      </c>
      <c r="F8" s="257">
        <v>0.1</v>
      </c>
      <c r="G8" s="257">
        <v>0.1</v>
      </c>
      <c r="H8" s="258">
        <f t="shared" si="1"/>
        <v>0</v>
      </c>
      <c r="I8" s="256">
        <f t="shared" si="2"/>
        <v>0</v>
      </c>
      <c r="J8" s="241"/>
      <c r="K8" s="272" t="s">
        <v>326</v>
      </c>
      <c r="L8" s="273">
        <f>L7/1.1</f>
        <v>8.181818182</v>
      </c>
      <c r="M8" s="274"/>
    </row>
    <row r="9" ht="15.75" customHeight="1">
      <c r="A9" s="252"/>
      <c r="B9" s="512" t="str">
        <f t="array" ref="B9">+XLOOKUP(C9,'Base de datos'!C:C,'Base de datos'!A:A,"",FALSE)</f>
        <v/>
      </c>
      <c r="C9" s="254" t="s">
        <v>795</v>
      </c>
      <c r="D9" s="255" t="s">
        <v>14</v>
      </c>
      <c r="E9" s="256">
        <f t="array" ref="E9">+XLOOKUP(B9,'Base de datos'!A:A,'Base de datos'!H:H,0)</f>
        <v>0</v>
      </c>
      <c r="F9" s="257">
        <v>0.005</v>
      </c>
      <c r="G9" s="257">
        <v>0.0025</v>
      </c>
      <c r="H9" s="258">
        <f t="shared" si="1"/>
        <v>0.5</v>
      </c>
      <c r="I9" s="256">
        <f t="shared" si="2"/>
        <v>0</v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512" t="str">
        <f t="array" ref="B10">+XLOOKUP(C10,'Base de datos'!C:C,'Base de datos'!A:A,"",FALSE)</f>
        <v/>
      </c>
      <c r="C10" s="254" t="s">
        <v>796</v>
      </c>
      <c r="D10" s="255" t="s">
        <v>20</v>
      </c>
      <c r="E10" s="256">
        <f t="array" ref="E10">+XLOOKUP(B10,'Base de datos'!A:A,'Base de datos'!H:H,0)</f>
        <v>0</v>
      </c>
      <c r="F10" s="257">
        <v>1.0</v>
      </c>
      <c r="G10" s="257">
        <v>1.0</v>
      </c>
      <c r="H10" s="258">
        <f t="shared" si="1"/>
        <v>0</v>
      </c>
      <c r="I10" s="256">
        <f t="shared" si="2"/>
        <v>0</v>
      </c>
      <c r="J10" s="241"/>
      <c r="K10" s="279" t="s">
        <v>328</v>
      </c>
      <c r="L10" s="280">
        <f>L6/L8*100</f>
        <v>0.0240831965</v>
      </c>
      <c r="M10" s="281" t="s">
        <v>329</v>
      </c>
    </row>
    <row r="11" ht="15.75" customHeight="1">
      <c r="A11" s="252"/>
      <c r="B11" s="512" t="str">
        <f t="array" ref="B11">+XLOOKUP(C11,'Base de datos'!C:C,'Base de datos'!A:A,"",FALSE)</f>
        <v/>
      </c>
      <c r="C11" s="254" t="s">
        <v>797</v>
      </c>
      <c r="D11" s="255" t="s">
        <v>11</v>
      </c>
      <c r="E11" s="256">
        <f t="array" ref="E11">+XLOOKUP(B11,'Base de datos'!A:A,'Base de datos'!H:H,0)</f>
        <v>0</v>
      </c>
      <c r="F11" s="257">
        <v>0.005</v>
      </c>
      <c r="G11" s="257">
        <v>0.005</v>
      </c>
      <c r="H11" s="258">
        <f t="shared" si="1"/>
        <v>0</v>
      </c>
      <c r="I11" s="256">
        <f t="shared" si="2"/>
        <v>0</v>
      </c>
      <c r="J11" s="241"/>
      <c r="K11" s="282" t="s">
        <v>330</v>
      </c>
      <c r="L11" s="283">
        <f>100-L10</f>
        <v>99.9759168</v>
      </c>
      <c r="M11" s="284" t="s">
        <v>329</v>
      </c>
    </row>
    <row r="12" ht="15.75" customHeight="1">
      <c r="A12" s="252"/>
      <c r="B12" s="512" t="str">
        <f t="array" ref="B12">+XLOOKUP(C12,'Base de datos'!C:C,'Base de datos'!A:A,"",FALSE)</f>
        <v/>
      </c>
      <c r="C12" s="254" t="s">
        <v>798</v>
      </c>
      <c r="D12" s="255" t="s">
        <v>14</v>
      </c>
      <c r="E12" s="256">
        <f t="array" ref="E12">+XLOOKUP(B12,'Base de datos'!A:A,'Base de datos'!H:H,0)</f>
        <v>0</v>
      </c>
      <c r="F12" s="257">
        <v>0.001</v>
      </c>
      <c r="G12" s="257">
        <v>0.001</v>
      </c>
      <c r="H12" s="258">
        <f t="shared" si="1"/>
        <v>0</v>
      </c>
      <c r="I12" s="256">
        <f t="shared" si="2"/>
        <v>0</v>
      </c>
      <c r="J12" s="241"/>
      <c r="L12" s="288"/>
    </row>
    <row r="13" ht="15.75" customHeight="1">
      <c r="A13" s="240"/>
      <c r="B13" s="511"/>
      <c r="C13" s="241"/>
      <c r="D13" s="242"/>
      <c r="E13" s="243"/>
      <c r="F13" s="244"/>
      <c r="G13" s="244"/>
      <c r="H13" s="241"/>
      <c r="I13" s="241"/>
      <c r="J13" s="241"/>
      <c r="K13" s="241"/>
      <c r="L13" s="241"/>
    </row>
    <row r="14" ht="15.75" customHeight="1">
      <c r="A14" s="295"/>
      <c r="B14" s="295"/>
      <c r="C14" s="296" t="s">
        <v>337</v>
      </c>
      <c r="D14" s="297"/>
      <c r="E14" s="297"/>
      <c r="F14" s="297"/>
      <c r="G14" s="297"/>
      <c r="H14" s="297"/>
      <c r="I14" s="298"/>
      <c r="J14" s="241"/>
      <c r="K14" s="241"/>
      <c r="L14" s="241"/>
    </row>
    <row r="15" ht="15.75" customHeight="1">
      <c r="A15" s="299"/>
      <c r="B15" s="515"/>
      <c r="C15" s="516" t="s">
        <v>799</v>
      </c>
      <c r="D15" s="297"/>
      <c r="E15" s="297"/>
      <c r="F15" s="297"/>
      <c r="G15" s="297"/>
      <c r="H15" s="297"/>
      <c r="I15" s="517"/>
      <c r="J15" s="241"/>
      <c r="K15" s="241"/>
      <c r="L15" s="241"/>
    </row>
    <row r="16" ht="15.75" customHeight="1">
      <c r="A16" s="301"/>
      <c r="B16" s="518"/>
      <c r="C16" s="519" t="s">
        <v>800</v>
      </c>
      <c r="I16" s="278"/>
      <c r="J16" s="241"/>
      <c r="K16" s="241"/>
      <c r="L16" s="241"/>
    </row>
    <row r="17" ht="15.75" customHeight="1">
      <c r="A17" s="301"/>
      <c r="B17" s="518"/>
      <c r="C17" s="519" t="s">
        <v>801</v>
      </c>
      <c r="I17" s="278"/>
      <c r="J17" s="241"/>
      <c r="K17" s="241"/>
      <c r="L17" s="241"/>
    </row>
    <row r="18" ht="15.75" customHeight="1">
      <c r="A18" s="301"/>
      <c r="B18" s="518"/>
      <c r="C18" s="519" t="s">
        <v>802</v>
      </c>
      <c r="I18" s="278"/>
      <c r="J18" s="241"/>
      <c r="K18" s="241"/>
      <c r="L18" s="241"/>
    </row>
    <row r="19" ht="15.75" customHeight="1">
      <c r="A19" s="301"/>
      <c r="B19" s="518"/>
      <c r="C19" s="519" t="s">
        <v>803</v>
      </c>
      <c r="I19" s="278"/>
      <c r="J19" s="241"/>
      <c r="K19" s="241"/>
      <c r="L19" s="241"/>
    </row>
    <row r="20" ht="15.75" customHeight="1">
      <c r="A20" s="301"/>
      <c r="B20" s="518"/>
      <c r="C20" s="520" t="s">
        <v>804</v>
      </c>
      <c r="I20" s="521"/>
      <c r="J20" s="241"/>
      <c r="K20" s="241"/>
      <c r="L20" s="241"/>
    </row>
    <row r="21" ht="15.75" customHeight="1">
      <c r="A21" s="301"/>
      <c r="B21" s="518"/>
      <c r="C21" s="520" t="s">
        <v>805</v>
      </c>
      <c r="I21" s="521"/>
      <c r="J21" s="241"/>
      <c r="K21" s="241"/>
      <c r="L21" s="241"/>
    </row>
    <row r="22" ht="15.75" customHeight="1">
      <c r="A22" s="301"/>
      <c r="B22" s="518"/>
      <c r="C22" s="520" t="s">
        <v>806</v>
      </c>
      <c r="I22" s="521"/>
      <c r="J22" s="241"/>
      <c r="K22" s="241"/>
      <c r="L22" s="241"/>
    </row>
    <row r="23" ht="15.75" customHeight="1">
      <c r="A23" s="301"/>
      <c r="B23" s="518"/>
      <c r="C23" s="522" t="s">
        <v>807</v>
      </c>
      <c r="D23" s="305"/>
      <c r="E23" s="305"/>
      <c r="F23" s="305"/>
      <c r="G23" s="305"/>
      <c r="H23" s="305"/>
      <c r="I23" s="523"/>
      <c r="J23" s="241"/>
      <c r="K23" s="241"/>
      <c r="L23" s="241"/>
    </row>
    <row r="24" ht="15.75" customHeight="1">
      <c r="A24" s="240"/>
      <c r="B24" s="511"/>
      <c r="C24" s="241"/>
      <c r="D24" s="242"/>
      <c r="E24" s="243"/>
      <c r="F24" s="244"/>
      <c r="G24" s="244"/>
      <c r="H24" s="241"/>
      <c r="I24" s="241"/>
      <c r="J24" s="241"/>
      <c r="K24" s="241"/>
      <c r="L24" s="241"/>
    </row>
    <row r="25" ht="15.75" customHeight="1">
      <c r="A25" s="360"/>
      <c r="B25" s="361" t="s">
        <v>0</v>
      </c>
      <c r="C25" s="361" t="s">
        <v>808</v>
      </c>
      <c r="D25" s="361" t="s">
        <v>20</v>
      </c>
      <c r="E25" s="363" t="s">
        <v>317</v>
      </c>
      <c r="F25" s="361" t="s">
        <v>318</v>
      </c>
      <c r="G25" s="364" t="s">
        <v>319</v>
      </c>
      <c r="H25" s="361" t="s">
        <v>320</v>
      </c>
      <c r="I25" s="361" t="s">
        <v>321</v>
      </c>
      <c r="J25" s="365"/>
      <c r="K25" s="361" t="s">
        <v>653</v>
      </c>
      <c r="L25" s="249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</row>
    <row r="26" ht="15.75" customHeight="1">
      <c r="A26" s="301"/>
      <c r="B26" s="524" t="str">
        <f t="array" ref="B26">+XLOOKUP(C26,'Base de datos'!C:C,'Base de datos'!A:A,"",FALSE)</f>
        <v/>
      </c>
      <c r="C26" s="381" t="s">
        <v>795</v>
      </c>
      <c r="D26" s="255" t="s">
        <v>14</v>
      </c>
      <c r="E26" s="256">
        <f t="array" ref="E26">+XLOOKUP(B26,'Base de datos'!A:A,'Base de datos'!H:H,0)</f>
        <v>0</v>
      </c>
      <c r="F26" s="369">
        <v>0.22</v>
      </c>
      <c r="G26" s="369">
        <v>0.11</v>
      </c>
      <c r="H26" s="370">
        <f t="shared" ref="H26:H33" si="3">IFERROR(1-G26/F26,"")</f>
        <v>0.5</v>
      </c>
      <c r="I26" s="371">
        <f t="shared" ref="I26:I33" si="4">IFERROR(E26*F26,"")</f>
        <v>0</v>
      </c>
      <c r="J26" s="241"/>
      <c r="K26" s="372" t="s">
        <v>324</v>
      </c>
      <c r="L26" s="241"/>
    </row>
    <row r="27" ht="15.75" customHeight="1">
      <c r="A27" s="301"/>
      <c r="B27" s="524" t="str">
        <f t="array" ref="B27">+XLOOKUP(C27,'Base de datos'!C:C,'Base de datos'!A:A,"",FALSE)</f>
        <v/>
      </c>
      <c r="C27" s="381" t="s">
        <v>809</v>
      </c>
      <c r="D27" s="373" t="s">
        <v>14</v>
      </c>
      <c r="E27" s="256">
        <f t="array" ref="E27">+XLOOKUP(B27,'Base de datos'!A:A,'Base de datos'!H:H,0)</f>
        <v>0</v>
      </c>
      <c r="F27" s="369">
        <v>0.2</v>
      </c>
      <c r="G27" s="369">
        <v>0.2</v>
      </c>
      <c r="H27" s="370">
        <f t="shared" si="3"/>
        <v>0</v>
      </c>
      <c r="I27" s="371">
        <f t="shared" si="4"/>
        <v>0</v>
      </c>
      <c r="J27" s="241"/>
      <c r="K27" s="374">
        <f>SUM(I26:I33)</f>
        <v>0.1</v>
      </c>
      <c r="L27" s="241"/>
    </row>
    <row r="28" ht="15.75" customHeight="1">
      <c r="A28" s="301"/>
      <c r="B28" s="524" t="str">
        <f t="array" ref="B28">+XLOOKUP(C28,'Base de datos'!C:C,'Base de datos'!A:A,"",FALSE)</f>
        <v/>
      </c>
      <c r="C28" s="381" t="s">
        <v>810</v>
      </c>
      <c r="D28" s="373" t="s">
        <v>14</v>
      </c>
      <c r="E28" s="256">
        <f t="array" ref="E28">+XLOOKUP(B28,'Base de datos'!A:A,'Base de datos'!H:H,0)</f>
        <v>0</v>
      </c>
      <c r="F28" s="369">
        <v>0.21</v>
      </c>
      <c r="G28" s="369">
        <v>0.21</v>
      </c>
      <c r="H28" s="370">
        <f t="shared" si="3"/>
        <v>0</v>
      </c>
      <c r="I28" s="371">
        <f t="shared" si="4"/>
        <v>0</v>
      </c>
      <c r="J28" s="241"/>
      <c r="K28" s="372" t="s">
        <v>654</v>
      </c>
      <c r="L28" s="375"/>
    </row>
    <row r="29" ht="15.75" customHeight="1">
      <c r="A29" s="301"/>
      <c r="B29" s="524">
        <f t="array" ref="B29">+XLOOKUP(C29,'Base de datos'!C:C,'Base de datos'!A:A,"",FALSE)</f>
        <v>118</v>
      </c>
      <c r="C29" s="381" t="s">
        <v>811</v>
      </c>
      <c r="D29" s="373" t="s">
        <v>14</v>
      </c>
      <c r="E29" s="256">
        <f t="array" ref="E29">+XLOOKUP(B29,'Base de datos'!A:A,'Base de datos'!H:H,0)</f>
        <v>5</v>
      </c>
      <c r="F29" s="369">
        <v>0.02</v>
      </c>
      <c r="G29" s="369">
        <v>0.02</v>
      </c>
      <c r="H29" s="370">
        <f t="shared" si="3"/>
        <v>0</v>
      </c>
      <c r="I29" s="371">
        <f t="shared" si="4"/>
        <v>0.1</v>
      </c>
      <c r="J29" s="241"/>
      <c r="K29" s="376">
        <f>SUM(F26:F33)</f>
        <v>1.015</v>
      </c>
      <c r="L29" s="241"/>
    </row>
    <row r="30" ht="15.75" customHeight="1">
      <c r="A30" s="301"/>
      <c r="B30" s="524" t="str">
        <f t="array" ref="B30">+XLOOKUP(C30,'Base de datos'!C:C,'Base de datos'!A:A,"",FALSE)</f>
        <v/>
      </c>
      <c r="C30" s="381" t="s">
        <v>797</v>
      </c>
      <c r="D30" s="373" t="s">
        <v>14</v>
      </c>
      <c r="E30" s="256">
        <f t="array" ref="E30">+XLOOKUP(B30,'Base de datos'!A:A,'Base de datos'!H:H,0)</f>
        <v>0</v>
      </c>
      <c r="F30" s="369">
        <v>0.35</v>
      </c>
      <c r="G30" s="369">
        <v>0.35</v>
      </c>
      <c r="H30" s="370">
        <f t="shared" si="3"/>
        <v>0</v>
      </c>
      <c r="I30" s="371">
        <f t="shared" si="4"/>
        <v>0</v>
      </c>
      <c r="J30" s="241"/>
      <c r="K30" s="372" t="s">
        <v>656</v>
      </c>
      <c r="L30" s="380"/>
    </row>
    <row r="31" ht="15.75" customHeight="1">
      <c r="A31" s="301"/>
      <c r="B31" s="524" t="str">
        <f t="array" ref="B31">+XLOOKUP(C31,'Base de datos'!C:C,'Base de datos'!A:A,"",FALSE)</f>
        <v/>
      </c>
      <c r="C31" s="381" t="s">
        <v>798</v>
      </c>
      <c r="D31" s="255" t="s">
        <v>14</v>
      </c>
      <c r="E31" s="256">
        <f t="array" ref="E31">+XLOOKUP(B31,'Base de datos'!A:A,'Base de datos'!H:H,0)</f>
        <v>0</v>
      </c>
      <c r="F31" s="257">
        <v>0.01</v>
      </c>
      <c r="G31" s="257">
        <v>0.01</v>
      </c>
      <c r="H31" s="370">
        <f t="shared" si="3"/>
        <v>0</v>
      </c>
      <c r="I31" s="371">
        <f t="shared" si="4"/>
        <v>0</v>
      </c>
      <c r="J31" s="241"/>
      <c r="K31" s="374">
        <f>K27/K29</f>
        <v>0.09852216749</v>
      </c>
      <c r="L31" s="241"/>
    </row>
    <row r="32" ht="15.75" customHeight="1">
      <c r="A32" s="301"/>
      <c r="B32" s="524" t="str">
        <f t="array" ref="B32">+XLOOKUP(C32,'Base de datos'!C:C,'Base de datos'!A:A,"",FALSE)</f>
        <v/>
      </c>
      <c r="C32" s="381" t="s">
        <v>812</v>
      </c>
      <c r="D32" s="255" t="s">
        <v>14</v>
      </c>
      <c r="E32" s="256">
        <f t="array" ref="E32">+XLOOKUP(B32,'Base de datos'!A:A,'Base de datos'!H:H,0)</f>
        <v>0</v>
      </c>
      <c r="F32" s="257">
        <v>0.005</v>
      </c>
      <c r="G32" s="257">
        <v>0.005</v>
      </c>
      <c r="H32" s="370">
        <f t="shared" si="3"/>
        <v>0</v>
      </c>
      <c r="I32" s="371">
        <f t="shared" si="4"/>
        <v>0</v>
      </c>
      <c r="J32" s="241"/>
      <c r="K32" s="382" t="s">
        <v>658</v>
      </c>
      <c r="L32" s="241"/>
    </row>
    <row r="33" ht="15.75" customHeight="1">
      <c r="A33" s="301"/>
      <c r="B33" s="525" t="str">
        <f t="array" ref="B33">+XLOOKUP(C33,'Base de datos'!C:C,'Base de datos'!A:A,"",FALSE)</f>
        <v/>
      </c>
      <c r="C33" s="381"/>
      <c r="D33" s="255" t="s">
        <v>14</v>
      </c>
      <c r="E33" s="256">
        <f t="array" ref="E33">+XLOOKUP(B33,'Base de datos'!A:A,'Base de datos'!H:H,0)</f>
        <v>0</v>
      </c>
      <c r="F33" s="257"/>
      <c r="G33" s="257"/>
      <c r="H33" s="370" t="str">
        <f t="shared" si="3"/>
        <v/>
      </c>
      <c r="I33" s="371">
        <f t="shared" si="4"/>
        <v>0</v>
      </c>
      <c r="J33" s="241"/>
      <c r="K33" s="383">
        <f>K29/F7</f>
        <v>50.75</v>
      </c>
      <c r="L33" s="241"/>
    </row>
    <row r="34" ht="15.75" customHeight="1">
      <c r="A34" s="240"/>
      <c r="B34" s="511"/>
      <c r="C34" s="241"/>
      <c r="D34" s="242"/>
      <c r="E34" s="243"/>
      <c r="F34" s="244"/>
      <c r="G34" s="244"/>
      <c r="H34" s="241"/>
      <c r="I34" s="241"/>
      <c r="J34" s="241"/>
      <c r="K34" s="241"/>
      <c r="L34" s="241"/>
    </row>
    <row r="35" ht="15.75" customHeight="1">
      <c r="A35" s="295"/>
      <c r="B35" s="295"/>
      <c r="C35" s="296" t="s">
        <v>338</v>
      </c>
      <c r="D35" s="297"/>
      <c r="E35" s="297"/>
      <c r="F35" s="297"/>
      <c r="G35" s="297"/>
      <c r="H35" s="297"/>
      <c r="I35" s="298"/>
      <c r="J35" s="241"/>
      <c r="K35" s="241"/>
      <c r="L35" s="241"/>
    </row>
    <row r="36" ht="15.75" customHeight="1">
      <c r="A36" s="299"/>
      <c r="B36" s="515"/>
      <c r="C36" s="526" t="s">
        <v>813</v>
      </c>
      <c r="D36" s="527"/>
      <c r="E36" s="527"/>
      <c r="F36" s="527"/>
      <c r="G36" s="527"/>
      <c r="H36" s="527"/>
      <c r="I36" s="517"/>
      <c r="J36" s="241"/>
      <c r="K36" s="241"/>
      <c r="L36" s="241"/>
    </row>
    <row r="37" ht="15.75" customHeight="1">
      <c r="A37" s="301"/>
      <c r="B37" s="518"/>
      <c r="C37" s="520" t="s">
        <v>814</v>
      </c>
      <c r="D37" s="528"/>
      <c r="E37" s="528"/>
      <c r="F37" s="528"/>
      <c r="G37" s="528"/>
      <c r="H37" s="528"/>
      <c r="I37" s="521"/>
      <c r="J37" s="241"/>
      <c r="K37" s="241"/>
      <c r="L37" s="241"/>
    </row>
    <row r="38" ht="15.75" customHeight="1">
      <c r="A38" s="301"/>
      <c r="B38" s="518"/>
      <c r="C38" s="520" t="s">
        <v>815</v>
      </c>
      <c r="D38" s="528"/>
      <c r="E38" s="528"/>
      <c r="F38" s="528"/>
      <c r="G38" s="528"/>
      <c r="H38" s="528"/>
      <c r="I38" s="521"/>
      <c r="J38" s="241"/>
      <c r="K38" s="241"/>
      <c r="L38" s="241"/>
    </row>
    <row r="39" ht="15.75" customHeight="1">
      <c r="A39" s="301"/>
      <c r="B39" s="518"/>
      <c r="C39" s="520" t="s">
        <v>816</v>
      </c>
      <c r="D39" s="528"/>
      <c r="E39" s="528"/>
      <c r="F39" s="528"/>
      <c r="G39" s="528"/>
      <c r="H39" s="528"/>
      <c r="I39" s="521"/>
      <c r="J39" s="241"/>
      <c r="K39" s="241"/>
      <c r="L39" s="241"/>
    </row>
    <row r="40" ht="15.75" customHeight="1">
      <c r="A40" s="301"/>
      <c r="B40" s="518"/>
      <c r="C40" s="520" t="s">
        <v>817</v>
      </c>
      <c r="D40" s="528"/>
      <c r="E40" s="528"/>
      <c r="F40" s="528"/>
      <c r="G40" s="528"/>
      <c r="H40" s="528"/>
      <c r="I40" s="521"/>
      <c r="J40" s="241"/>
      <c r="K40" s="241"/>
      <c r="L40" s="241"/>
    </row>
    <row r="41" ht="15.75" customHeight="1">
      <c r="A41" s="301"/>
      <c r="B41" s="518"/>
      <c r="C41" s="520" t="s">
        <v>818</v>
      </c>
      <c r="D41" s="528"/>
      <c r="E41" s="528"/>
      <c r="F41" s="528"/>
      <c r="G41" s="528"/>
      <c r="H41" s="528"/>
      <c r="I41" s="521"/>
      <c r="J41" s="241"/>
      <c r="K41" s="241"/>
      <c r="L41" s="241"/>
    </row>
    <row r="42" ht="15.75" customHeight="1">
      <c r="A42" s="307"/>
      <c r="B42" s="529"/>
      <c r="C42" s="520" t="s">
        <v>819</v>
      </c>
      <c r="D42" s="156"/>
      <c r="E42" s="179"/>
      <c r="F42" s="156"/>
      <c r="G42" s="156"/>
      <c r="H42" s="156"/>
      <c r="I42" s="160"/>
    </row>
    <row r="43" ht="15.75" customHeight="1">
      <c r="A43" s="307"/>
      <c r="B43" s="529"/>
      <c r="C43" s="522" t="s">
        <v>820</v>
      </c>
      <c r="D43" s="530"/>
      <c r="E43" s="531"/>
      <c r="F43" s="530"/>
      <c r="G43" s="530"/>
      <c r="H43" s="530"/>
      <c r="I43" s="532"/>
    </row>
    <row r="44" ht="15.75" customHeight="1">
      <c r="A44" s="307"/>
      <c r="B44" s="529"/>
      <c r="D44" s="308"/>
      <c r="E44" s="309"/>
    </row>
    <row r="45" ht="15.75" customHeight="1">
      <c r="A45" s="307"/>
      <c r="B45" s="529"/>
      <c r="D45" s="308"/>
      <c r="E45" s="309"/>
    </row>
    <row r="46" ht="15.75" customHeight="1">
      <c r="A46" s="307"/>
      <c r="B46" s="529"/>
      <c r="D46" s="308"/>
      <c r="E46" s="309"/>
    </row>
    <row r="47" ht="15.75" customHeight="1">
      <c r="A47" s="307"/>
      <c r="B47" s="529"/>
      <c r="D47" s="308"/>
      <c r="E47" s="309"/>
    </row>
    <row r="48" ht="15.75" customHeight="1">
      <c r="A48" s="307"/>
      <c r="B48" s="529"/>
      <c r="D48" s="308"/>
      <c r="E48" s="309"/>
    </row>
    <row r="49" ht="15.75" customHeight="1">
      <c r="A49" s="307"/>
      <c r="B49" s="529"/>
      <c r="D49" s="308"/>
      <c r="E49" s="309"/>
    </row>
    <row r="50" ht="15.75" customHeight="1">
      <c r="A50" s="307"/>
      <c r="B50" s="529"/>
      <c r="D50" s="308"/>
      <c r="E50" s="309"/>
    </row>
    <row r="51" ht="15.75" customHeight="1">
      <c r="A51" s="307"/>
      <c r="B51" s="529"/>
      <c r="D51" s="308"/>
      <c r="E51" s="309"/>
    </row>
    <row r="52" ht="15.75" customHeight="1">
      <c r="A52" s="307"/>
      <c r="B52" s="529"/>
      <c r="D52" s="308"/>
      <c r="E52" s="309"/>
    </row>
    <row r="53" ht="15.75" customHeight="1">
      <c r="A53" s="307"/>
      <c r="B53" s="529"/>
      <c r="D53" s="308"/>
      <c r="E53" s="309"/>
    </row>
    <row r="54" ht="15.75" customHeight="1">
      <c r="A54" s="307"/>
      <c r="B54" s="529"/>
      <c r="D54" s="308"/>
      <c r="E54" s="309"/>
    </row>
    <row r="55" ht="15.75" customHeight="1">
      <c r="A55" s="307"/>
      <c r="B55" s="529"/>
      <c r="D55" s="308"/>
      <c r="E55" s="309"/>
    </row>
    <row r="56" ht="15.75" customHeight="1">
      <c r="A56" s="307"/>
      <c r="B56" s="529"/>
      <c r="D56" s="308"/>
      <c r="E56" s="309"/>
    </row>
    <row r="57" ht="15.75" customHeight="1">
      <c r="A57" s="307"/>
      <c r="B57" s="529"/>
      <c r="D57" s="308"/>
      <c r="E57" s="309"/>
    </row>
    <row r="58" ht="15.75" customHeight="1">
      <c r="A58" s="307"/>
      <c r="B58" s="529"/>
      <c r="D58" s="308"/>
      <c r="E58" s="309"/>
    </row>
    <row r="59" ht="15.75" customHeight="1">
      <c r="A59" s="307"/>
      <c r="B59" s="529"/>
      <c r="D59" s="308"/>
      <c r="E59" s="309"/>
    </row>
    <row r="60" ht="15.75" customHeight="1">
      <c r="A60" s="307"/>
      <c r="B60" s="529"/>
      <c r="D60" s="308"/>
      <c r="E60" s="309"/>
    </row>
    <row r="61" ht="15.75" customHeight="1">
      <c r="A61" s="307"/>
      <c r="B61" s="529"/>
      <c r="D61" s="308"/>
      <c r="E61" s="309"/>
    </row>
    <row r="62" ht="15.75" customHeight="1">
      <c r="A62" s="307"/>
      <c r="B62" s="529"/>
      <c r="D62" s="308"/>
      <c r="E62" s="309"/>
    </row>
    <row r="63" ht="15.75" customHeight="1">
      <c r="A63" s="307"/>
      <c r="B63" s="529"/>
      <c r="D63" s="308"/>
      <c r="E63" s="309"/>
    </row>
    <row r="64" ht="15.75" customHeight="1">
      <c r="A64" s="307"/>
      <c r="B64" s="529"/>
      <c r="D64" s="308"/>
      <c r="E64" s="309"/>
    </row>
    <row r="65" ht="15.75" customHeight="1">
      <c r="A65" s="307"/>
      <c r="B65" s="529"/>
      <c r="D65" s="308"/>
      <c r="E65" s="309"/>
    </row>
    <row r="66" ht="15.75" customHeight="1">
      <c r="A66" s="307"/>
      <c r="B66" s="529"/>
      <c r="D66" s="308"/>
      <c r="E66" s="309"/>
    </row>
    <row r="67" ht="15.75" customHeight="1">
      <c r="A67" s="307"/>
      <c r="B67" s="529"/>
      <c r="D67" s="308"/>
      <c r="E67" s="309"/>
    </row>
    <row r="68" ht="15.75" customHeight="1">
      <c r="A68" s="307"/>
      <c r="B68" s="529"/>
      <c r="D68" s="308"/>
      <c r="E68" s="309"/>
    </row>
    <row r="69" ht="15.75" customHeight="1">
      <c r="A69" s="307"/>
      <c r="B69" s="529"/>
      <c r="D69" s="308"/>
      <c r="E69" s="309"/>
    </row>
    <row r="70" ht="15.75" customHeight="1">
      <c r="A70" s="307"/>
      <c r="B70" s="529"/>
      <c r="D70" s="308"/>
      <c r="E70" s="309"/>
    </row>
    <row r="71" ht="15.75" customHeight="1">
      <c r="A71" s="307"/>
      <c r="B71" s="529"/>
      <c r="D71" s="308"/>
      <c r="E71" s="309"/>
    </row>
    <row r="72" ht="15.75" customHeight="1">
      <c r="A72" s="307"/>
      <c r="B72" s="529"/>
      <c r="D72" s="308"/>
      <c r="E72" s="309"/>
    </row>
    <row r="73" ht="15.75" customHeight="1">
      <c r="A73" s="307"/>
      <c r="B73" s="529"/>
      <c r="D73" s="308"/>
      <c r="E73" s="309"/>
    </row>
    <row r="74" ht="15.75" customHeight="1">
      <c r="A74" s="307"/>
      <c r="B74" s="529"/>
      <c r="D74" s="308"/>
      <c r="E74" s="309"/>
    </row>
    <row r="75" ht="15.75" customHeight="1">
      <c r="A75" s="307"/>
      <c r="B75" s="529"/>
      <c r="D75" s="308"/>
      <c r="E75" s="309"/>
    </row>
    <row r="76" ht="15.75" customHeight="1">
      <c r="A76" s="307"/>
      <c r="B76" s="529"/>
      <c r="D76" s="308"/>
      <c r="E76" s="309"/>
    </row>
    <row r="77" ht="15.75" customHeight="1">
      <c r="A77" s="307"/>
      <c r="B77" s="529"/>
      <c r="D77" s="308"/>
      <c r="E77" s="309"/>
    </row>
    <row r="78" ht="15.75" customHeight="1">
      <c r="A78" s="307"/>
      <c r="B78" s="529"/>
      <c r="D78" s="308"/>
      <c r="E78" s="309"/>
    </row>
    <row r="79" ht="15.75" customHeight="1">
      <c r="A79" s="307"/>
      <c r="B79" s="529"/>
      <c r="D79" s="308"/>
      <c r="E79" s="309"/>
    </row>
    <row r="80" ht="15.75" customHeight="1">
      <c r="A80" s="307"/>
      <c r="B80" s="529"/>
      <c r="D80" s="308"/>
      <c r="E80" s="309"/>
    </row>
    <row r="81" ht="15.75" customHeight="1">
      <c r="A81" s="307"/>
      <c r="B81" s="529"/>
      <c r="D81" s="308"/>
      <c r="E81" s="309"/>
    </row>
    <row r="82" ht="15.75" customHeight="1">
      <c r="A82" s="307"/>
      <c r="B82" s="529"/>
      <c r="D82" s="308"/>
      <c r="E82" s="309"/>
    </row>
    <row r="83" ht="15.75" customHeight="1">
      <c r="A83" s="307"/>
      <c r="B83" s="529"/>
      <c r="D83" s="308"/>
      <c r="E83" s="309"/>
    </row>
    <row r="84" ht="15.75" customHeight="1">
      <c r="A84" s="307"/>
      <c r="B84" s="529"/>
      <c r="D84" s="308"/>
      <c r="E84" s="309"/>
    </row>
    <row r="85" ht="15.75" customHeight="1">
      <c r="A85" s="307"/>
      <c r="B85" s="529"/>
      <c r="D85" s="308"/>
      <c r="E85" s="309"/>
    </row>
    <row r="86" ht="15.75" customHeight="1">
      <c r="A86" s="307"/>
      <c r="B86" s="529"/>
      <c r="D86" s="308"/>
      <c r="E86" s="309"/>
    </row>
    <row r="87" ht="15.75" customHeight="1">
      <c r="A87" s="307"/>
      <c r="B87" s="529"/>
      <c r="D87" s="308"/>
      <c r="E87" s="309"/>
    </row>
    <row r="88" ht="15.75" customHeight="1">
      <c r="A88" s="307"/>
      <c r="B88" s="529"/>
      <c r="D88" s="308"/>
      <c r="E88" s="309"/>
    </row>
    <row r="89" ht="15.75" customHeight="1">
      <c r="A89" s="307"/>
      <c r="B89" s="529"/>
      <c r="D89" s="308"/>
      <c r="E89" s="309"/>
    </row>
    <row r="90" ht="15.75" customHeight="1">
      <c r="A90" s="307"/>
      <c r="B90" s="529"/>
      <c r="D90" s="308"/>
      <c r="E90" s="309"/>
    </row>
    <row r="91" ht="15.75" customHeight="1">
      <c r="A91" s="307"/>
      <c r="B91" s="529"/>
      <c r="D91" s="308"/>
      <c r="E91" s="309"/>
    </row>
    <row r="92" ht="15.75" customHeight="1">
      <c r="A92" s="307"/>
      <c r="B92" s="529"/>
      <c r="D92" s="308"/>
      <c r="E92" s="309"/>
    </row>
    <row r="93" ht="15.75" customHeight="1">
      <c r="A93" s="307"/>
      <c r="B93" s="529"/>
      <c r="D93" s="308"/>
      <c r="E93" s="309"/>
    </row>
    <row r="94" ht="15.75" customHeight="1">
      <c r="A94" s="307"/>
      <c r="B94" s="529"/>
      <c r="D94" s="308"/>
      <c r="E94" s="309"/>
    </row>
    <row r="95" ht="15.75" customHeight="1">
      <c r="A95" s="307"/>
      <c r="B95" s="529"/>
      <c r="D95" s="308"/>
      <c r="E95" s="309"/>
    </row>
    <row r="96" ht="15.75" customHeight="1">
      <c r="A96" s="307"/>
      <c r="B96" s="529"/>
      <c r="D96" s="308"/>
      <c r="E96" s="309"/>
    </row>
    <row r="97" ht="15.75" customHeight="1">
      <c r="A97" s="307"/>
      <c r="B97" s="529"/>
      <c r="D97" s="308"/>
      <c r="E97" s="309"/>
    </row>
    <row r="98" ht="15.75" customHeight="1">
      <c r="A98" s="307"/>
      <c r="B98" s="529"/>
      <c r="D98" s="308"/>
      <c r="E98" s="309"/>
    </row>
    <row r="99" ht="15.75" customHeight="1">
      <c r="A99" s="307"/>
      <c r="B99" s="529"/>
      <c r="D99" s="308"/>
      <c r="E99" s="309"/>
    </row>
    <row r="100" ht="15.75" customHeight="1">
      <c r="A100" s="307"/>
      <c r="B100" s="529"/>
      <c r="D100" s="308"/>
      <c r="E100" s="309"/>
    </row>
    <row r="101" ht="15.75" customHeight="1">
      <c r="A101" s="307"/>
      <c r="B101" s="529"/>
      <c r="D101" s="308"/>
      <c r="E101" s="309"/>
    </row>
    <row r="102" ht="15.75" customHeight="1">
      <c r="A102" s="307"/>
      <c r="B102" s="529"/>
      <c r="D102" s="308"/>
      <c r="E102" s="309"/>
    </row>
    <row r="103" ht="15.75" customHeight="1">
      <c r="A103" s="307"/>
      <c r="B103" s="529"/>
      <c r="D103" s="308"/>
      <c r="E103" s="309"/>
    </row>
    <row r="104" ht="15.75" customHeight="1">
      <c r="A104" s="307"/>
      <c r="B104" s="529"/>
      <c r="D104" s="308"/>
      <c r="E104" s="309"/>
    </row>
    <row r="105" ht="15.75" customHeight="1">
      <c r="A105" s="307"/>
      <c r="B105" s="529"/>
      <c r="D105" s="308"/>
      <c r="E105" s="309"/>
    </row>
    <row r="106" ht="15.75" customHeight="1">
      <c r="A106" s="307"/>
      <c r="B106" s="529"/>
      <c r="D106" s="308"/>
      <c r="E106" s="309"/>
    </row>
    <row r="107" ht="15.75" customHeight="1">
      <c r="A107" s="307"/>
      <c r="B107" s="529"/>
      <c r="D107" s="308"/>
      <c r="E107" s="309"/>
    </row>
    <row r="108" ht="15.75" customHeight="1">
      <c r="A108" s="307"/>
      <c r="B108" s="529"/>
      <c r="D108" s="308"/>
      <c r="E108" s="309"/>
    </row>
    <row r="109" ht="15.75" customHeight="1">
      <c r="A109" s="307"/>
      <c r="B109" s="529"/>
      <c r="D109" s="308"/>
      <c r="E109" s="309"/>
    </row>
    <row r="110" ht="15.75" customHeight="1">
      <c r="A110" s="307"/>
      <c r="B110" s="529"/>
      <c r="D110" s="308"/>
      <c r="E110" s="309"/>
    </row>
    <row r="111" ht="15.75" customHeight="1">
      <c r="A111" s="307"/>
      <c r="B111" s="529"/>
      <c r="D111" s="308"/>
      <c r="E111" s="309"/>
    </row>
    <row r="112" ht="15.75" customHeight="1">
      <c r="A112" s="307"/>
      <c r="B112" s="529"/>
      <c r="D112" s="308"/>
      <c r="E112" s="309"/>
    </row>
    <row r="113" ht="15.75" customHeight="1">
      <c r="A113" s="307"/>
      <c r="B113" s="529"/>
      <c r="D113" s="308"/>
      <c r="E113" s="309"/>
    </row>
    <row r="114" ht="15.75" customHeight="1">
      <c r="A114" s="307"/>
      <c r="B114" s="529"/>
      <c r="D114" s="308"/>
      <c r="E114" s="309"/>
    </row>
    <row r="115" ht="15.75" customHeight="1">
      <c r="A115" s="307"/>
      <c r="B115" s="529"/>
      <c r="D115" s="308"/>
      <c r="E115" s="309"/>
    </row>
    <row r="116" ht="15.75" customHeight="1">
      <c r="A116" s="307"/>
      <c r="B116" s="529"/>
      <c r="D116" s="308"/>
      <c r="E116" s="309"/>
    </row>
    <row r="117" ht="15.75" customHeight="1">
      <c r="A117" s="307"/>
      <c r="B117" s="529"/>
      <c r="D117" s="308"/>
      <c r="E117" s="309"/>
    </row>
    <row r="118" ht="15.75" customHeight="1">
      <c r="A118" s="307"/>
      <c r="B118" s="529"/>
      <c r="D118" s="308"/>
      <c r="E118" s="309"/>
    </row>
    <row r="119" ht="15.75" customHeight="1">
      <c r="A119" s="307"/>
      <c r="B119" s="529"/>
      <c r="D119" s="308"/>
      <c r="E119" s="309"/>
    </row>
    <row r="120" ht="15.75" customHeight="1">
      <c r="A120" s="307"/>
      <c r="B120" s="529"/>
      <c r="D120" s="308"/>
      <c r="E120" s="309"/>
    </row>
    <row r="121" ht="15.75" customHeight="1">
      <c r="A121" s="307"/>
      <c r="B121" s="529"/>
      <c r="D121" s="308"/>
      <c r="E121" s="309"/>
    </row>
    <row r="122" ht="15.75" customHeight="1">
      <c r="A122" s="307"/>
      <c r="B122" s="529"/>
      <c r="D122" s="308"/>
      <c r="E122" s="309"/>
    </row>
    <row r="123" ht="15.75" customHeight="1">
      <c r="A123" s="307"/>
      <c r="B123" s="529"/>
      <c r="D123" s="308"/>
      <c r="E123" s="309"/>
    </row>
    <row r="124" ht="15.75" customHeight="1">
      <c r="A124" s="307"/>
      <c r="B124" s="529"/>
      <c r="D124" s="308"/>
      <c r="E124" s="309"/>
    </row>
    <row r="125" ht="15.75" customHeight="1">
      <c r="A125" s="307"/>
      <c r="B125" s="529"/>
      <c r="D125" s="308"/>
      <c r="E125" s="309"/>
    </row>
    <row r="126" ht="15.75" customHeight="1">
      <c r="A126" s="307"/>
      <c r="B126" s="529"/>
      <c r="D126" s="308"/>
      <c r="E126" s="309"/>
    </row>
    <row r="127" ht="15.75" customHeight="1">
      <c r="A127" s="307"/>
      <c r="B127" s="529"/>
      <c r="D127" s="308"/>
      <c r="E127" s="309"/>
    </row>
    <row r="128" ht="15.75" customHeight="1">
      <c r="A128" s="307"/>
      <c r="B128" s="529"/>
      <c r="D128" s="308"/>
      <c r="E128" s="309"/>
    </row>
    <row r="129" ht="15.75" customHeight="1">
      <c r="A129" s="307"/>
      <c r="B129" s="529"/>
      <c r="D129" s="308"/>
      <c r="E129" s="309"/>
    </row>
    <row r="130" ht="15.75" customHeight="1">
      <c r="A130" s="307"/>
      <c r="B130" s="529"/>
      <c r="D130" s="308"/>
      <c r="E130" s="309"/>
    </row>
    <row r="131" ht="15.75" customHeight="1">
      <c r="A131" s="307"/>
      <c r="B131" s="529"/>
      <c r="D131" s="308"/>
      <c r="E131" s="309"/>
    </row>
    <row r="132" ht="15.75" customHeight="1">
      <c r="A132" s="307"/>
      <c r="B132" s="529"/>
      <c r="D132" s="308"/>
      <c r="E132" s="309"/>
    </row>
    <row r="133" ht="15.75" customHeight="1">
      <c r="A133" s="307"/>
      <c r="B133" s="529"/>
      <c r="D133" s="308"/>
      <c r="E133" s="309"/>
    </row>
    <row r="134" ht="15.75" customHeight="1">
      <c r="A134" s="307"/>
      <c r="B134" s="529"/>
      <c r="D134" s="308"/>
      <c r="E134" s="309"/>
    </row>
    <row r="135" ht="15.75" customHeight="1">
      <c r="A135" s="307"/>
      <c r="B135" s="529"/>
      <c r="D135" s="308"/>
      <c r="E135" s="309"/>
    </row>
    <row r="136" ht="15.75" customHeight="1">
      <c r="A136" s="307"/>
      <c r="B136" s="529"/>
      <c r="D136" s="308"/>
      <c r="E136" s="309"/>
    </row>
    <row r="137" ht="15.75" customHeight="1">
      <c r="A137" s="307"/>
      <c r="B137" s="529"/>
      <c r="D137" s="308"/>
      <c r="E137" s="309"/>
    </row>
    <row r="138" ht="15.75" customHeight="1">
      <c r="A138" s="307"/>
      <c r="B138" s="529"/>
      <c r="D138" s="308"/>
      <c r="E138" s="309"/>
    </row>
    <row r="139" ht="15.75" customHeight="1">
      <c r="A139" s="307"/>
      <c r="B139" s="529"/>
      <c r="D139" s="308"/>
      <c r="E139" s="309"/>
    </row>
    <row r="140" ht="15.75" customHeight="1">
      <c r="A140" s="307"/>
      <c r="B140" s="529"/>
      <c r="D140" s="308"/>
      <c r="E140" s="309"/>
    </row>
    <row r="141" ht="15.75" customHeight="1">
      <c r="A141" s="307"/>
      <c r="B141" s="529"/>
      <c r="D141" s="308"/>
      <c r="E141" s="309"/>
    </row>
    <row r="142" ht="15.75" customHeight="1">
      <c r="A142" s="307"/>
      <c r="B142" s="529"/>
      <c r="D142" s="308"/>
      <c r="E142" s="309"/>
    </row>
    <row r="143" ht="15.75" customHeight="1">
      <c r="A143" s="307"/>
      <c r="B143" s="529"/>
      <c r="D143" s="308"/>
      <c r="E143" s="309"/>
    </row>
    <row r="144" ht="15.75" customHeight="1">
      <c r="A144" s="307"/>
      <c r="B144" s="529"/>
      <c r="D144" s="308"/>
      <c r="E144" s="309"/>
    </row>
    <row r="145" ht="15.75" customHeight="1">
      <c r="A145" s="307"/>
      <c r="B145" s="529"/>
      <c r="D145" s="308"/>
      <c r="E145" s="309"/>
    </row>
    <row r="146" ht="15.75" customHeight="1">
      <c r="A146" s="307"/>
      <c r="B146" s="529"/>
      <c r="D146" s="308"/>
      <c r="E146" s="309"/>
    </row>
    <row r="147" ht="15.75" customHeight="1">
      <c r="A147" s="307"/>
      <c r="B147" s="529"/>
      <c r="D147" s="308"/>
      <c r="E147" s="309"/>
    </row>
    <row r="148" ht="15.75" customHeight="1">
      <c r="A148" s="307"/>
      <c r="B148" s="529"/>
      <c r="D148" s="308"/>
      <c r="E148" s="309"/>
    </row>
    <row r="149" ht="15.75" customHeight="1">
      <c r="A149" s="307"/>
      <c r="B149" s="529"/>
      <c r="D149" s="308"/>
      <c r="E149" s="309"/>
    </row>
    <row r="150" ht="15.75" customHeight="1">
      <c r="A150" s="307"/>
      <c r="B150" s="529"/>
      <c r="D150" s="308"/>
      <c r="E150" s="309"/>
    </row>
    <row r="151" ht="15.75" customHeight="1">
      <c r="A151" s="307"/>
      <c r="B151" s="529"/>
      <c r="D151" s="308"/>
      <c r="E151" s="309"/>
    </row>
    <row r="152" ht="15.75" customHeight="1">
      <c r="A152" s="307"/>
      <c r="B152" s="529"/>
      <c r="D152" s="308"/>
      <c r="E152" s="309"/>
    </row>
    <row r="153" ht="15.75" customHeight="1">
      <c r="A153" s="307"/>
      <c r="B153" s="529"/>
      <c r="D153" s="308"/>
      <c r="E153" s="309"/>
    </row>
    <row r="154" ht="15.75" customHeight="1">
      <c r="A154" s="307"/>
      <c r="B154" s="529"/>
      <c r="D154" s="308"/>
      <c r="E154" s="309"/>
    </row>
    <row r="155" ht="15.75" customHeight="1">
      <c r="A155" s="307"/>
      <c r="B155" s="529"/>
      <c r="D155" s="308"/>
      <c r="E155" s="309"/>
    </row>
    <row r="156" ht="15.75" customHeight="1">
      <c r="A156" s="307"/>
      <c r="B156" s="529"/>
      <c r="D156" s="308"/>
      <c r="E156" s="309"/>
    </row>
    <row r="157" ht="15.75" customHeight="1">
      <c r="A157" s="307"/>
      <c r="B157" s="529"/>
      <c r="D157" s="308"/>
      <c r="E157" s="309"/>
    </row>
    <row r="158" ht="15.75" customHeight="1">
      <c r="A158" s="307"/>
      <c r="B158" s="529"/>
      <c r="D158" s="308"/>
      <c r="E158" s="309"/>
    </row>
    <row r="159" ht="15.75" customHeight="1">
      <c r="A159" s="307"/>
      <c r="B159" s="529"/>
      <c r="D159" s="308"/>
      <c r="E159" s="309"/>
    </row>
    <row r="160" ht="15.75" customHeight="1">
      <c r="A160" s="307"/>
      <c r="B160" s="529"/>
      <c r="D160" s="308"/>
      <c r="E160" s="309"/>
    </row>
    <row r="161" ht="15.75" customHeight="1">
      <c r="A161" s="307"/>
      <c r="B161" s="529"/>
      <c r="D161" s="308"/>
      <c r="E161" s="309"/>
    </row>
    <row r="162" ht="15.75" customHeight="1">
      <c r="A162" s="307"/>
      <c r="B162" s="529"/>
      <c r="D162" s="308"/>
      <c r="E162" s="309"/>
    </row>
    <row r="163" ht="15.75" customHeight="1">
      <c r="A163" s="307"/>
      <c r="B163" s="529"/>
      <c r="D163" s="308"/>
      <c r="E163" s="309"/>
    </row>
    <row r="164" ht="15.75" customHeight="1">
      <c r="A164" s="307"/>
      <c r="B164" s="529"/>
      <c r="D164" s="308"/>
      <c r="E164" s="309"/>
    </row>
    <row r="165" ht="15.75" customHeight="1">
      <c r="A165" s="307"/>
      <c r="B165" s="529"/>
      <c r="D165" s="308"/>
      <c r="E165" s="309"/>
    </row>
    <row r="166" ht="15.75" customHeight="1">
      <c r="A166" s="307"/>
      <c r="B166" s="529"/>
      <c r="D166" s="308"/>
      <c r="E166" s="309"/>
    </row>
    <row r="167" ht="15.75" customHeight="1">
      <c r="A167" s="307"/>
      <c r="B167" s="529"/>
      <c r="D167" s="308"/>
      <c r="E167" s="309"/>
    </row>
    <row r="168" ht="15.75" customHeight="1">
      <c r="A168" s="307"/>
      <c r="B168" s="529"/>
      <c r="D168" s="308"/>
      <c r="E168" s="309"/>
    </row>
    <row r="169" ht="15.75" customHeight="1">
      <c r="A169" s="307"/>
      <c r="B169" s="529"/>
      <c r="D169" s="308"/>
      <c r="E169" s="309"/>
    </row>
    <row r="170" ht="15.75" customHeight="1">
      <c r="A170" s="307"/>
      <c r="B170" s="529"/>
      <c r="D170" s="308"/>
      <c r="E170" s="309"/>
    </row>
    <row r="171" ht="15.75" customHeight="1">
      <c r="A171" s="307"/>
      <c r="B171" s="529"/>
      <c r="D171" s="308"/>
      <c r="E171" s="309"/>
    </row>
    <row r="172" ht="15.75" customHeight="1">
      <c r="A172" s="307"/>
      <c r="B172" s="529"/>
      <c r="D172" s="308"/>
      <c r="E172" s="309"/>
    </row>
    <row r="173" ht="15.75" customHeight="1">
      <c r="A173" s="307"/>
      <c r="B173" s="529"/>
      <c r="D173" s="308"/>
      <c r="E173" s="309"/>
    </row>
    <row r="174" ht="15.75" customHeight="1">
      <c r="A174" s="307"/>
      <c r="B174" s="529"/>
      <c r="D174" s="308"/>
      <c r="E174" s="309"/>
    </row>
    <row r="175" ht="15.75" customHeight="1">
      <c r="A175" s="307"/>
      <c r="B175" s="529"/>
      <c r="D175" s="308"/>
      <c r="E175" s="309"/>
    </row>
    <row r="176" ht="15.75" customHeight="1">
      <c r="A176" s="307"/>
      <c r="B176" s="529"/>
      <c r="D176" s="308"/>
      <c r="E176" s="309"/>
    </row>
    <row r="177" ht="15.75" customHeight="1">
      <c r="A177" s="307"/>
      <c r="B177" s="529"/>
      <c r="D177" s="308"/>
      <c r="E177" s="309"/>
    </row>
    <row r="178" ht="15.75" customHeight="1">
      <c r="A178" s="307"/>
      <c r="B178" s="529"/>
      <c r="D178" s="308"/>
      <c r="E178" s="309"/>
    </row>
    <row r="179" ht="15.75" customHeight="1">
      <c r="A179" s="307"/>
      <c r="B179" s="529"/>
      <c r="D179" s="308"/>
      <c r="E179" s="309"/>
    </row>
    <row r="180" ht="15.75" customHeight="1">
      <c r="A180" s="307"/>
      <c r="B180" s="529"/>
      <c r="D180" s="308"/>
      <c r="E180" s="309"/>
    </row>
    <row r="181" ht="15.75" customHeight="1">
      <c r="A181" s="307"/>
      <c r="B181" s="529"/>
      <c r="D181" s="308"/>
      <c r="E181" s="309"/>
    </row>
    <row r="182" ht="15.75" customHeight="1">
      <c r="A182" s="307"/>
      <c r="B182" s="529"/>
      <c r="D182" s="308"/>
      <c r="E182" s="309"/>
    </row>
    <row r="183" ht="15.75" customHeight="1">
      <c r="A183" s="307"/>
      <c r="B183" s="529"/>
      <c r="D183" s="308"/>
      <c r="E183" s="309"/>
    </row>
    <row r="184" ht="15.75" customHeight="1">
      <c r="A184" s="307"/>
      <c r="B184" s="529"/>
      <c r="D184" s="308"/>
      <c r="E184" s="309"/>
    </row>
    <row r="185" ht="15.75" customHeight="1">
      <c r="A185" s="307"/>
      <c r="B185" s="529"/>
      <c r="D185" s="308"/>
      <c r="E185" s="309"/>
    </row>
    <row r="186" ht="15.75" customHeight="1">
      <c r="A186" s="307"/>
      <c r="B186" s="529"/>
      <c r="D186" s="308"/>
      <c r="E186" s="309"/>
    </row>
    <row r="187" ht="15.75" customHeight="1">
      <c r="A187" s="307"/>
      <c r="B187" s="529"/>
      <c r="D187" s="308"/>
      <c r="E187" s="309"/>
    </row>
    <row r="188" ht="15.75" customHeight="1">
      <c r="A188" s="307"/>
      <c r="B188" s="529"/>
      <c r="D188" s="308"/>
      <c r="E188" s="309"/>
    </row>
    <row r="189" ht="15.75" customHeight="1">
      <c r="A189" s="307"/>
      <c r="B189" s="529"/>
      <c r="D189" s="308"/>
      <c r="E189" s="309"/>
    </row>
    <row r="190" ht="15.75" customHeight="1">
      <c r="A190" s="307"/>
      <c r="B190" s="529"/>
      <c r="D190" s="308"/>
      <c r="E190" s="309"/>
    </row>
    <row r="191" ht="15.75" customHeight="1">
      <c r="A191" s="307"/>
      <c r="B191" s="529"/>
      <c r="D191" s="308"/>
      <c r="E191" s="309"/>
    </row>
    <row r="192" ht="15.75" customHeight="1">
      <c r="A192" s="307"/>
      <c r="B192" s="529"/>
      <c r="D192" s="308"/>
      <c r="E192" s="309"/>
    </row>
    <row r="193" ht="15.75" customHeight="1">
      <c r="A193" s="307"/>
      <c r="B193" s="529"/>
      <c r="D193" s="308"/>
      <c r="E193" s="309"/>
    </row>
    <row r="194" ht="15.75" customHeight="1">
      <c r="A194" s="307"/>
      <c r="B194" s="529"/>
      <c r="D194" s="308"/>
      <c r="E194" s="309"/>
    </row>
    <row r="195" ht="15.75" customHeight="1">
      <c r="A195" s="307"/>
      <c r="B195" s="529"/>
      <c r="D195" s="308"/>
      <c r="E195" s="309"/>
    </row>
    <row r="196" ht="15.75" customHeight="1">
      <c r="A196" s="307"/>
      <c r="B196" s="529"/>
      <c r="D196" s="308"/>
      <c r="E196" s="309"/>
    </row>
    <row r="197" ht="15.75" customHeight="1">
      <c r="A197" s="307"/>
      <c r="B197" s="529"/>
      <c r="D197" s="308"/>
      <c r="E197" s="309"/>
    </row>
    <row r="198" ht="15.75" customHeight="1">
      <c r="A198" s="307"/>
      <c r="B198" s="529"/>
      <c r="D198" s="308"/>
      <c r="E198" s="309"/>
    </row>
    <row r="199" ht="15.75" customHeight="1">
      <c r="A199" s="307"/>
      <c r="B199" s="529"/>
      <c r="D199" s="308"/>
      <c r="E199" s="309"/>
    </row>
    <row r="200" ht="15.75" customHeight="1">
      <c r="A200" s="307"/>
      <c r="B200" s="529"/>
      <c r="D200" s="308"/>
      <c r="E200" s="309"/>
    </row>
    <row r="201" ht="15.75" customHeight="1">
      <c r="A201" s="307"/>
      <c r="B201" s="529"/>
      <c r="D201" s="308"/>
      <c r="E201" s="309"/>
    </row>
    <row r="202" ht="15.75" customHeight="1">
      <c r="A202" s="307"/>
      <c r="B202" s="529"/>
      <c r="D202" s="308"/>
      <c r="E202" s="309"/>
    </row>
    <row r="203" ht="15.75" customHeight="1">
      <c r="A203" s="307"/>
      <c r="B203" s="529"/>
      <c r="D203" s="308"/>
      <c r="E203" s="309"/>
    </row>
    <row r="204" ht="15.75" customHeight="1">
      <c r="A204" s="307"/>
      <c r="B204" s="529"/>
      <c r="D204" s="308"/>
      <c r="E204" s="309"/>
    </row>
    <row r="205" ht="15.75" customHeight="1">
      <c r="A205" s="307"/>
      <c r="B205" s="529"/>
      <c r="D205" s="308"/>
      <c r="E205" s="309"/>
    </row>
    <row r="206" ht="15.75" customHeight="1">
      <c r="A206" s="307"/>
      <c r="B206" s="529"/>
      <c r="D206" s="308"/>
      <c r="E206" s="309"/>
    </row>
    <row r="207" ht="15.75" customHeight="1">
      <c r="A207" s="307"/>
      <c r="B207" s="529"/>
      <c r="D207" s="308"/>
      <c r="E207" s="309"/>
    </row>
    <row r="208" ht="15.75" customHeight="1">
      <c r="A208" s="307"/>
      <c r="B208" s="529"/>
      <c r="D208" s="308"/>
      <c r="E208" s="309"/>
    </row>
    <row r="209" ht="15.75" customHeight="1">
      <c r="A209" s="307"/>
      <c r="B209" s="529"/>
      <c r="D209" s="308"/>
      <c r="E209" s="309"/>
    </row>
    <row r="210" ht="15.75" customHeight="1">
      <c r="A210" s="307"/>
      <c r="B210" s="529"/>
      <c r="D210" s="308"/>
      <c r="E210" s="309"/>
    </row>
    <row r="211" ht="15.75" customHeight="1">
      <c r="A211" s="307"/>
      <c r="B211" s="529"/>
      <c r="D211" s="308"/>
      <c r="E211" s="309"/>
    </row>
    <row r="212" ht="15.75" customHeight="1">
      <c r="A212" s="307"/>
      <c r="B212" s="529"/>
      <c r="D212" s="308"/>
      <c r="E212" s="309"/>
    </row>
    <row r="213" ht="15.75" customHeight="1">
      <c r="A213" s="307"/>
      <c r="B213" s="529"/>
      <c r="D213" s="308"/>
      <c r="E213" s="309"/>
    </row>
    <row r="214" ht="15.75" customHeight="1">
      <c r="A214" s="307"/>
      <c r="B214" s="529"/>
      <c r="D214" s="308"/>
      <c r="E214" s="309"/>
    </row>
    <row r="215" ht="15.75" customHeight="1">
      <c r="A215" s="307"/>
      <c r="B215" s="529"/>
      <c r="D215" s="308"/>
      <c r="E215" s="309"/>
    </row>
    <row r="216" ht="15.75" customHeight="1">
      <c r="A216" s="307"/>
      <c r="B216" s="529"/>
      <c r="D216" s="308"/>
      <c r="E216" s="309"/>
    </row>
    <row r="217" ht="15.75" customHeight="1">
      <c r="A217" s="307"/>
      <c r="B217" s="529"/>
      <c r="D217" s="308"/>
      <c r="E217" s="309"/>
    </row>
    <row r="218" ht="15.75" customHeight="1">
      <c r="A218" s="307"/>
      <c r="B218" s="529"/>
      <c r="D218" s="308"/>
      <c r="E218" s="309"/>
    </row>
    <row r="219" ht="15.75" customHeight="1">
      <c r="A219" s="307"/>
      <c r="B219" s="529"/>
      <c r="D219" s="308"/>
      <c r="E219" s="309"/>
    </row>
    <row r="220" ht="15.75" customHeight="1">
      <c r="A220" s="307"/>
      <c r="B220" s="529"/>
      <c r="D220" s="308"/>
      <c r="E220" s="309"/>
    </row>
    <row r="221" ht="15.75" customHeight="1">
      <c r="A221" s="307"/>
      <c r="B221" s="529"/>
      <c r="D221" s="308"/>
      <c r="E221" s="309"/>
    </row>
    <row r="222" ht="15.75" customHeight="1">
      <c r="A222" s="307"/>
      <c r="B222" s="529"/>
      <c r="D222" s="308"/>
      <c r="E222" s="309"/>
    </row>
    <row r="223" ht="15.75" customHeight="1">
      <c r="A223" s="307"/>
      <c r="B223" s="529"/>
      <c r="D223" s="308"/>
      <c r="E223" s="309"/>
    </row>
    <row r="224" ht="15.75" customHeight="1">
      <c r="A224" s="307"/>
      <c r="B224" s="529"/>
      <c r="D224" s="308"/>
      <c r="E224" s="309"/>
    </row>
    <row r="225" ht="15.75" customHeight="1">
      <c r="A225" s="307"/>
      <c r="B225" s="529"/>
      <c r="D225" s="308"/>
      <c r="E225" s="309"/>
    </row>
    <row r="226" ht="15.75" customHeight="1">
      <c r="A226" s="307"/>
      <c r="B226" s="529"/>
      <c r="D226" s="308"/>
      <c r="E226" s="309"/>
    </row>
    <row r="227" ht="15.75" customHeight="1">
      <c r="A227" s="307"/>
      <c r="B227" s="529"/>
      <c r="D227" s="308"/>
      <c r="E227" s="309"/>
    </row>
    <row r="228" ht="15.75" customHeight="1">
      <c r="A228" s="307"/>
      <c r="B228" s="529"/>
    </row>
    <row r="229" ht="15.75" customHeight="1">
      <c r="A229" s="307"/>
      <c r="B229" s="529"/>
    </row>
    <row r="230" ht="15.75" customHeight="1">
      <c r="A230" s="307"/>
      <c r="B230" s="529"/>
    </row>
    <row r="231" ht="15.75" customHeight="1">
      <c r="A231" s="307"/>
      <c r="B231" s="529"/>
    </row>
    <row r="232" ht="15.75" customHeight="1">
      <c r="A232" s="307"/>
      <c r="B232" s="529"/>
    </row>
    <row r="233" ht="15.75" customHeight="1">
      <c r="A233" s="307"/>
      <c r="B233" s="529"/>
    </row>
    <row r="234" ht="15.75" customHeight="1">
      <c r="A234" s="307"/>
      <c r="B234" s="529"/>
    </row>
    <row r="235" ht="15.75" customHeight="1">
      <c r="A235" s="307"/>
      <c r="B235" s="529"/>
    </row>
    <row r="236" ht="15.75" customHeight="1">
      <c r="B236" s="308"/>
    </row>
    <row r="237" ht="15.75" customHeight="1">
      <c r="B237" s="308"/>
    </row>
    <row r="238" ht="15.75" customHeight="1">
      <c r="B238" s="308"/>
    </row>
    <row r="239" ht="15.75" customHeight="1">
      <c r="B239" s="308"/>
    </row>
    <row r="240" ht="15.75" customHeight="1">
      <c r="B240" s="308"/>
    </row>
    <row r="241" ht="15.75" customHeight="1">
      <c r="B241" s="308"/>
    </row>
    <row r="242" ht="15.75" customHeight="1">
      <c r="B242" s="308"/>
    </row>
    <row r="243" ht="15.75" customHeight="1">
      <c r="B243" s="308"/>
    </row>
    <row r="244" ht="15.75" customHeight="1">
      <c r="B244" s="308"/>
    </row>
    <row r="245" ht="15.75" customHeight="1">
      <c r="B245" s="308"/>
    </row>
    <row r="246" ht="15.75" customHeight="1">
      <c r="B246" s="308"/>
    </row>
    <row r="247" ht="15.75" customHeight="1">
      <c r="B247" s="308"/>
    </row>
    <row r="248" ht="15.75" customHeight="1">
      <c r="B248" s="308"/>
    </row>
    <row r="249" ht="15.75" customHeight="1">
      <c r="B249" s="308"/>
    </row>
    <row r="250" ht="15.75" customHeight="1">
      <c r="B250" s="308"/>
    </row>
    <row r="251" ht="15.75" customHeight="1">
      <c r="B251" s="308"/>
    </row>
    <row r="252" ht="15.75" customHeight="1">
      <c r="B252" s="308"/>
    </row>
    <row r="253" ht="15.75" customHeight="1">
      <c r="B253" s="308"/>
    </row>
    <row r="254" ht="15.75" customHeight="1">
      <c r="B254" s="308"/>
    </row>
    <row r="255" ht="15.75" customHeight="1">
      <c r="B255" s="308"/>
    </row>
    <row r="256" ht="15.75" customHeight="1">
      <c r="B256" s="308"/>
    </row>
    <row r="257" ht="15.75" customHeight="1">
      <c r="B257" s="308"/>
    </row>
    <row r="258" ht="15.75" customHeight="1">
      <c r="B258" s="308"/>
    </row>
    <row r="259" ht="15.75" customHeight="1">
      <c r="B259" s="308"/>
    </row>
    <row r="260" ht="15.75" customHeight="1">
      <c r="B260" s="308"/>
    </row>
    <row r="261" ht="15.75" customHeight="1">
      <c r="B261" s="308"/>
    </row>
    <row r="262" ht="15.75" customHeight="1">
      <c r="B262" s="308"/>
    </row>
    <row r="263" ht="15.75" customHeight="1">
      <c r="B263" s="308"/>
    </row>
    <row r="264" ht="15.75" customHeight="1">
      <c r="B264" s="308"/>
    </row>
    <row r="265" ht="15.75" customHeight="1">
      <c r="B265" s="308"/>
    </row>
    <row r="266" ht="15.75" customHeight="1">
      <c r="B266" s="308"/>
    </row>
    <row r="267" ht="15.75" customHeight="1">
      <c r="B267" s="308"/>
    </row>
    <row r="268" ht="15.75" customHeight="1">
      <c r="B268" s="308"/>
    </row>
    <row r="269" ht="15.75" customHeight="1">
      <c r="B269" s="308"/>
    </row>
    <row r="270" ht="15.75" customHeight="1">
      <c r="B270" s="308"/>
    </row>
    <row r="271" ht="15.75" customHeight="1">
      <c r="B271" s="308"/>
    </row>
    <row r="272" ht="15.75" customHeight="1">
      <c r="B272" s="308"/>
    </row>
    <row r="273" ht="15.75" customHeight="1">
      <c r="B273" s="308"/>
    </row>
    <row r="274" ht="15.75" customHeight="1">
      <c r="B274" s="308"/>
    </row>
    <row r="275" ht="15.75" customHeight="1">
      <c r="B275" s="308"/>
    </row>
    <row r="276" ht="15.75" customHeight="1">
      <c r="B276" s="308"/>
    </row>
    <row r="277" ht="15.75" customHeight="1">
      <c r="B277" s="308"/>
    </row>
    <row r="278" ht="15.75" customHeight="1">
      <c r="B278" s="308"/>
    </row>
    <row r="279" ht="15.75" customHeight="1">
      <c r="B279" s="308"/>
    </row>
    <row r="280" ht="15.75" customHeight="1">
      <c r="B280" s="308"/>
    </row>
    <row r="281" ht="15.75" customHeight="1">
      <c r="B281" s="308"/>
    </row>
    <row r="282" ht="15.75" customHeight="1">
      <c r="B282" s="308"/>
    </row>
    <row r="283" ht="15.75" customHeight="1">
      <c r="B283" s="308"/>
    </row>
    <row r="284" ht="15.75" customHeight="1">
      <c r="B284" s="308"/>
    </row>
    <row r="285" ht="15.75" customHeight="1">
      <c r="B285" s="308"/>
    </row>
    <row r="286" ht="15.75" customHeight="1">
      <c r="B286" s="308"/>
    </row>
    <row r="287" ht="15.75" customHeight="1">
      <c r="B287" s="308"/>
    </row>
    <row r="288" ht="15.75" customHeight="1">
      <c r="B288" s="308"/>
    </row>
    <row r="289" ht="15.75" customHeight="1">
      <c r="B289" s="308"/>
    </row>
    <row r="290" ht="15.75" customHeight="1">
      <c r="B290" s="308"/>
    </row>
    <row r="291" ht="15.75" customHeight="1">
      <c r="B291" s="308"/>
    </row>
    <row r="292" ht="15.75" customHeight="1">
      <c r="B292" s="308"/>
    </row>
    <row r="293" ht="15.75" customHeight="1">
      <c r="B293" s="308"/>
    </row>
    <row r="294" ht="15.75" customHeight="1">
      <c r="B294" s="308"/>
    </row>
    <row r="295" ht="15.75" customHeight="1">
      <c r="B295" s="308"/>
    </row>
    <row r="296" ht="15.75" customHeight="1">
      <c r="B296" s="308"/>
    </row>
    <row r="297" ht="15.75" customHeight="1">
      <c r="B297" s="308"/>
    </row>
    <row r="298" ht="15.75" customHeight="1">
      <c r="B298" s="308"/>
    </row>
    <row r="299" ht="15.75" customHeight="1">
      <c r="B299" s="308"/>
    </row>
    <row r="300" ht="15.75" customHeight="1">
      <c r="B300" s="308"/>
    </row>
    <row r="301" ht="15.75" customHeight="1">
      <c r="B301" s="308"/>
    </row>
    <row r="302" ht="15.75" customHeight="1">
      <c r="B302" s="308"/>
    </row>
    <row r="303" ht="15.75" customHeight="1">
      <c r="B303" s="308"/>
    </row>
    <row r="304" ht="15.75" customHeight="1">
      <c r="B304" s="308"/>
    </row>
    <row r="305" ht="15.75" customHeight="1">
      <c r="B305" s="308"/>
    </row>
    <row r="306" ht="15.75" customHeight="1">
      <c r="B306" s="308"/>
    </row>
    <row r="307" ht="15.75" customHeight="1">
      <c r="B307" s="308"/>
    </row>
    <row r="308" ht="15.75" customHeight="1">
      <c r="B308" s="308"/>
    </row>
    <row r="309" ht="15.75" customHeight="1">
      <c r="B309" s="308"/>
    </row>
    <row r="310" ht="15.75" customHeight="1">
      <c r="B310" s="308"/>
    </row>
    <row r="311" ht="15.75" customHeight="1">
      <c r="B311" s="308"/>
    </row>
    <row r="312" ht="15.75" customHeight="1">
      <c r="B312" s="308"/>
    </row>
    <row r="313" ht="15.75" customHeight="1">
      <c r="B313" s="308"/>
    </row>
    <row r="314" ht="15.75" customHeight="1">
      <c r="B314" s="308"/>
    </row>
    <row r="315" ht="15.75" customHeight="1">
      <c r="B315" s="308"/>
    </row>
    <row r="316" ht="15.75" customHeight="1">
      <c r="B316" s="308"/>
    </row>
    <row r="317" ht="15.75" customHeight="1">
      <c r="B317" s="308"/>
    </row>
    <row r="318" ht="15.75" customHeight="1">
      <c r="B318" s="308"/>
    </row>
    <row r="319" ht="15.75" customHeight="1">
      <c r="B319" s="308"/>
    </row>
    <row r="320" ht="15.75" customHeight="1">
      <c r="B320" s="308"/>
    </row>
    <row r="321" ht="15.75" customHeight="1">
      <c r="B321" s="308"/>
    </row>
    <row r="322" ht="15.75" customHeight="1">
      <c r="B322" s="308"/>
    </row>
    <row r="323" ht="15.75" customHeight="1">
      <c r="B323" s="308"/>
    </row>
    <row r="324" ht="15.75" customHeight="1">
      <c r="B324" s="308"/>
    </row>
    <row r="325" ht="15.75" customHeight="1">
      <c r="B325" s="308"/>
    </row>
    <row r="326" ht="15.75" customHeight="1">
      <c r="B326" s="308"/>
    </row>
    <row r="327" ht="15.75" customHeight="1">
      <c r="B327" s="308"/>
    </row>
    <row r="328" ht="15.75" customHeight="1">
      <c r="B328" s="308"/>
    </row>
    <row r="329" ht="15.75" customHeight="1">
      <c r="B329" s="308"/>
    </row>
    <row r="330" ht="15.75" customHeight="1">
      <c r="B330" s="308"/>
    </row>
    <row r="331" ht="15.75" customHeight="1">
      <c r="B331" s="308"/>
    </row>
    <row r="332" ht="15.75" customHeight="1">
      <c r="B332" s="308"/>
    </row>
    <row r="333" ht="15.75" customHeight="1">
      <c r="B333" s="308"/>
    </row>
    <row r="334" ht="15.75" customHeight="1">
      <c r="B334" s="308"/>
    </row>
    <row r="335" ht="15.75" customHeight="1">
      <c r="B335" s="308"/>
    </row>
    <row r="336" ht="15.75" customHeight="1">
      <c r="B336" s="308"/>
    </row>
    <row r="337" ht="15.75" customHeight="1">
      <c r="B337" s="308"/>
    </row>
    <row r="338" ht="15.75" customHeight="1">
      <c r="B338" s="308"/>
    </row>
    <row r="339" ht="15.75" customHeight="1">
      <c r="B339" s="308"/>
    </row>
    <row r="340" ht="15.75" customHeight="1">
      <c r="B340" s="308"/>
    </row>
    <row r="341" ht="15.75" customHeight="1">
      <c r="B341" s="308"/>
    </row>
    <row r="342" ht="15.75" customHeight="1">
      <c r="B342" s="308"/>
    </row>
    <row r="343" ht="15.75" customHeight="1">
      <c r="B343" s="308"/>
    </row>
    <row r="344" ht="15.75" customHeight="1">
      <c r="B344" s="308"/>
    </row>
    <row r="345" ht="15.75" customHeight="1">
      <c r="B345" s="308"/>
    </row>
    <row r="346" ht="15.75" customHeight="1">
      <c r="B346" s="308"/>
    </row>
    <row r="347" ht="15.75" customHeight="1">
      <c r="B347" s="308"/>
    </row>
    <row r="348" ht="15.75" customHeight="1">
      <c r="B348" s="308"/>
    </row>
    <row r="349" ht="15.75" customHeight="1">
      <c r="B349" s="308"/>
    </row>
    <row r="350" ht="15.75" customHeight="1">
      <c r="B350" s="308"/>
    </row>
    <row r="351" ht="15.75" customHeight="1">
      <c r="B351" s="308"/>
    </row>
    <row r="352" ht="15.75" customHeight="1">
      <c r="B352" s="308"/>
    </row>
    <row r="353" ht="15.75" customHeight="1">
      <c r="B353" s="308"/>
    </row>
    <row r="354" ht="15.75" customHeight="1">
      <c r="B354" s="308"/>
    </row>
    <row r="355" ht="15.75" customHeight="1">
      <c r="B355" s="308"/>
    </row>
    <row r="356" ht="15.75" customHeight="1">
      <c r="B356" s="308"/>
    </row>
    <row r="357" ht="15.75" customHeight="1">
      <c r="B357" s="308"/>
    </row>
    <row r="358" ht="15.75" customHeight="1">
      <c r="B358" s="308"/>
    </row>
    <row r="359" ht="15.75" customHeight="1">
      <c r="B359" s="308"/>
    </row>
    <row r="360" ht="15.75" customHeight="1">
      <c r="B360" s="308"/>
    </row>
    <row r="361" ht="15.75" customHeight="1">
      <c r="B361" s="308"/>
    </row>
    <row r="362" ht="15.75" customHeight="1">
      <c r="B362" s="308"/>
    </row>
    <row r="363" ht="15.75" customHeight="1">
      <c r="B363" s="308"/>
    </row>
    <row r="364" ht="15.75" customHeight="1">
      <c r="B364" s="308"/>
    </row>
    <row r="365" ht="15.75" customHeight="1">
      <c r="B365" s="308"/>
    </row>
    <row r="366" ht="15.75" customHeight="1">
      <c r="B366" s="308"/>
    </row>
    <row r="367" ht="15.75" customHeight="1">
      <c r="B367" s="308"/>
    </row>
    <row r="368" ht="15.75" customHeight="1">
      <c r="B368" s="308"/>
    </row>
    <row r="369" ht="15.75" customHeight="1">
      <c r="B369" s="308"/>
    </row>
    <row r="370" ht="15.75" customHeight="1">
      <c r="B370" s="308"/>
    </row>
    <row r="371" ht="15.75" customHeight="1">
      <c r="B371" s="308"/>
    </row>
    <row r="372" ht="15.75" customHeight="1">
      <c r="B372" s="308"/>
    </row>
    <row r="373" ht="15.75" customHeight="1">
      <c r="B373" s="308"/>
    </row>
    <row r="374" ht="15.75" customHeight="1">
      <c r="B374" s="308"/>
    </row>
    <row r="375" ht="15.75" customHeight="1">
      <c r="B375" s="308"/>
    </row>
    <row r="376" ht="15.75" customHeight="1">
      <c r="B376" s="308"/>
    </row>
    <row r="377" ht="15.75" customHeight="1">
      <c r="B377" s="308"/>
    </row>
    <row r="378" ht="15.75" customHeight="1">
      <c r="B378" s="308"/>
    </row>
    <row r="379" ht="15.75" customHeight="1">
      <c r="B379" s="308"/>
    </row>
    <row r="380" ht="15.75" customHeight="1">
      <c r="B380" s="308"/>
    </row>
    <row r="381" ht="15.75" customHeight="1">
      <c r="B381" s="308"/>
    </row>
    <row r="382" ht="15.75" customHeight="1">
      <c r="B382" s="308"/>
    </row>
    <row r="383" ht="15.75" customHeight="1">
      <c r="B383" s="308"/>
    </row>
    <row r="384" ht="15.75" customHeight="1">
      <c r="B384" s="308"/>
    </row>
    <row r="385" ht="15.75" customHeight="1">
      <c r="B385" s="308"/>
    </row>
    <row r="386" ht="15.75" customHeight="1">
      <c r="B386" s="308"/>
    </row>
    <row r="387" ht="15.75" customHeight="1">
      <c r="B387" s="308"/>
    </row>
    <row r="388" ht="15.75" customHeight="1">
      <c r="B388" s="308"/>
    </row>
    <row r="389" ht="15.75" customHeight="1">
      <c r="B389" s="308"/>
    </row>
    <row r="390" ht="15.75" customHeight="1">
      <c r="B390" s="308"/>
    </row>
    <row r="391" ht="15.75" customHeight="1">
      <c r="B391" s="308"/>
    </row>
    <row r="392" ht="15.75" customHeight="1">
      <c r="B392" s="308"/>
    </row>
    <row r="393" ht="15.75" customHeight="1">
      <c r="B393" s="308"/>
    </row>
    <row r="394" ht="15.75" customHeight="1">
      <c r="B394" s="308"/>
    </row>
    <row r="395" ht="15.75" customHeight="1">
      <c r="B395" s="308"/>
    </row>
    <row r="396" ht="15.75" customHeight="1">
      <c r="B396" s="308"/>
    </row>
    <row r="397" ht="15.75" customHeight="1">
      <c r="B397" s="308"/>
    </row>
    <row r="398" ht="15.75" customHeight="1">
      <c r="B398" s="308"/>
    </row>
    <row r="399" ht="15.75" customHeight="1">
      <c r="B399" s="308"/>
    </row>
    <row r="400" ht="15.75" customHeight="1">
      <c r="B400" s="308"/>
    </row>
    <row r="401" ht="15.75" customHeight="1">
      <c r="B401" s="308"/>
    </row>
    <row r="402" ht="15.75" customHeight="1">
      <c r="B402" s="308"/>
    </row>
    <row r="403" ht="15.75" customHeight="1">
      <c r="B403" s="308"/>
    </row>
    <row r="404" ht="15.75" customHeight="1">
      <c r="B404" s="308"/>
    </row>
    <row r="405" ht="15.75" customHeight="1">
      <c r="B405" s="308"/>
    </row>
    <row r="406" ht="15.75" customHeight="1">
      <c r="B406" s="308"/>
    </row>
    <row r="407" ht="15.75" customHeight="1">
      <c r="B407" s="308"/>
    </row>
    <row r="408" ht="15.75" customHeight="1">
      <c r="B408" s="308"/>
    </row>
    <row r="409" ht="15.75" customHeight="1">
      <c r="B409" s="308"/>
    </row>
    <row r="410" ht="15.75" customHeight="1">
      <c r="B410" s="308"/>
    </row>
    <row r="411" ht="15.75" customHeight="1">
      <c r="B411" s="308"/>
    </row>
    <row r="412" ht="15.75" customHeight="1">
      <c r="B412" s="308"/>
    </row>
    <row r="413" ht="15.75" customHeight="1">
      <c r="B413" s="308"/>
    </row>
    <row r="414" ht="15.75" customHeight="1">
      <c r="B414" s="308"/>
    </row>
    <row r="415" ht="15.75" customHeight="1">
      <c r="B415" s="308"/>
    </row>
    <row r="416" ht="15.75" customHeight="1">
      <c r="B416" s="308"/>
    </row>
    <row r="417" ht="15.75" customHeight="1">
      <c r="B417" s="308"/>
    </row>
    <row r="418" ht="15.75" customHeight="1">
      <c r="B418" s="308"/>
    </row>
    <row r="419" ht="15.75" customHeight="1">
      <c r="B419" s="308"/>
    </row>
    <row r="420" ht="15.75" customHeight="1">
      <c r="B420" s="308"/>
    </row>
    <row r="421" ht="15.75" customHeight="1">
      <c r="B421" s="308"/>
    </row>
    <row r="422" ht="15.75" customHeight="1">
      <c r="B422" s="308"/>
    </row>
    <row r="423" ht="15.75" customHeight="1">
      <c r="B423" s="308"/>
    </row>
    <row r="424" ht="15.75" customHeight="1">
      <c r="B424" s="308"/>
    </row>
    <row r="425" ht="15.75" customHeight="1">
      <c r="B425" s="308"/>
    </row>
    <row r="426" ht="15.75" customHeight="1">
      <c r="B426" s="308"/>
    </row>
    <row r="427" ht="15.75" customHeight="1">
      <c r="B427" s="308"/>
    </row>
    <row r="428" ht="15.75" customHeight="1">
      <c r="B428" s="308"/>
    </row>
    <row r="429" ht="15.75" customHeight="1">
      <c r="B429" s="308"/>
    </row>
    <row r="430" ht="15.75" customHeight="1">
      <c r="B430" s="308"/>
    </row>
    <row r="431" ht="15.75" customHeight="1">
      <c r="B431" s="308"/>
    </row>
    <row r="432" ht="15.75" customHeight="1">
      <c r="B432" s="308"/>
    </row>
    <row r="433" ht="15.75" customHeight="1">
      <c r="B433" s="308"/>
    </row>
    <row r="434" ht="15.75" customHeight="1">
      <c r="B434" s="308"/>
    </row>
    <row r="435" ht="15.75" customHeight="1">
      <c r="B435" s="308"/>
    </row>
    <row r="436" ht="15.75" customHeight="1">
      <c r="B436" s="308"/>
    </row>
    <row r="437" ht="15.75" customHeight="1">
      <c r="B437" s="308"/>
    </row>
    <row r="438" ht="15.75" customHeight="1">
      <c r="B438" s="308"/>
    </row>
    <row r="439" ht="15.75" customHeight="1">
      <c r="B439" s="308"/>
    </row>
    <row r="440" ht="15.75" customHeight="1">
      <c r="B440" s="308"/>
    </row>
    <row r="441" ht="15.75" customHeight="1">
      <c r="B441" s="308"/>
    </row>
    <row r="442" ht="15.75" customHeight="1">
      <c r="B442" s="308"/>
    </row>
    <row r="443" ht="15.75" customHeight="1">
      <c r="B443" s="308"/>
    </row>
    <row r="444" ht="15.75" customHeight="1">
      <c r="B444" s="308"/>
    </row>
    <row r="445" ht="15.75" customHeight="1">
      <c r="B445" s="308"/>
    </row>
    <row r="446" ht="15.75" customHeight="1">
      <c r="B446" s="308"/>
    </row>
    <row r="447" ht="15.75" customHeight="1">
      <c r="B447" s="308"/>
    </row>
    <row r="448" ht="15.75" customHeight="1">
      <c r="B448" s="308"/>
    </row>
    <row r="449" ht="15.75" customHeight="1">
      <c r="B449" s="308"/>
    </row>
    <row r="450" ht="15.75" customHeight="1">
      <c r="B450" s="308"/>
    </row>
    <row r="451" ht="15.75" customHeight="1">
      <c r="B451" s="308"/>
    </row>
    <row r="452" ht="15.75" customHeight="1">
      <c r="B452" s="308"/>
    </row>
    <row r="453" ht="15.75" customHeight="1">
      <c r="B453" s="308"/>
    </row>
    <row r="454" ht="15.75" customHeight="1">
      <c r="B454" s="308"/>
    </row>
    <row r="455" ht="15.75" customHeight="1">
      <c r="B455" s="308"/>
    </row>
    <row r="456" ht="15.75" customHeight="1">
      <c r="B456" s="308"/>
    </row>
    <row r="457" ht="15.75" customHeight="1">
      <c r="B457" s="308"/>
    </row>
    <row r="458" ht="15.75" customHeight="1">
      <c r="B458" s="308"/>
    </row>
    <row r="459" ht="15.75" customHeight="1">
      <c r="B459" s="308"/>
    </row>
    <row r="460" ht="15.75" customHeight="1">
      <c r="B460" s="308"/>
    </row>
    <row r="461" ht="15.75" customHeight="1">
      <c r="B461" s="308"/>
    </row>
    <row r="462" ht="15.75" customHeight="1">
      <c r="B462" s="308"/>
    </row>
    <row r="463" ht="15.75" customHeight="1">
      <c r="B463" s="308"/>
    </row>
    <row r="464" ht="15.75" customHeight="1">
      <c r="B464" s="308"/>
    </row>
    <row r="465" ht="15.75" customHeight="1">
      <c r="B465" s="308"/>
    </row>
    <row r="466" ht="15.75" customHeight="1">
      <c r="B466" s="308"/>
    </row>
    <row r="467" ht="15.75" customHeight="1">
      <c r="B467" s="308"/>
    </row>
    <row r="468" ht="15.75" customHeight="1">
      <c r="B468" s="308"/>
    </row>
    <row r="469" ht="15.75" customHeight="1">
      <c r="B469" s="308"/>
    </row>
    <row r="470" ht="15.75" customHeight="1">
      <c r="B470" s="308"/>
    </row>
    <row r="471" ht="15.75" customHeight="1">
      <c r="B471" s="308"/>
    </row>
    <row r="472" ht="15.75" customHeight="1">
      <c r="B472" s="308"/>
    </row>
    <row r="473" ht="15.75" customHeight="1">
      <c r="B473" s="308"/>
    </row>
    <row r="474" ht="15.75" customHeight="1">
      <c r="B474" s="308"/>
    </row>
    <row r="475" ht="15.75" customHeight="1">
      <c r="B475" s="308"/>
    </row>
    <row r="476" ht="15.75" customHeight="1">
      <c r="B476" s="308"/>
    </row>
    <row r="477" ht="15.75" customHeight="1">
      <c r="B477" s="308"/>
    </row>
    <row r="478" ht="15.75" customHeight="1">
      <c r="B478" s="308"/>
    </row>
    <row r="479" ht="15.75" customHeight="1">
      <c r="B479" s="308"/>
    </row>
    <row r="480" ht="15.75" customHeight="1">
      <c r="B480" s="308"/>
    </row>
    <row r="481" ht="15.75" customHeight="1">
      <c r="B481" s="308"/>
    </row>
    <row r="482" ht="15.75" customHeight="1">
      <c r="B482" s="308"/>
    </row>
    <row r="483" ht="15.75" customHeight="1">
      <c r="B483" s="308"/>
    </row>
    <row r="484" ht="15.75" customHeight="1">
      <c r="B484" s="308"/>
    </row>
    <row r="485" ht="15.75" customHeight="1">
      <c r="B485" s="308"/>
    </row>
    <row r="486" ht="15.75" customHeight="1">
      <c r="B486" s="308"/>
    </row>
    <row r="487" ht="15.75" customHeight="1">
      <c r="B487" s="308"/>
    </row>
    <row r="488" ht="15.75" customHeight="1">
      <c r="B488" s="308"/>
    </row>
    <row r="489" ht="15.75" customHeight="1">
      <c r="B489" s="308"/>
    </row>
    <row r="490" ht="15.75" customHeight="1">
      <c r="B490" s="308"/>
    </row>
    <row r="491" ht="15.75" customHeight="1">
      <c r="B491" s="308"/>
    </row>
    <row r="492" ht="15.75" customHeight="1">
      <c r="B492" s="308"/>
    </row>
    <row r="493" ht="15.75" customHeight="1">
      <c r="B493" s="308"/>
    </row>
    <row r="494" ht="15.75" customHeight="1">
      <c r="B494" s="308"/>
    </row>
    <row r="495" ht="15.75" customHeight="1">
      <c r="B495" s="308"/>
    </row>
    <row r="496" ht="15.75" customHeight="1">
      <c r="B496" s="308"/>
    </row>
    <row r="497" ht="15.75" customHeight="1">
      <c r="B497" s="308"/>
    </row>
    <row r="498" ht="15.75" customHeight="1">
      <c r="B498" s="308"/>
    </row>
    <row r="499" ht="15.75" customHeight="1">
      <c r="B499" s="308"/>
    </row>
    <row r="500" ht="15.75" customHeight="1">
      <c r="B500" s="308"/>
    </row>
    <row r="501" ht="15.75" customHeight="1">
      <c r="B501" s="308"/>
    </row>
    <row r="502" ht="15.75" customHeight="1">
      <c r="B502" s="308"/>
    </row>
    <row r="503" ht="15.75" customHeight="1">
      <c r="B503" s="308"/>
    </row>
    <row r="504" ht="15.75" customHeight="1">
      <c r="B504" s="308"/>
    </row>
    <row r="505" ht="15.75" customHeight="1">
      <c r="B505" s="308"/>
    </row>
    <row r="506" ht="15.75" customHeight="1">
      <c r="B506" s="308"/>
    </row>
    <row r="507" ht="15.75" customHeight="1">
      <c r="B507" s="308"/>
    </row>
    <row r="508" ht="15.75" customHeight="1">
      <c r="B508" s="308"/>
    </row>
    <row r="509" ht="15.75" customHeight="1">
      <c r="B509" s="308"/>
    </row>
    <row r="510" ht="15.75" customHeight="1">
      <c r="B510" s="308"/>
    </row>
    <row r="511" ht="15.75" customHeight="1">
      <c r="B511" s="308"/>
    </row>
    <row r="512" ht="15.75" customHeight="1">
      <c r="B512" s="308"/>
    </row>
    <row r="513" ht="15.75" customHeight="1">
      <c r="B513" s="308"/>
    </row>
    <row r="514" ht="15.75" customHeight="1">
      <c r="B514" s="308"/>
    </row>
    <row r="515" ht="15.75" customHeight="1">
      <c r="B515" s="308"/>
    </row>
    <row r="516" ht="15.75" customHeight="1">
      <c r="B516" s="308"/>
    </row>
    <row r="517" ht="15.75" customHeight="1">
      <c r="B517" s="308"/>
    </row>
    <row r="518" ht="15.75" customHeight="1">
      <c r="B518" s="308"/>
    </row>
    <row r="519" ht="15.75" customHeight="1">
      <c r="B519" s="308"/>
    </row>
    <row r="520" ht="15.75" customHeight="1">
      <c r="B520" s="308"/>
    </row>
    <row r="521" ht="15.75" customHeight="1">
      <c r="B521" s="308"/>
    </row>
    <row r="522" ht="15.75" customHeight="1">
      <c r="B522" s="308"/>
    </row>
    <row r="523" ht="15.75" customHeight="1">
      <c r="B523" s="308"/>
    </row>
    <row r="524" ht="15.75" customHeight="1">
      <c r="B524" s="308"/>
    </row>
    <row r="525" ht="15.75" customHeight="1">
      <c r="B525" s="308"/>
    </row>
    <row r="526" ht="15.75" customHeight="1">
      <c r="B526" s="308"/>
    </row>
    <row r="527" ht="15.75" customHeight="1">
      <c r="B527" s="308"/>
    </row>
    <row r="528" ht="15.75" customHeight="1">
      <c r="B528" s="308"/>
    </row>
    <row r="529" ht="15.75" customHeight="1">
      <c r="B529" s="308"/>
    </row>
    <row r="530" ht="15.75" customHeight="1">
      <c r="B530" s="308"/>
    </row>
    <row r="531" ht="15.75" customHeight="1">
      <c r="B531" s="308"/>
    </row>
    <row r="532" ht="15.75" customHeight="1">
      <c r="B532" s="308"/>
    </row>
    <row r="533" ht="15.75" customHeight="1">
      <c r="B533" s="308"/>
    </row>
    <row r="534" ht="15.75" customHeight="1">
      <c r="B534" s="308"/>
    </row>
    <row r="535" ht="15.75" customHeight="1">
      <c r="B535" s="308"/>
    </row>
    <row r="536" ht="15.75" customHeight="1">
      <c r="B536" s="308"/>
    </row>
    <row r="537" ht="15.75" customHeight="1">
      <c r="B537" s="308"/>
    </row>
    <row r="538" ht="15.75" customHeight="1">
      <c r="B538" s="308"/>
    </row>
    <row r="539" ht="15.75" customHeight="1">
      <c r="B539" s="308"/>
    </row>
    <row r="540" ht="15.75" customHeight="1">
      <c r="B540" s="308"/>
    </row>
    <row r="541" ht="15.75" customHeight="1">
      <c r="B541" s="308"/>
    </row>
    <row r="542" ht="15.75" customHeight="1">
      <c r="B542" s="308"/>
    </row>
    <row r="543" ht="15.75" customHeight="1">
      <c r="B543" s="308"/>
    </row>
    <row r="544" ht="15.75" customHeight="1">
      <c r="B544" s="308"/>
    </row>
    <row r="545" ht="15.75" customHeight="1">
      <c r="B545" s="308"/>
    </row>
    <row r="546" ht="15.75" customHeight="1">
      <c r="B546" s="308"/>
    </row>
    <row r="547" ht="15.75" customHeight="1">
      <c r="B547" s="308"/>
    </row>
    <row r="548" ht="15.75" customHeight="1">
      <c r="B548" s="308"/>
    </row>
    <row r="549" ht="15.75" customHeight="1">
      <c r="B549" s="308"/>
    </row>
    <row r="550" ht="15.75" customHeight="1">
      <c r="B550" s="308"/>
    </row>
    <row r="551" ht="15.75" customHeight="1">
      <c r="B551" s="308"/>
    </row>
    <row r="552" ht="15.75" customHeight="1">
      <c r="B552" s="308"/>
    </row>
    <row r="553" ht="15.75" customHeight="1">
      <c r="B553" s="308"/>
    </row>
    <row r="554" ht="15.75" customHeight="1">
      <c r="B554" s="308"/>
    </row>
    <row r="555" ht="15.75" customHeight="1">
      <c r="B555" s="308"/>
    </row>
    <row r="556" ht="15.75" customHeight="1">
      <c r="B556" s="308"/>
    </row>
    <row r="557" ht="15.75" customHeight="1">
      <c r="B557" s="308"/>
    </row>
    <row r="558" ht="15.75" customHeight="1">
      <c r="B558" s="308"/>
    </row>
    <row r="559" ht="15.75" customHeight="1">
      <c r="B559" s="308"/>
    </row>
    <row r="560" ht="15.75" customHeight="1">
      <c r="B560" s="308"/>
    </row>
    <row r="561" ht="15.75" customHeight="1">
      <c r="B561" s="308"/>
    </row>
    <row r="562" ht="15.75" customHeight="1">
      <c r="B562" s="308"/>
    </row>
    <row r="563" ht="15.75" customHeight="1">
      <c r="B563" s="308"/>
    </row>
    <row r="564" ht="15.75" customHeight="1">
      <c r="B564" s="308"/>
    </row>
    <row r="565" ht="15.75" customHeight="1">
      <c r="B565" s="308"/>
    </row>
    <row r="566" ht="15.75" customHeight="1">
      <c r="B566" s="308"/>
    </row>
    <row r="567" ht="15.75" customHeight="1">
      <c r="B567" s="308"/>
    </row>
    <row r="568" ht="15.75" customHeight="1">
      <c r="B568" s="308"/>
    </row>
    <row r="569" ht="15.75" customHeight="1">
      <c r="B569" s="308"/>
    </row>
    <row r="570" ht="15.75" customHeight="1">
      <c r="B570" s="308"/>
    </row>
    <row r="571" ht="15.75" customHeight="1">
      <c r="B571" s="308"/>
    </row>
    <row r="572" ht="15.75" customHeight="1">
      <c r="B572" s="308"/>
    </row>
    <row r="573" ht="15.75" customHeight="1">
      <c r="B573" s="308"/>
    </row>
    <row r="574" ht="15.75" customHeight="1">
      <c r="B574" s="308"/>
    </row>
    <row r="575" ht="15.75" customHeight="1">
      <c r="B575" s="308"/>
    </row>
    <row r="576" ht="15.75" customHeight="1">
      <c r="B576" s="308"/>
    </row>
    <row r="577" ht="15.75" customHeight="1">
      <c r="B577" s="308"/>
    </row>
    <row r="578" ht="15.75" customHeight="1">
      <c r="B578" s="308"/>
    </row>
    <row r="579" ht="15.75" customHeight="1">
      <c r="B579" s="308"/>
    </row>
    <row r="580" ht="15.75" customHeight="1">
      <c r="B580" s="308"/>
    </row>
    <row r="581" ht="15.75" customHeight="1">
      <c r="B581" s="308"/>
    </row>
    <row r="582" ht="15.75" customHeight="1">
      <c r="B582" s="308"/>
    </row>
    <row r="583" ht="15.75" customHeight="1">
      <c r="B583" s="308"/>
    </row>
    <row r="584" ht="15.75" customHeight="1">
      <c r="B584" s="308"/>
    </row>
    <row r="585" ht="15.75" customHeight="1">
      <c r="B585" s="308"/>
    </row>
    <row r="586" ht="15.75" customHeight="1">
      <c r="B586" s="308"/>
    </row>
    <row r="587" ht="15.75" customHeight="1">
      <c r="B587" s="308"/>
    </row>
    <row r="588" ht="15.75" customHeight="1">
      <c r="B588" s="308"/>
    </row>
    <row r="589" ht="15.75" customHeight="1">
      <c r="B589" s="308"/>
    </row>
    <row r="590" ht="15.75" customHeight="1">
      <c r="B590" s="308"/>
    </row>
    <row r="591" ht="15.75" customHeight="1">
      <c r="B591" s="308"/>
    </row>
    <row r="592" ht="15.75" customHeight="1">
      <c r="B592" s="308"/>
    </row>
    <row r="593" ht="15.75" customHeight="1">
      <c r="B593" s="308"/>
    </row>
    <row r="594" ht="15.75" customHeight="1">
      <c r="B594" s="308"/>
    </row>
    <row r="595" ht="15.75" customHeight="1">
      <c r="B595" s="308"/>
    </row>
    <row r="596" ht="15.75" customHeight="1">
      <c r="B596" s="308"/>
    </row>
    <row r="597" ht="15.75" customHeight="1">
      <c r="B597" s="308"/>
    </row>
    <row r="598" ht="15.75" customHeight="1">
      <c r="B598" s="308"/>
    </row>
    <row r="599" ht="15.75" customHeight="1">
      <c r="B599" s="308"/>
    </row>
    <row r="600" ht="15.75" customHeight="1">
      <c r="B600" s="308"/>
    </row>
    <row r="601" ht="15.75" customHeight="1">
      <c r="B601" s="308"/>
    </row>
    <row r="602" ht="15.75" customHeight="1">
      <c r="B602" s="308"/>
    </row>
    <row r="603" ht="15.75" customHeight="1">
      <c r="B603" s="308"/>
    </row>
    <row r="604" ht="15.75" customHeight="1">
      <c r="B604" s="308"/>
    </row>
    <row r="605" ht="15.75" customHeight="1">
      <c r="B605" s="308"/>
    </row>
    <row r="606" ht="15.75" customHeight="1">
      <c r="B606" s="308"/>
    </row>
    <row r="607" ht="15.75" customHeight="1">
      <c r="B607" s="308"/>
    </row>
    <row r="608" ht="15.75" customHeight="1">
      <c r="B608" s="308"/>
    </row>
    <row r="609" ht="15.75" customHeight="1">
      <c r="B609" s="308"/>
    </row>
    <row r="610" ht="15.75" customHeight="1">
      <c r="B610" s="308"/>
    </row>
    <row r="611" ht="15.75" customHeight="1">
      <c r="B611" s="308"/>
    </row>
    <row r="612" ht="15.75" customHeight="1">
      <c r="B612" s="308"/>
    </row>
    <row r="613" ht="15.75" customHeight="1">
      <c r="B613" s="308"/>
    </row>
    <row r="614" ht="15.75" customHeight="1">
      <c r="B614" s="308"/>
    </row>
    <row r="615" ht="15.75" customHeight="1">
      <c r="B615" s="308"/>
    </row>
    <row r="616" ht="15.75" customHeight="1">
      <c r="B616" s="308"/>
    </row>
    <row r="617" ht="15.75" customHeight="1">
      <c r="B617" s="308"/>
    </row>
    <row r="618" ht="15.75" customHeight="1">
      <c r="B618" s="308"/>
    </row>
    <row r="619" ht="15.75" customHeight="1">
      <c r="B619" s="308"/>
    </row>
    <row r="620" ht="15.75" customHeight="1">
      <c r="B620" s="308"/>
    </row>
    <row r="621" ht="15.75" customHeight="1">
      <c r="B621" s="308"/>
    </row>
    <row r="622" ht="15.75" customHeight="1">
      <c r="B622" s="308"/>
    </row>
    <row r="623" ht="15.75" customHeight="1">
      <c r="B623" s="308"/>
    </row>
    <row r="624" ht="15.75" customHeight="1">
      <c r="B624" s="308"/>
    </row>
    <row r="625" ht="15.75" customHeight="1">
      <c r="B625" s="308"/>
    </row>
    <row r="626" ht="15.75" customHeight="1">
      <c r="B626" s="308"/>
    </row>
    <row r="627" ht="15.75" customHeight="1">
      <c r="B627" s="308"/>
    </row>
    <row r="628" ht="15.75" customHeight="1">
      <c r="B628" s="308"/>
    </row>
    <row r="629" ht="15.75" customHeight="1">
      <c r="B629" s="308"/>
    </row>
    <row r="630" ht="15.75" customHeight="1">
      <c r="B630" s="308"/>
    </row>
    <row r="631" ht="15.75" customHeight="1">
      <c r="B631" s="308"/>
    </row>
    <row r="632" ht="15.75" customHeight="1">
      <c r="B632" s="308"/>
    </row>
    <row r="633" ht="15.75" customHeight="1">
      <c r="B633" s="308"/>
    </row>
    <row r="634" ht="15.75" customHeight="1">
      <c r="B634" s="308"/>
    </row>
    <row r="635" ht="15.75" customHeight="1">
      <c r="B635" s="308"/>
    </row>
    <row r="636" ht="15.75" customHeight="1">
      <c r="B636" s="308"/>
    </row>
    <row r="637" ht="15.75" customHeight="1">
      <c r="B637" s="308"/>
    </row>
    <row r="638" ht="15.75" customHeight="1">
      <c r="B638" s="308"/>
    </row>
    <row r="639" ht="15.75" customHeight="1">
      <c r="B639" s="308"/>
    </row>
    <row r="640" ht="15.75" customHeight="1">
      <c r="B640" s="308"/>
    </row>
    <row r="641" ht="15.75" customHeight="1">
      <c r="B641" s="308"/>
    </row>
    <row r="642" ht="15.75" customHeight="1">
      <c r="B642" s="308"/>
    </row>
    <row r="643" ht="15.75" customHeight="1">
      <c r="B643" s="308"/>
    </row>
    <row r="644" ht="15.75" customHeight="1">
      <c r="B644" s="308"/>
    </row>
    <row r="645" ht="15.75" customHeight="1">
      <c r="B645" s="308"/>
    </row>
    <row r="646" ht="15.75" customHeight="1">
      <c r="B646" s="308"/>
    </row>
    <row r="647" ht="15.75" customHeight="1">
      <c r="B647" s="308"/>
    </row>
    <row r="648" ht="15.75" customHeight="1">
      <c r="B648" s="308"/>
    </row>
    <row r="649" ht="15.75" customHeight="1">
      <c r="B649" s="308"/>
    </row>
    <row r="650" ht="15.75" customHeight="1">
      <c r="B650" s="308"/>
    </row>
    <row r="651" ht="15.75" customHeight="1">
      <c r="B651" s="308"/>
    </row>
    <row r="652" ht="15.75" customHeight="1">
      <c r="B652" s="308"/>
    </row>
    <row r="653" ht="15.75" customHeight="1">
      <c r="B653" s="308"/>
    </row>
    <row r="654" ht="15.75" customHeight="1">
      <c r="B654" s="308"/>
    </row>
    <row r="655" ht="15.75" customHeight="1">
      <c r="B655" s="308"/>
    </row>
    <row r="656" ht="15.75" customHeight="1">
      <c r="B656" s="308"/>
    </row>
    <row r="657" ht="15.75" customHeight="1">
      <c r="B657" s="308"/>
    </row>
    <row r="658" ht="15.75" customHeight="1">
      <c r="B658" s="308"/>
    </row>
    <row r="659" ht="15.75" customHeight="1">
      <c r="B659" s="308"/>
    </row>
    <row r="660" ht="15.75" customHeight="1">
      <c r="B660" s="308"/>
    </row>
    <row r="661" ht="15.75" customHeight="1">
      <c r="B661" s="308"/>
    </row>
    <row r="662" ht="15.75" customHeight="1">
      <c r="B662" s="308"/>
    </row>
    <row r="663" ht="15.75" customHeight="1">
      <c r="B663" s="308"/>
    </row>
    <row r="664" ht="15.75" customHeight="1">
      <c r="B664" s="308"/>
    </row>
    <row r="665" ht="15.75" customHeight="1">
      <c r="B665" s="308"/>
    </row>
    <row r="666" ht="15.75" customHeight="1">
      <c r="B666" s="308"/>
    </row>
    <row r="667" ht="15.75" customHeight="1">
      <c r="B667" s="308"/>
    </row>
    <row r="668" ht="15.75" customHeight="1">
      <c r="B668" s="308"/>
    </row>
    <row r="669" ht="15.75" customHeight="1">
      <c r="B669" s="308"/>
    </row>
    <row r="670" ht="15.75" customHeight="1">
      <c r="B670" s="308"/>
    </row>
    <row r="671" ht="15.75" customHeight="1">
      <c r="B671" s="308"/>
    </row>
    <row r="672" ht="15.75" customHeight="1">
      <c r="B672" s="308"/>
    </row>
    <row r="673" ht="15.75" customHeight="1">
      <c r="B673" s="308"/>
    </row>
    <row r="674" ht="15.75" customHeight="1">
      <c r="B674" s="308"/>
    </row>
    <row r="675" ht="15.75" customHeight="1">
      <c r="B675" s="308"/>
    </row>
    <row r="676" ht="15.75" customHeight="1">
      <c r="B676" s="308"/>
    </row>
    <row r="677" ht="15.75" customHeight="1">
      <c r="B677" s="308"/>
    </row>
    <row r="678" ht="15.75" customHeight="1">
      <c r="B678" s="308"/>
    </row>
    <row r="679" ht="15.75" customHeight="1">
      <c r="B679" s="308"/>
    </row>
    <row r="680" ht="15.75" customHeight="1">
      <c r="B680" s="308"/>
    </row>
    <row r="681" ht="15.75" customHeight="1">
      <c r="B681" s="308"/>
    </row>
    <row r="682" ht="15.75" customHeight="1">
      <c r="B682" s="308"/>
    </row>
    <row r="683" ht="15.75" customHeight="1">
      <c r="B683" s="308"/>
    </row>
    <row r="684" ht="15.75" customHeight="1">
      <c r="B684" s="308"/>
    </row>
    <row r="685" ht="15.75" customHeight="1">
      <c r="B685" s="308"/>
    </row>
    <row r="686" ht="15.75" customHeight="1">
      <c r="B686" s="308"/>
    </row>
    <row r="687" ht="15.75" customHeight="1">
      <c r="B687" s="308"/>
    </row>
    <row r="688" ht="15.75" customHeight="1">
      <c r="B688" s="308"/>
    </row>
    <row r="689" ht="15.75" customHeight="1">
      <c r="B689" s="308"/>
    </row>
    <row r="690" ht="15.75" customHeight="1">
      <c r="B690" s="308"/>
    </row>
    <row r="691" ht="15.75" customHeight="1">
      <c r="B691" s="308"/>
    </row>
    <row r="692" ht="15.75" customHeight="1">
      <c r="B692" s="308"/>
    </row>
    <row r="693" ht="15.75" customHeight="1">
      <c r="B693" s="308"/>
    </row>
    <row r="694" ht="15.75" customHeight="1">
      <c r="B694" s="308"/>
    </row>
    <row r="695" ht="15.75" customHeight="1">
      <c r="B695" s="308"/>
    </row>
    <row r="696" ht="15.75" customHeight="1">
      <c r="B696" s="308"/>
    </row>
    <row r="697" ht="15.75" customHeight="1">
      <c r="B697" s="308"/>
    </row>
    <row r="698" ht="15.75" customHeight="1">
      <c r="B698" s="308"/>
    </row>
    <row r="699" ht="15.75" customHeight="1">
      <c r="B699" s="308"/>
    </row>
    <row r="700" ht="15.75" customHeight="1">
      <c r="B700" s="308"/>
    </row>
    <row r="701" ht="15.75" customHeight="1">
      <c r="B701" s="308"/>
    </row>
    <row r="702" ht="15.75" customHeight="1">
      <c r="B702" s="308"/>
    </row>
    <row r="703" ht="15.75" customHeight="1">
      <c r="B703" s="308"/>
    </row>
    <row r="704" ht="15.75" customHeight="1">
      <c r="B704" s="308"/>
    </row>
    <row r="705" ht="15.75" customHeight="1">
      <c r="B705" s="308"/>
    </row>
    <row r="706" ht="15.75" customHeight="1">
      <c r="B706" s="308"/>
    </row>
    <row r="707" ht="15.75" customHeight="1">
      <c r="B707" s="308"/>
    </row>
    <row r="708" ht="15.75" customHeight="1">
      <c r="B708" s="308"/>
    </row>
    <row r="709" ht="15.75" customHeight="1">
      <c r="B709" s="308"/>
    </row>
    <row r="710" ht="15.75" customHeight="1">
      <c r="B710" s="308"/>
    </row>
    <row r="711" ht="15.75" customHeight="1">
      <c r="B711" s="308"/>
    </row>
    <row r="712" ht="15.75" customHeight="1">
      <c r="B712" s="308"/>
    </row>
    <row r="713" ht="15.75" customHeight="1">
      <c r="B713" s="308"/>
    </row>
    <row r="714" ht="15.75" customHeight="1">
      <c r="B714" s="308"/>
    </row>
    <row r="715" ht="15.75" customHeight="1">
      <c r="B715" s="308"/>
    </row>
    <row r="716" ht="15.75" customHeight="1">
      <c r="B716" s="308"/>
    </row>
    <row r="717" ht="15.75" customHeight="1">
      <c r="B717" s="308"/>
    </row>
    <row r="718" ht="15.75" customHeight="1">
      <c r="B718" s="308"/>
    </row>
    <row r="719" ht="15.75" customHeight="1">
      <c r="B719" s="308"/>
    </row>
    <row r="720" ht="15.75" customHeight="1">
      <c r="B720" s="308"/>
    </row>
    <row r="721" ht="15.75" customHeight="1">
      <c r="B721" s="308"/>
    </row>
    <row r="722" ht="15.75" customHeight="1">
      <c r="B722" s="308"/>
    </row>
    <row r="723" ht="15.75" customHeight="1">
      <c r="B723" s="308"/>
    </row>
    <row r="724" ht="15.75" customHeight="1">
      <c r="B724" s="308"/>
    </row>
    <row r="725" ht="15.75" customHeight="1">
      <c r="B725" s="308"/>
    </row>
    <row r="726" ht="15.75" customHeight="1">
      <c r="B726" s="308"/>
    </row>
    <row r="727" ht="15.75" customHeight="1">
      <c r="B727" s="308"/>
    </row>
    <row r="728" ht="15.75" customHeight="1">
      <c r="B728" s="308"/>
    </row>
    <row r="729" ht="15.75" customHeight="1">
      <c r="B729" s="308"/>
    </row>
    <row r="730" ht="15.75" customHeight="1">
      <c r="B730" s="308"/>
    </row>
    <row r="731" ht="15.75" customHeight="1">
      <c r="B731" s="308"/>
    </row>
    <row r="732" ht="15.75" customHeight="1">
      <c r="B732" s="308"/>
    </row>
    <row r="733" ht="15.75" customHeight="1">
      <c r="B733" s="308"/>
    </row>
    <row r="734" ht="15.75" customHeight="1">
      <c r="B734" s="308"/>
    </row>
    <row r="735" ht="15.75" customHeight="1">
      <c r="B735" s="308"/>
    </row>
    <row r="736" ht="15.75" customHeight="1">
      <c r="B736" s="308"/>
    </row>
    <row r="737" ht="15.75" customHeight="1">
      <c r="B737" s="308"/>
    </row>
    <row r="738" ht="15.75" customHeight="1">
      <c r="B738" s="308"/>
    </row>
    <row r="739" ht="15.75" customHeight="1">
      <c r="B739" s="308"/>
    </row>
    <row r="740" ht="15.75" customHeight="1">
      <c r="B740" s="308"/>
    </row>
    <row r="741" ht="15.75" customHeight="1">
      <c r="B741" s="308"/>
    </row>
    <row r="742" ht="15.75" customHeight="1">
      <c r="B742" s="308"/>
    </row>
    <row r="743" ht="15.75" customHeight="1">
      <c r="B743" s="308"/>
    </row>
    <row r="744" ht="15.75" customHeight="1">
      <c r="B744" s="308"/>
    </row>
    <row r="745" ht="15.75" customHeight="1">
      <c r="B745" s="308"/>
    </row>
    <row r="746" ht="15.75" customHeight="1">
      <c r="B746" s="308"/>
    </row>
    <row r="747" ht="15.75" customHeight="1">
      <c r="B747" s="308"/>
    </row>
    <row r="748" ht="15.75" customHeight="1">
      <c r="B748" s="308"/>
    </row>
    <row r="749" ht="15.75" customHeight="1">
      <c r="B749" s="308"/>
    </row>
    <row r="750" ht="15.75" customHeight="1">
      <c r="B750" s="308"/>
    </row>
    <row r="751" ht="15.75" customHeight="1">
      <c r="B751" s="308"/>
    </row>
    <row r="752" ht="15.75" customHeight="1">
      <c r="B752" s="308"/>
    </row>
    <row r="753" ht="15.75" customHeight="1">
      <c r="B753" s="308"/>
    </row>
    <row r="754" ht="15.75" customHeight="1">
      <c r="B754" s="308"/>
    </row>
    <row r="755" ht="15.75" customHeight="1">
      <c r="B755" s="308"/>
    </row>
    <row r="756" ht="15.75" customHeight="1">
      <c r="B756" s="308"/>
    </row>
    <row r="757" ht="15.75" customHeight="1">
      <c r="B757" s="308"/>
    </row>
    <row r="758" ht="15.75" customHeight="1">
      <c r="B758" s="308"/>
    </row>
    <row r="759" ht="15.75" customHeight="1">
      <c r="B759" s="308"/>
    </row>
    <row r="760" ht="15.75" customHeight="1">
      <c r="B760" s="308"/>
    </row>
    <row r="761" ht="15.75" customHeight="1">
      <c r="B761" s="308"/>
    </row>
    <row r="762" ht="15.75" customHeight="1">
      <c r="B762" s="308"/>
    </row>
    <row r="763" ht="15.75" customHeight="1">
      <c r="B763" s="308"/>
    </row>
    <row r="764" ht="15.75" customHeight="1">
      <c r="B764" s="308"/>
    </row>
    <row r="765" ht="15.75" customHeight="1">
      <c r="B765" s="308"/>
    </row>
    <row r="766" ht="15.75" customHeight="1">
      <c r="B766" s="308"/>
    </row>
    <row r="767" ht="15.75" customHeight="1">
      <c r="B767" s="308"/>
    </row>
    <row r="768" ht="15.75" customHeight="1">
      <c r="B768" s="308"/>
    </row>
    <row r="769" ht="15.75" customHeight="1">
      <c r="B769" s="308"/>
    </row>
    <row r="770" ht="15.75" customHeight="1">
      <c r="B770" s="308"/>
    </row>
    <row r="771" ht="15.75" customHeight="1">
      <c r="B771" s="308"/>
    </row>
    <row r="772" ht="15.75" customHeight="1">
      <c r="B772" s="308"/>
    </row>
    <row r="773" ht="15.75" customHeight="1">
      <c r="B773" s="308"/>
    </row>
    <row r="774" ht="15.75" customHeight="1">
      <c r="B774" s="308"/>
    </row>
    <row r="775" ht="15.75" customHeight="1">
      <c r="B775" s="308"/>
    </row>
    <row r="776" ht="15.75" customHeight="1">
      <c r="B776" s="308"/>
    </row>
    <row r="777" ht="15.75" customHeight="1">
      <c r="B777" s="308"/>
    </row>
    <row r="778" ht="15.75" customHeight="1">
      <c r="B778" s="308"/>
    </row>
    <row r="779" ht="15.75" customHeight="1">
      <c r="B779" s="308"/>
    </row>
    <row r="780" ht="15.75" customHeight="1">
      <c r="B780" s="308"/>
    </row>
    <row r="781" ht="15.75" customHeight="1">
      <c r="B781" s="308"/>
    </row>
    <row r="782" ht="15.75" customHeight="1">
      <c r="B782" s="308"/>
    </row>
    <row r="783" ht="15.75" customHeight="1">
      <c r="B783" s="308"/>
    </row>
    <row r="784" ht="15.75" customHeight="1">
      <c r="B784" s="308"/>
    </row>
    <row r="785" ht="15.75" customHeight="1">
      <c r="B785" s="308"/>
    </row>
    <row r="786" ht="15.75" customHeight="1">
      <c r="B786" s="308"/>
    </row>
    <row r="787" ht="15.75" customHeight="1">
      <c r="B787" s="308"/>
    </row>
    <row r="788" ht="15.75" customHeight="1">
      <c r="B788" s="308"/>
    </row>
    <row r="789" ht="15.75" customHeight="1">
      <c r="B789" s="308"/>
    </row>
    <row r="790" ht="15.75" customHeight="1">
      <c r="B790" s="308"/>
    </row>
    <row r="791" ht="15.75" customHeight="1">
      <c r="B791" s="308"/>
    </row>
    <row r="792" ht="15.75" customHeight="1">
      <c r="B792" s="308"/>
    </row>
    <row r="793" ht="15.75" customHeight="1">
      <c r="B793" s="308"/>
    </row>
    <row r="794" ht="15.75" customHeight="1">
      <c r="B794" s="308"/>
    </row>
    <row r="795" ht="15.75" customHeight="1">
      <c r="B795" s="308"/>
    </row>
    <row r="796" ht="15.75" customHeight="1">
      <c r="B796" s="308"/>
    </row>
    <row r="797" ht="15.75" customHeight="1">
      <c r="B797" s="308"/>
    </row>
    <row r="798" ht="15.75" customHeight="1">
      <c r="B798" s="308"/>
    </row>
    <row r="799" ht="15.75" customHeight="1">
      <c r="B799" s="308"/>
    </row>
    <row r="800" ht="15.75" customHeight="1">
      <c r="B800" s="308"/>
    </row>
    <row r="801" ht="15.75" customHeight="1">
      <c r="B801" s="308"/>
    </row>
    <row r="802" ht="15.75" customHeight="1">
      <c r="B802" s="308"/>
    </row>
    <row r="803" ht="15.75" customHeight="1">
      <c r="B803" s="308"/>
    </row>
    <row r="804" ht="15.75" customHeight="1">
      <c r="B804" s="308"/>
    </row>
    <row r="805" ht="15.75" customHeight="1">
      <c r="B805" s="308"/>
    </row>
    <row r="806" ht="15.75" customHeight="1">
      <c r="B806" s="308"/>
    </row>
    <row r="807" ht="15.75" customHeight="1">
      <c r="B807" s="308"/>
    </row>
    <row r="808" ht="15.75" customHeight="1">
      <c r="B808" s="308"/>
    </row>
    <row r="809" ht="15.75" customHeight="1">
      <c r="B809" s="308"/>
    </row>
    <row r="810" ht="15.75" customHeight="1">
      <c r="B810" s="308"/>
    </row>
    <row r="811" ht="15.75" customHeight="1">
      <c r="B811" s="308"/>
    </row>
    <row r="812" ht="15.75" customHeight="1">
      <c r="B812" s="308"/>
    </row>
    <row r="813" ht="15.75" customHeight="1">
      <c r="B813" s="308"/>
    </row>
    <row r="814" ht="15.75" customHeight="1">
      <c r="B814" s="308"/>
    </row>
    <row r="815" ht="15.75" customHeight="1">
      <c r="B815" s="308"/>
    </row>
    <row r="816" ht="15.75" customHeight="1">
      <c r="B816" s="308"/>
    </row>
    <row r="817" ht="15.75" customHeight="1">
      <c r="B817" s="308"/>
    </row>
    <row r="818" ht="15.75" customHeight="1">
      <c r="B818" s="308"/>
    </row>
    <row r="819" ht="15.75" customHeight="1">
      <c r="B819" s="308"/>
    </row>
    <row r="820" ht="15.75" customHeight="1">
      <c r="B820" s="308"/>
    </row>
    <row r="821" ht="15.75" customHeight="1">
      <c r="B821" s="308"/>
    </row>
    <row r="822" ht="15.75" customHeight="1">
      <c r="B822" s="308"/>
    </row>
    <row r="823" ht="15.75" customHeight="1">
      <c r="B823" s="308"/>
    </row>
    <row r="824" ht="15.75" customHeight="1">
      <c r="B824" s="308"/>
    </row>
    <row r="825" ht="15.75" customHeight="1">
      <c r="B825" s="308"/>
    </row>
    <row r="826" ht="15.75" customHeight="1">
      <c r="B826" s="308"/>
    </row>
    <row r="827" ht="15.75" customHeight="1">
      <c r="B827" s="308"/>
    </row>
    <row r="828" ht="15.75" customHeight="1">
      <c r="B828" s="308"/>
    </row>
    <row r="829" ht="15.75" customHeight="1">
      <c r="B829" s="308"/>
    </row>
    <row r="830" ht="15.75" customHeight="1">
      <c r="B830" s="308"/>
    </row>
    <row r="831" ht="15.75" customHeight="1">
      <c r="B831" s="308"/>
    </row>
    <row r="832" ht="15.75" customHeight="1">
      <c r="B832" s="308"/>
    </row>
    <row r="833" ht="15.75" customHeight="1">
      <c r="B833" s="308"/>
    </row>
    <row r="834" ht="15.75" customHeight="1">
      <c r="B834" s="308"/>
    </row>
    <row r="835" ht="15.75" customHeight="1">
      <c r="B835" s="308"/>
    </row>
    <row r="836" ht="15.75" customHeight="1">
      <c r="B836" s="308"/>
    </row>
    <row r="837" ht="15.75" customHeight="1">
      <c r="B837" s="308"/>
    </row>
    <row r="838" ht="15.75" customHeight="1">
      <c r="B838" s="308"/>
    </row>
    <row r="839" ht="15.75" customHeight="1">
      <c r="B839" s="308"/>
    </row>
    <row r="840" ht="15.75" customHeight="1">
      <c r="B840" s="308"/>
    </row>
    <row r="841" ht="15.75" customHeight="1">
      <c r="B841" s="308"/>
    </row>
    <row r="842" ht="15.75" customHeight="1">
      <c r="B842" s="308"/>
    </row>
    <row r="843" ht="15.75" customHeight="1">
      <c r="B843" s="308"/>
    </row>
    <row r="844" ht="15.75" customHeight="1">
      <c r="B844" s="308"/>
    </row>
    <row r="845" ht="15.75" customHeight="1">
      <c r="B845" s="308"/>
    </row>
    <row r="846" ht="15.75" customHeight="1">
      <c r="B846" s="308"/>
    </row>
    <row r="847" ht="15.75" customHeight="1">
      <c r="B847" s="308"/>
    </row>
    <row r="848" ht="15.75" customHeight="1">
      <c r="B848" s="308"/>
    </row>
    <row r="849" ht="15.75" customHeight="1">
      <c r="B849" s="308"/>
    </row>
    <row r="850" ht="15.75" customHeight="1">
      <c r="B850" s="308"/>
    </row>
    <row r="851" ht="15.75" customHeight="1">
      <c r="B851" s="308"/>
    </row>
    <row r="852" ht="15.75" customHeight="1">
      <c r="B852" s="308"/>
    </row>
    <row r="853" ht="15.75" customHeight="1">
      <c r="B853" s="308"/>
    </row>
    <row r="854" ht="15.75" customHeight="1">
      <c r="B854" s="308"/>
    </row>
    <row r="855" ht="15.75" customHeight="1">
      <c r="B855" s="308"/>
    </row>
    <row r="856" ht="15.75" customHeight="1">
      <c r="B856" s="308"/>
    </row>
    <row r="857" ht="15.75" customHeight="1">
      <c r="B857" s="308"/>
    </row>
    <row r="858" ht="15.75" customHeight="1">
      <c r="B858" s="308"/>
    </row>
    <row r="859" ht="15.75" customHeight="1">
      <c r="B859" s="308"/>
    </row>
    <row r="860" ht="15.75" customHeight="1">
      <c r="B860" s="308"/>
    </row>
    <row r="861" ht="15.75" customHeight="1">
      <c r="B861" s="308"/>
    </row>
    <row r="862" ht="15.75" customHeight="1">
      <c r="B862" s="308"/>
    </row>
    <row r="863" ht="15.75" customHeight="1">
      <c r="B863" s="308"/>
    </row>
    <row r="864" ht="15.75" customHeight="1">
      <c r="B864" s="308"/>
    </row>
    <row r="865" ht="15.75" customHeight="1">
      <c r="B865" s="308"/>
    </row>
    <row r="866" ht="15.75" customHeight="1">
      <c r="B866" s="308"/>
    </row>
    <row r="867" ht="15.75" customHeight="1">
      <c r="B867" s="308"/>
    </row>
    <row r="868" ht="15.75" customHeight="1">
      <c r="B868" s="308"/>
    </row>
    <row r="869" ht="15.75" customHeight="1">
      <c r="B869" s="308"/>
    </row>
    <row r="870" ht="15.75" customHeight="1">
      <c r="B870" s="308"/>
    </row>
    <row r="871" ht="15.75" customHeight="1">
      <c r="B871" s="308"/>
    </row>
    <row r="872" ht="15.75" customHeight="1">
      <c r="B872" s="308"/>
    </row>
    <row r="873" ht="15.75" customHeight="1">
      <c r="B873" s="308"/>
    </row>
    <row r="874" ht="15.75" customHeight="1">
      <c r="B874" s="308"/>
    </row>
    <row r="875" ht="15.75" customHeight="1">
      <c r="B875" s="308"/>
    </row>
    <row r="876" ht="15.75" customHeight="1">
      <c r="B876" s="308"/>
    </row>
    <row r="877" ht="15.75" customHeight="1">
      <c r="B877" s="308"/>
    </row>
    <row r="878" ht="15.75" customHeight="1">
      <c r="B878" s="308"/>
    </row>
    <row r="879" ht="15.75" customHeight="1">
      <c r="B879" s="308"/>
    </row>
    <row r="880" ht="15.75" customHeight="1">
      <c r="B880" s="308"/>
    </row>
    <row r="881" ht="15.75" customHeight="1">
      <c r="B881" s="308"/>
    </row>
    <row r="882" ht="15.75" customHeight="1">
      <c r="B882" s="308"/>
    </row>
    <row r="883" ht="15.75" customHeight="1">
      <c r="B883" s="308"/>
    </row>
    <row r="884" ht="15.75" customHeight="1">
      <c r="B884" s="308"/>
    </row>
    <row r="885" ht="15.75" customHeight="1">
      <c r="B885" s="308"/>
    </row>
    <row r="886" ht="15.75" customHeight="1">
      <c r="B886" s="308"/>
    </row>
    <row r="887" ht="15.75" customHeight="1">
      <c r="B887" s="308"/>
    </row>
    <row r="888" ht="15.75" customHeight="1">
      <c r="B888" s="308"/>
    </row>
    <row r="889" ht="15.75" customHeight="1">
      <c r="B889" s="308"/>
    </row>
    <row r="890" ht="15.75" customHeight="1">
      <c r="B890" s="308"/>
    </row>
    <row r="891" ht="15.75" customHeight="1">
      <c r="B891" s="308"/>
    </row>
    <row r="892" ht="15.75" customHeight="1">
      <c r="B892" s="308"/>
    </row>
    <row r="893" ht="15.75" customHeight="1">
      <c r="B893" s="308"/>
    </row>
    <row r="894" ht="15.75" customHeight="1">
      <c r="B894" s="308"/>
    </row>
    <row r="895" ht="15.75" customHeight="1">
      <c r="B895" s="308"/>
    </row>
    <row r="896" ht="15.75" customHeight="1">
      <c r="B896" s="308"/>
    </row>
    <row r="897" ht="15.75" customHeight="1">
      <c r="B897" s="308"/>
    </row>
    <row r="898" ht="15.75" customHeight="1">
      <c r="B898" s="308"/>
    </row>
    <row r="899" ht="15.75" customHeight="1">
      <c r="B899" s="308"/>
    </row>
    <row r="900" ht="15.75" customHeight="1">
      <c r="B900" s="308"/>
    </row>
    <row r="901" ht="15.75" customHeight="1">
      <c r="B901" s="308"/>
    </row>
    <row r="902" ht="15.75" customHeight="1">
      <c r="B902" s="308"/>
    </row>
    <row r="903" ht="15.75" customHeight="1">
      <c r="B903" s="308"/>
    </row>
    <row r="904" ht="15.75" customHeight="1">
      <c r="B904" s="308"/>
    </row>
    <row r="905" ht="15.75" customHeight="1">
      <c r="B905" s="308"/>
    </row>
    <row r="906" ht="15.75" customHeight="1">
      <c r="B906" s="308"/>
    </row>
    <row r="907" ht="15.75" customHeight="1">
      <c r="B907" s="308"/>
    </row>
    <row r="908" ht="15.75" customHeight="1">
      <c r="B908" s="308"/>
    </row>
    <row r="909" ht="15.75" customHeight="1">
      <c r="B909" s="308"/>
    </row>
    <row r="910" ht="15.75" customHeight="1">
      <c r="B910" s="308"/>
    </row>
    <row r="911" ht="15.75" customHeight="1">
      <c r="B911" s="308"/>
    </row>
    <row r="912" ht="15.75" customHeight="1">
      <c r="B912" s="308"/>
    </row>
    <row r="913" ht="15.75" customHeight="1">
      <c r="B913" s="308"/>
    </row>
    <row r="914" ht="15.75" customHeight="1">
      <c r="B914" s="308"/>
    </row>
    <row r="915" ht="15.75" customHeight="1">
      <c r="B915" s="308"/>
    </row>
    <row r="916" ht="15.75" customHeight="1">
      <c r="B916" s="308"/>
    </row>
    <row r="917" ht="15.75" customHeight="1">
      <c r="B917" s="308"/>
    </row>
    <row r="918" ht="15.75" customHeight="1">
      <c r="B918" s="308"/>
    </row>
    <row r="919" ht="15.75" customHeight="1">
      <c r="B919" s="308"/>
    </row>
    <row r="920" ht="15.75" customHeight="1">
      <c r="B920" s="308"/>
    </row>
    <row r="921" ht="15.75" customHeight="1">
      <c r="B921" s="308"/>
    </row>
    <row r="922" ht="15.75" customHeight="1">
      <c r="B922" s="308"/>
    </row>
    <row r="923" ht="15.75" customHeight="1">
      <c r="B923" s="308"/>
    </row>
    <row r="924" ht="15.75" customHeight="1">
      <c r="B924" s="308"/>
    </row>
    <row r="925" ht="15.75" customHeight="1">
      <c r="B925" s="308"/>
    </row>
    <row r="926" ht="15.75" customHeight="1">
      <c r="B926" s="308"/>
    </row>
    <row r="927" ht="15.75" customHeight="1">
      <c r="B927" s="308"/>
    </row>
    <row r="928" ht="15.75" customHeight="1">
      <c r="B928" s="308"/>
    </row>
    <row r="929" ht="15.75" customHeight="1">
      <c r="B929" s="308"/>
    </row>
    <row r="930" ht="15.75" customHeight="1">
      <c r="B930" s="308"/>
    </row>
    <row r="931" ht="15.75" customHeight="1">
      <c r="B931" s="308"/>
    </row>
    <row r="932" ht="15.75" customHeight="1">
      <c r="B932" s="308"/>
    </row>
    <row r="933" ht="15.75" customHeight="1">
      <c r="B933" s="308"/>
    </row>
    <row r="934" ht="15.75" customHeight="1">
      <c r="B934" s="308"/>
    </row>
    <row r="935" ht="15.75" customHeight="1">
      <c r="B935" s="308"/>
    </row>
    <row r="936" ht="15.75" customHeight="1">
      <c r="B936" s="308"/>
    </row>
    <row r="937" ht="15.75" customHeight="1">
      <c r="B937" s="308"/>
    </row>
    <row r="938" ht="15.75" customHeight="1">
      <c r="B938" s="308"/>
    </row>
    <row r="939" ht="15.75" customHeight="1">
      <c r="B939" s="308"/>
    </row>
    <row r="940" ht="15.75" customHeight="1">
      <c r="B940" s="308"/>
    </row>
    <row r="941" ht="15.75" customHeight="1">
      <c r="B941" s="308"/>
    </row>
    <row r="942" ht="15.75" customHeight="1">
      <c r="B942" s="308"/>
    </row>
    <row r="943" ht="15.75" customHeight="1">
      <c r="B943" s="308"/>
    </row>
    <row r="944" ht="15.75" customHeight="1">
      <c r="B944" s="308"/>
    </row>
    <row r="945" ht="15.75" customHeight="1">
      <c r="B945" s="308"/>
    </row>
    <row r="946" ht="15.75" customHeight="1">
      <c r="B946" s="308"/>
    </row>
    <row r="947" ht="15.75" customHeight="1">
      <c r="B947" s="308"/>
    </row>
    <row r="948" ht="15.75" customHeight="1">
      <c r="B948" s="308"/>
    </row>
    <row r="949" ht="15.75" customHeight="1">
      <c r="B949" s="308"/>
    </row>
    <row r="950" ht="15.75" customHeight="1">
      <c r="B950" s="308"/>
    </row>
    <row r="951" ht="15.75" customHeight="1">
      <c r="B951" s="308"/>
    </row>
    <row r="952" ht="15.75" customHeight="1">
      <c r="B952" s="308"/>
    </row>
    <row r="953" ht="15.75" customHeight="1">
      <c r="B953" s="308"/>
    </row>
    <row r="954" ht="15.75" customHeight="1">
      <c r="B954" s="308"/>
    </row>
    <row r="955" ht="15.75" customHeight="1">
      <c r="B955" s="308"/>
    </row>
    <row r="956" ht="15.75" customHeight="1">
      <c r="B956" s="308"/>
    </row>
    <row r="957" ht="15.75" customHeight="1">
      <c r="B957" s="308"/>
    </row>
    <row r="958" ht="15.75" customHeight="1">
      <c r="B958" s="308"/>
    </row>
    <row r="959" ht="15.75" customHeight="1">
      <c r="B959" s="308"/>
    </row>
    <row r="960" ht="15.75" customHeight="1">
      <c r="B960" s="308"/>
    </row>
    <row r="961" ht="15.75" customHeight="1">
      <c r="B961" s="308"/>
    </row>
    <row r="962" ht="15.75" customHeight="1">
      <c r="B962" s="308"/>
    </row>
    <row r="963" ht="15.75" customHeight="1">
      <c r="B963" s="308"/>
    </row>
    <row r="964" ht="15.75" customHeight="1">
      <c r="B964" s="308"/>
    </row>
    <row r="965" ht="15.75" customHeight="1">
      <c r="B965" s="308"/>
    </row>
    <row r="966" ht="15.75" customHeight="1">
      <c r="B966" s="308"/>
    </row>
    <row r="967" ht="15.75" customHeight="1">
      <c r="B967" s="308"/>
    </row>
    <row r="968" ht="15.75" customHeight="1">
      <c r="B968" s="308"/>
    </row>
    <row r="969" ht="15.75" customHeight="1">
      <c r="B969" s="308"/>
    </row>
    <row r="970" ht="15.75" customHeight="1">
      <c r="B970" s="308"/>
    </row>
    <row r="971" ht="15.75" customHeight="1">
      <c r="B971" s="308"/>
    </row>
    <row r="972" ht="15.75" customHeight="1">
      <c r="B972" s="308"/>
    </row>
    <row r="973" ht="15.75" customHeight="1">
      <c r="B973" s="308"/>
    </row>
    <row r="974" ht="15.75" customHeight="1">
      <c r="B974" s="308"/>
    </row>
    <row r="975" ht="15.75" customHeight="1">
      <c r="B975" s="308"/>
    </row>
    <row r="976" ht="15.75" customHeight="1">
      <c r="B976" s="308"/>
    </row>
    <row r="977" ht="15.75" customHeight="1">
      <c r="B977" s="308"/>
    </row>
    <row r="978" ht="15.75" customHeight="1">
      <c r="B978" s="308"/>
    </row>
    <row r="979" ht="15.75" customHeight="1">
      <c r="B979" s="308"/>
    </row>
    <row r="980" ht="15.75" customHeight="1">
      <c r="B980" s="308"/>
    </row>
    <row r="981" ht="15.75" customHeight="1">
      <c r="B981" s="308"/>
    </row>
    <row r="982" ht="15.75" customHeight="1">
      <c r="B982" s="308"/>
    </row>
    <row r="983" ht="15.75" customHeight="1">
      <c r="B983" s="308"/>
    </row>
    <row r="984" ht="15.75" customHeight="1">
      <c r="B984" s="308"/>
    </row>
    <row r="985" ht="15.75" customHeight="1">
      <c r="B985" s="308"/>
    </row>
    <row r="986" ht="15.75" customHeight="1">
      <c r="B986" s="308"/>
    </row>
    <row r="987" ht="15.75" customHeight="1">
      <c r="B987" s="308"/>
    </row>
    <row r="988" ht="15.75" customHeight="1">
      <c r="B988" s="308"/>
    </row>
    <row r="989" ht="15.75" customHeight="1">
      <c r="B989" s="308"/>
    </row>
    <row r="990" ht="15.75" customHeight="1">
      <c r="B990" s="308"/>
    </row>
    <row r="991" ht="15.75" customHeight="1">
      <c r="B991" s="308"/>
    </row>
    <row r="992" ht="15.75" customHeight="1">
      <c r="B992" s="308"/>
    </row>
    <row r="993" ht="15.75" customHeight="1">
      <c r="B993" s="308"/>
    </row>
    <row r="994" ht="15.75" customHeight="1">
      <c r="B994" s="308"/>
    </row>
  </sheetData>
  <mergeCells count="16">
    <mergeCell ref="D2:I2"/>
    <mergeCell ref="L6:M6"/>
    <mergeCell ref="L7:M7"/>
    <mergeCell ref="L8:M8"/>
    <mergeCell ref="L9:M9"/>
    <mergeCell ref="C14:I14"/>
    <mergeCell ref="C15:H15"/>
    <mergeCell ref="C23:H23"/>
    <mergeCell ref="C35:I35"/>
    <mergeCell ref="C16:I16"/>
    <mergeCell ref="C17:I17"/>
    <mergeCell ref="C18:I18"/>
    <mergeCell ref="C19:I19"/>
    <mergeCell ref="C20:H20"/>
    <mergeCell ref="C21:H21"/>
    <mergeCell ref="C22:H22"/>
  </mergeCells>
  <dataValidations>
    <dataValidation type="list" allowBlank="1" showErrorMessage="1" sqref="D6:D12 D26:D33">
      <formula1>'Hoja 2'!$A$2:$A$4</formula1>
    </dataValidation>
    <dataValidation type="list" allowBlank="1" showErrorMessage="1" sqref="C6 C8:C12 C26:C33">
      <formula1>'Base de datos'!$C$2:$C$42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38"/>
    <col customWidth="1" min="3" max="3" width="26.5"/>
    <col customWidth="1" min="7" max="7" width="13.75"/>
    <col customWidth="1" min="10" max="10" width="2.25"/>
    <col customWidth="1" min="11" max="11" width="20.75"/>
    <col customWidth="1" min="12" max="12" width="9.5"/>
    <col customWidth="1" min="13" max="13" width="3.13"/>
  </cols>
  <sheetData>
    <row r="1" ht="15.75" customHeight="1">
      <c r="A1" s="230"/>
      <c r="B1" s="230"/>
      <c r="C1" s="230"/>
      <c r="D1" s="230"/>
      <c r="E1" s="231"/>
      <c r="F1" s="232"/>
      <c r="G1" s="232"/>
      <c r="H1" s="230"/>
      <c r="I1" s="230"/>
      <c r="J1" s="230"/>
      <c r="K1" s="230"/>
      <c r="L1" s="230"/>
      <c r="M1" s="233"/>
    </row>
    <row r="2" ht="15.75" customHeight="1">
      <c r="A2" s="234"/>
      <c r="B2" s="234"/>
      <c r="C2" s="235" t="s">
        <v>313</v>
      </c>
      <c r="D2" s="533" t="s">
        <v>821</v>
      </c>
      <c r="E2" s="237"/>
      <c r="F2" s="237"/>
      <c r="G2" s="237"/>
      <c r="H2" s="237"/>
      <c r="I2" s="237"/>
      <c r="J2" s="238"/>
      <c r="K2" s="231"/>
      <c r="L2" s="230"/>
      <c r="M2" s="233"/>
    </row>
    <row r="3" ht="15.75" customHeight="1">
      <c r="A3" s="230"/>
      <c r="B3" s="239"/>
      <c r="C3" s="230"/>
      <c r="D3" s="230"/>
      <c r="E3" s="231"/>
      <c r="F3" s="232"/>
      <c r="G3" s="232"/>
      <c r="H3" s="230"/>
      <c r="I3" s="230"/>
      <c r="J3" s="230"/>
      <c r="K3" s="230"/>
      <c r="L3" s="230"/>
      <c r="M3" s="233"/>
    </row>
    <row r="4" ht="15.75" customHeight="1">
      <c r="A4" s="240"/>
      <c r="B4" s="240"/>
      <c r="C4" s="241"/>
      <c r="D4" s="242"/>
      <c r="E4" s="243"/>
      <c r="F4" s="244"/>
      <c r="G4" s="244"/>
      <c r="H4" s="241"/>
      <c r="I4" s="241"/>
      <c r="J4" s="241"/>
      <c r="K4" s="241"/>
      <c r="L4" s="241"/>
    </row>
    <row r="5" ht="15.75" customHeight="1">
      <c r="A5" s="245"/>
      <c r="B5" s="246" t="s">
        <v>0</v>
      </c>
      <c r="C5" s="246" t="s">
        <v>822</v>
      </c>
      <c r="D5" s="246" t="s">
        <v>316</v>
      </c>
      <c r="E5" s="247" t="s">
        <v>317</v>
      </c>
      <c r="F5" s="248" t="s">
        <v>318</v>
      </c>
      <c r="G5" s="248" t="s">
        <v>319</v>
      </c>
      <c r="H5" s="246" t="s">
        <v>320</v>
      </c>
      <c r="I5" s="246" t="s">
        <v>321</v>
      </c>
      <c r="J5" s="249"/>
      <c r="L5" s="251"/>
      <c r="M5" s="251"/>
    </row>
    <row r="6" ht="15.75" customHeight="1">
      <c r="A6" s="252"/>
      <c r="B6" s="253" t="str">
        <f t="array" ref="B6">+XLOOKUP(C6,'Base de datos'!C:C,'Base de datos'!A:A,"",FALSE)</f>
        <v/>
      </c>
      <c r="C6" s="254" t="s">
        <v>452</v>
      </c>
      <c r="D6" s="255" t="s">
        <v>20</v>
      </c>
      <c r="E6" s="256">
        <f t="array" ref="E6">+XLOOKUP(B6,'Base de datos'!A:A,'Base de datos'!H:H,0)</f>
        <v>0</v>
      </c>
      <c r="F6" s="257"/>
      <c r="G6" s="257"/>
      <c r="H6" s="258" t="str">
        <f t="shared" ref="H6:H13" si="1">IFERROR(1-G6/F6,"")</f>
        <v/>
      </c>
      <c r="I6" s="256">
        <f t="shared" ref="I6:I13" si="2">IFERROR(E6*F6,"")</f>
        <v>0</v>
      </c>
      <c r="J6" s="241"/>
      <c r="K6" s="259" t="s">
        <v>324</v>
      </c>
      <c r="L6" s="260">
        <f>SUM(I6:I13)</f>
        <v>0</v>
      </c>
      <c r="M6" s="261"/>
    </row>
    <row r="7" ht="15.75" customHeight="1">
      <c r="A7" s="252"/>
      <c r="B7" s="262" t="str">
        <f>K22</f>
        <v>E.1</v>
      </c>
      <c r="C7" s="262" t="str">
        <f>C22</f>
        <v> Nombre Elaboración 1 (M&amp;P)</v>
      </c>
      <c r="D7" s="263" t="s">
        <v>14</v>
      </c>
      <c r="E7" s="264" t="str">
        <f>K28</f>
        <v>#DIV/0!</v>
      </c>
      <c r="F7" s="265"/>
      <c r="G7" s="265"/>
      <c r="H7" s="266" t="str">
        <f t="shared" si="1"/>
        <v/>
      </c>
      <c r="I7" s="264" t="str">
        <f t="shared" si="2"/>
        <v/>
      </c>
      <c r="J7" s="241"/>
      <c r="K7" s="267" t="s">
        <v>325</v>
      </c>
      <c r="L7" s="514"/>
      <c r="M7" s="261"/>
    </row>
    <row r="8" ht="15.75" customHeight="1">
      <c r="A8" s="252"/>
      <c r="B8" s="262" t="str">
        <f>K41</f>
        <v>E.2</v>
      </c>
      <c r="C8" s="262" t="str">
        <f>C41</f>
        <v> Nombre Elaboración 2 (M&amp;P)</v>
      </c>
      <c r="D8" s="263" t="s">
        <v>14</v>
      </c>
      <c r="E8" s="264" t="str">
        <f>K47</f>
        <v>#DIV/0!</v>
      </c>
      <c r="F8" s="265"/>
      <c r="G8" s="265"/>
      <c r="H8" s="266" t="str">
        <f t="shared" si="1"/>
        <v/>
      </c>
      <c r="I8" s="264" t="str">
        <f t="shared" si="2"/>
        <v/>
      </c>
      <c r="J8" s="241"/>
      <c r="K8" s="272" t="s">
        <v>326</v>
      </c>
      <c r="L8" s="273">
        <f>L7/1.1</f>
        <v>0</v>
      </c>
      <c r="M8" s="274"/>
    </row>
    <row r="9" ht="15.75" customHeight="1">
      <c r="A9" s="252"/>
      <c r="B9" s="262" t="str">
        <f>K57</f>
        <v>E.3</v>
      </c>
      <c r="C9" s="262" t="str">
        <f>C57</f>
        <v> Nombre Elaboración 3 (M&amp;P)</v>
      </c>
      <c r="D9" s="263" t="s">
        <v>14</v>
      </c>
      <c r="E9" s="264" t="str">
        <f>K63</f>
        <v>#DIV/0!</v>
      </c>
      <c r="F9" s="265"/>
      <c r="G9" s="265"/>
      <c r="H9" s="266" t="str">
        <f t="shared" si="1"/>
        <v/>
      </c>
      <c r="I9" s="264" t="str">
        <f t="shared" si="2"/>
        <v/>
      </c>
      <c r="J9" s="241"/>
      <c r="K9" s="276" t="s">
        <v>327</v>
      </c>
      <c r="L9" s="277">
        <v>0.1</v>
      </c>
      <c r="M9" s="278"/>
    </row>
    <row r="10" ht="15.75" customHeight="1">
      <c r="A10" s="252"/>
      <c r="B10" s="262" t="str">
        <f>K73</f>
        <v>E.4</v>
      </c>
      <c r="C10" s="262" t="str">
        <f>C73</f>
        <v>Nombre Elaboración 4 (M&amp;P)</v>
      </c>
      <c r="D10" s="263" t="s">
        <v>14</v>
      </c>
      <c r="E10" s="264" t="str">
        <f>K79</f>
        <v>#DIV/0!</v>
      </c>
      <c r="F10" s="265"/>
      <c r="G10" s="265"/>
      <c r="H10" s="266" t="str">
        <f t="shared" si="1"/>
        <v/>
      </c>
      <c r="I10" s="264" t="str">
        <f t="shared" si="2"/>
        <v/>
      </c>
      <c r="J10" s="241"/>
      <c r="K10" s="534" t="s">
        <v>328</v>
      </c>
      <c r="L10" s="535" t="str">
        <f>L6/L8*100</f>
        <v>#DIV/0!</v>
      </c>
      <c r="M10" s="536" t="s">
        <v>329</v>
      </c>
    </row>
    <row r="11" ht="15.75" customHeight="1">
      <c r="A11" s="252"/>
      <c r="B11" s="253" t="str">
        <f t="array" ref="B11">+XLOOKUP(C11,'Base de datos'!C:C,'Base de datos'!A:A,"",FALSE)</f>
        <v/>
      </c>
      <c r="C11" s="254" t="s">
        <v>823</v>
      </c>
      <c r="D11" s="255" t="s">
        <v>14</v>
      </c>
      <c r="E11" s="256">
        <f t="array" ref="E11">+XLOOKUP(B11,'Base de datos'!A:A,'Base de datos'!H:H,0)</f>
        <v>0</v>
      </c>
      <c r="F11" s="257"/>
      <c r="G11" s="257"/>
      <c r="H11" s="258" t="str">
        <f t="shared" si="1"/>
        <v/>
      </c>
      <c r="I11" s="256">
        <f t="shared" si="2"/>
        <v>0</v>
      </c>
      <c r="J11" s="241"/>
      <c r="K11" s="537" t="s">
        <v>330</v>
      </c>
      <c r="L11" s="535" t="str">
        <f>100-L10</f>
        <v>#DIV/0!</v>
      </c>
      <c r="M11" s="536" t="s">
        <v>329</v>
      </c>
    </row>
    <row r="12" ht="15.75" customHeight="1">
      <c r="A12" s="252"/>
      <c r="B12" s="253" t="str">
        <f t="array" ref="B12">+XLOOKUP(C12,'Base de datos'!C:C,'Base de datos'!A:A,"",FALSE)</f>
        <v/>
      </c>
      <c r="C12" s="254"/>
      <c r="D12" s="255" t="s">
        <v>14</v>
      </c>
      <c r="E12" s="256">
        <f t="array" ref="E12">+XLOOKUP(B12,'Base de datos'!A:A,'Base de datos'!H:H,0)</f>
        <v>0</v>
      </c>
      <c r="F12" s="257"/>
      <c r="G12" s="257"/>
      <c r="H12" s="258" t="str">
        <f t="shared" si="1"/>
        <v/>
      </c>
      <c r="I12" s="256">
        <f t="shared" si="2"/>
        <v>0</v>
      </c>
      <c r="J12" s="241"/>
      <c r="L12" s="288"/>
    </row>
    <row r="13" ht="15.75" customHeight="1">
      <c r="A13" s="252"/>
      <c r="B13" s="253" t="str">
        <f t="array" ref="B13">+XLOOKUP(C13,'Base de datos'!C:C,'Base de datos'!A:A,"",FALSE)</f>
        <v/>
      </c>
      <c r="C13" s="254"/>
      <c r="D13" s="255" t="s">
        <v>11</v>
      </c>
      <c r="E13" s="256">
        <f t="array" ref="E13">+XLOOKUP(B13,'Base de datos'!A:A,'Base de datos'!H:H,0)</f>
        <v>0</v>
      </c>
      <c r="F13" s="257"/>
      <c r="G13" s="257"/>
      <c r="H13" s="258" t="str">
        <f t="shared" si="1"/>
        <v/>
      </c>
      <c r="I13" s="256">
        <f t="shared" si="2"/>
        <v>0</v>
      </c>
      <c r="J13" s="241"/>
      <c r="L13" s="288"/>
    </row>
    <row r="14" ht="15.75" customHeight="1">
      <c r="A14" s="240"/>
      <c r="B14" s="240"/>
      <c r="C14" s="241"/>
      <c r="D14" s="242"/>
      <c r="E14" s="243"/>
      <c r="F14" s="244"/>
      <c r="G14" s="244"/>
      <c r="H14" s="241"/>
      <c r="I14" s="241"/>
      <c r="J14" s="241"/>
      <c r="K14" s="241"/>
      <c r="L14" s="241"/>
    </row>
    <row r="15" ht="15.75" customHeight="1">
      <c r="A15" s="295"/>
      <c r="B15" s="295"/>
      <c r="C15" s="296" t="s">
        <v>337</v>
      </c>
      <c r="D15" s="297"/>
      <c r="E15" s="297"/>
      <c r="F15" s="297"/>
      <c r="G15" s="297"/>
      <c r="H15" s="297"/>
      <c r="I15" s="298"/>
      <c r="J15" s="241"/>
      <c r="K15" s="241"/>
      <c r="L15" s="241"/>
    </row>
    <row r="16" ht="15.75" customHeight="1">
      <c r="A16" s="299"/>
      <c r="B16" s="299"/>
      <c r="C16" s="300"/>
      <c r="D16" s="297"/>
      <c r="E16" s="297"/>
      <c r="F16" s="297"/>
      <c r="G16" s="297"/>
      <c r="H16" s="297"/>
      <c r="I16" s="298"/>
      <c r="J16" s="241"/>
      <c r="K16" s="241"/>
      <c r="L16" s="241"/>
    </row>
    <row r="17" ht="15.75" customHeight="1">
      <c r="A17" s="301"/>
      <c r="B17" s="301"/>
      <c r="C17" s="302"/>
      <c r="I17" s="278"/>
      <c r="J17" s="241"/>
      <c r="K17" s="241"/>
      <c r="L17" s="241"/>
    </row>
    <row r="18" ht="15.75" customHeight="1">
      <c r="A18" s="301"/>
      <c r="B18" s="301"/>
      <c r="C18" s="302"/>
      <c r="I18" s="278"/>
      <c r="J18" s="241"/>
      <c r="K18" s="241"/>
      <c r="L18" s="241"/>
    </row>
    <row r="19" ht="15.75" customHeight="1">
      <c r="A19" s="301"/>
      <c r="B19" s="301"/>
      <c r="C19" s="302"/>
      <c r="I19" s="278"/>
      <c r="J19" s="241"/>
      <c r="K19" s="241"/>
      <c r="L19" s="241"/>
    </row>
    <row r="20" ht="15.75" customHeight="1">
      <c r="A20" s="301"/>
      <c r="B20" s="301"/>
      <c r="C20" s="304"/>
      <c r="D20" s="305"/>
      <c r="E20" s="305"/>
      <c r="F20" s="305"/>
      <c r="G20" s="305"/>
      <c r="H20" s="305"/>
      <c r="I20" s="274"/>
      <c r="J20" s="241"/>
      <c r="K20" s="241"/>
      <c r="L20" s="241"/>
    </row>
    <row r="21" ht="15.75" customHeight="1">
      <c r="A21" s="240"/>
      <c r="B21" s="240"/>
      <c r="C21" s="241"/>
      <c r="D21" s="242"/>
      <c r="E21" s="243"/>
      <c r="F21" s="244"/>
      <c r="G21" s="244"/>
      <c r="H21" s="241"/>
      <c r="I21" s="241"/>
      <c r="J21" s="241"/>
      <c r="K21" s="241"/>
      <c r="L21" s="241"/>
    </row>
    <row r="22" ht="15.75" customHeight="1">
      <c r="A22" s="360"/>
      <c r="B22" s="361" t="s">
        <v>0</v>
      </c>
      <c r="C22" s="361" t="s">
        <v>824</v>
      </c>
      <c r="D22" s="361" t="s">
        <v>20</v>
      </c>
      <c r="E22" s="363" t="s">
        <v>317</v>
      </c>
      <c r="F22" s="361" t="s">
        <v>318</v>
      </c>
      <c r="G22" s="364" t="s">
        <v>319</v>
      </c>
      <c r="H22" s="361" t="s">
        <v>320</v>
      </c>
      <c r="I22" s="361" t="s">
        <v>321</v>
      </c>
      <c r="J22" s="365"/>
      <c r="K22" s="361" t="s">
        <v>653</v>
      </c>
      <c r="L22" s="249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</row>
    <row r="23" ht="15.75" customHeight="1">
      <c r="A23" s="301"/>
      <c r="B23" s="377" t="str">
        <f t="array" ref="B23">+XLOOKUP(C23,'Base de datos'!C:C,'Base de datos'!A:A,"",FALSE)</f>
        <v/>
      </c>
      <c r="C23" s="381" t="s">
        <v>823</v>
      </c>
      <c r="D23" s="255" t="s">
        <v>14</v>
      </c>
      <c r="E23" s="256">
        <f t="array" ref="E23">+XLOOKUP(B23,'Base de datos'!A:A,'Base de datos'!H:H,0)</f>
        <v>0</v>
      </c>
      <c r="F23" s="369"/>
      <c r="G23" s="369"/>
      <c r="H23" s="370" t="str">
        <f t="shared" ref="H23:H32" si="3">IFERROR(1-G23/F23,"")</f>
        <v/>
      </c>
      <c r="I23" s="371">
        <f t="shared" ref="I23:I32" si="4">IFERROR(E23*F23,"")</f>
        <v>0</v>
      </c>
      <c r="J23" s="241"/>
      <c r="K23" s="372" t="s">
        <v>324</v>
      </c>
      <c r="L23" s="241"/>
    </row>
    <row r="24" ht="15.75" customHeight="1">
      <c r="A24" s="301"/>
      <c r="B24" s="377" t="str">
        <f t="array" ref="B24">+XLOOKUP(C24,'Base de datos'!C:C,'Base de datos'!A:A,"",FALSE)</f>
        <v/>
      </c>
      <c r="C24" s="381"/>
      <c r="D24" s="373" t="s">
        <v>14</v>
      </c>
      <c r="E24" s="256">
        <f t="array" ref="E24">+XLOOKUP(B24,'Base de datos'!A:A,'Base de datos'!H:H,0)</f>
        <v>0</v>
      </c>
      <c r="F24" s="369"/>
      <c r="G24" s="369"/>
      <c r="H24" s="370" t="str">
        <f t="shared" si="3"/>
        <v/>
      </c>
      <c r="I24" s="371">
        <f t="shared" si="4"/>
        <v>0</v>
      </c>
      <c r="J24" s="241"/>
      <c r="K24" s="374">
        <f>SUM(I23:I32)</f>
        <v>0</v>
      </c>
      <c r="L24" s="241"/>
    </row>
    <row r="25" ht="15.75" customHeight="1">
      <c r="A25" s="301"/>
      <c r="B25" s="377" t="str">
        <f t="array" ref="B25">+XLOOKUP(C25,'Base de datos'!C:C,'Base de datos'!A:A,"",FALSE)</f>
        <v/>
      </c>
      <c r="C25" s="381"/>
      <c r="D25" s="373" t="s">
        <v>14</v>
      </c>
      <c r="E25" s="256">
        <f t="array" ref="E25">+XLOOKUP(B25,'Base de datos'!A:A,'Base de datos'!H:H,0)</f>
        <v>0</v>
      </c>
      <c r="F25" s="369"/>
      <c r="G25" s="369"/>
      <c r="H25" s="370" t="str">
        <f t="shared" si="3"/>
        <v/>
      </c>
      <c r="I25" s="371">
        <f t="shared" si="4"/>
        <v>0</v>
      </c>
      <c r="J25" s="241"/>
      <c r="K25" s="372" t="s">
        <v>654</v>
      </c>
      <c r="L25" s="375"/>
    </row>
    <row r="26" ht="15.75" customHeight="1">
      <c r="A26" s="301"/>
      <c r="B26" s="377" t="str">
        <f t="array" ref="B26">+XLOOKUP(C26,'Base de datos'!C:C,'Base de datos'!A:A,"",FALSE)</f>
        <v/>
      </c>
      <c r="C26" s="381"/>
      <c r="D26" s="373" t="s">
        <v>14</v>
      </c>
      <c r="E26" s="256">
        <f t="array" ref="E26">+XLOOKUP(B26,'Base de datos'!A:A,'Base de datos'!H:H,0)</f>
        <v>0</v>
      </c>
      <c r="F26" s="369"/>
      <c r="G26" s="369"/>
      <c r="H26" s="370" t="str">
        <f t="shared" si="3"/>
        <v/>
      </c>
      <c r="I26" s="371">
        <f t="shared" si="4"/>
        <v>0</v>
      </c>
      <c r="J26" s="241"/>
      <c r="K26" s="376">
        <f>SUM(F23:F32)</f>
        <v>0</v>
      </c>
      <c r="L26" s="241"/>
    </row>
    <row r="27" ht="15.75" customHeight="1">
      <c r="A27" s="301"/>
      <c r="B27" s="377" t="str">
        <f t="array" ref="B27">+XLOOKUP(C27,'Base de datos'!C:C,'Base de datos'!A:A,"",FALSE)</f>
        <v/>
      </c>
      <c r="C27" s="381"/>
      <c r="D27" s="373" t="s">
        <v>14</v>
      </c>
      <c r="E27" s="256">
        <f t="array" ref="E27">+XLOOKUP(B27,'Base de datos'!A:A,'Base de datos'!H:H,0)</f>
        <v>0</v>
      </c>
      <c r="F27" s="379"/>
      <c r="G27" s="379"/>
      <c r="H27" s="370" t="str">
        <f t="shared" si="3"/>
        <v/>
      </c>
      <c r="I27" s="371">
        <f t="shared" si="4"/>
        <v>0</v>
      </c>
      <c r="J27" s="241"/>
      <c r="K27" s="372" t="s">
        <v>656</v>
      </c>
      <c r="L27" s="380"/>
    </row>
    <row r="28" ht="15.75" customHeight="1">
      <c r="A28" s="301"/>
      <c r="B28" s="377" t="str">
        <f t="array" ref="B28">+XLOOKUP(C28,'Base de datos'!C:C,'Base de datos'!A:A,"",FALSE)</f>
        <v/>
      </c>
      <c r="C28" s="381"/>
      <c r="D28" s="255" t="s">
        <v>14</v>
      </c>
      <c r="E28" s="256">
        <f t="array" ref="E28">+XLOOKUP(B28,'Base de datos'!A:A,'Base de datos'!H:H,0)</f>
        <v>0</v>
      </c>
      <c r="F28" s="379"/>
      <c r="G28" s="379"/>
      <c r="H28" s="370" t="str">
        <f t="shared" si="3"/>
        <v/>
      </c>
      <c r="I28" s="371">
        <f t="shared" si="4"/>
        <v>0</v>
      </c>
      <c r="J28" s="241"/>
      <c r="K28" s="374" t="str">
        <f>K24/K26</f>
        <v>#DIV/0!</v>
      </c>
      <c r="L28" s="241"/>
    </row>
    <row r="29" ht="15.75" customHeight="1">
      <c r="A29" s="301"/>
      <c r="B29" s="377" t="str">
        <f t="array" ref="B29">+XLOOKUP(C29,'Base de datos'!C:C,'Base de datos'!A:A,"",FALSE)</f>
        <v/>
      </c>
      <c r="C29" s="381"/>
      <c r="D29" s="255" t="s">
        <v>14</v>
      </c>
      <c r="E29" s="256">
        <f t="array" ref="E29">+XLOOKUP(B29,'Base de datos'!A:A,'Base de datos'!H:H,0)</f>
        <v>0</v>
      </c>
      <c r="F29" s="379"/>
      <c r="G29" s="379"/>
      <c r="H29" s="370" t="str">
        <f t="shared" si="3"/>
        <v/>
      </c>
      <c r="I29" s="371">
        <f t="shared" si="4"/>
        <v>0</v>
      </c>
      <c r="J29" s="241"/>
      <c r="K29" s="538" t="s">
        <v>658</v>
      </c>
      <c r="L29" s="241"/>
    </row>
    <row r="30" ht="15.75" customHeight="1">
      <c r="A30" s="301"/>
      <c r="B30" s="377" t="str">
        <f t="array" ref="B30">+XLOOKUP(C30,'Base de datos'!C:C,'Base de datos'!A:A,"",FALSE)</f>
        <v/>
      </c>
      <c r="C30" s="381"/>
      <c r="D30" s="255" t="s">
        <v>14</v>
      </c>
      <c r="E30" s="256">
        <f t="array" ref="E30">+XLOOKUP(B30,'Base de datos'!A:A,'Base de datos'!H:H,0)</f>
        <v>0</v>
      </c>
      <c r="F30" s="379"/>
      <c r="G30" s="379"/>
      <c r="H30" s="370" t="str">
        <f t="shared" si="3"/>
        <v/>
      </c>
      <c r="I30" s="371">
        <f t="shared" si="4"/>
        <v>0</v>
      </c>
      <c r="J30" s="241"/>
      <c r="K30" s="539" t="str">
        <f>K26/F7</f>
        <v>#DIV/0!</v>
      </c>
      <c r="L30" s="241"/>
    </row>
    <row r="31" ht="15.75" customHeight="1">
      <c r="A31" s="301"/>
      <c r="B31" s="377" t="str">
        <f t="array" ref="B31">+XLOOKUP(C31,'Base de datos'!C:C,'Base de datos'!A:A,"",FALSE)</f>
        <v/>
      </c>
      <c r="C31" s="381"/>
      <c r="D31" s="255" t="s">
        <v>14</v>
      </c>
      <c r="E31" s="256">
        <f t="array" ref="E31">+XLOOKUP(B31,'Base de datos'!A:A,'Base de datos'!H:H,0)</f>
        <v>0</v>
      </c>
      <c r="F31" s="379"/>
      <c r="G31" s="379"/>
      <c r="H31" s="370" t="str">
        <f t="shared" si="3"/>
        <v/>
      </c>
      <c r="I31" s="371">
        <f t="shared" si="4"/>
        <v>0</v>
      </c>
      <c r="J31" s="241"/>
      <c r="K31" s="384"/>
      <c r="L31" s="241"/>
    </row>
    <row r="32" ht="15.75" customHeight="1">
      <c r="A32" s="301"/>
      <c r="B32" s="377" t="str">
        <f t="array" ref="B32">+XLOOKUP(C32,'Base de datos'!C:C,'Base de datos'!A:A,"",FALSE)</f>
        <v/>
      </c>
      <c r="C32" s="381"/>
      <c r="D32" s="255" t="s">
        <v>14</v>
      </c>
      <c r="E32" s="256">
        <f t="array" ref="E32">+XLOOKUP(B32,'Base de datos'!A:A,'Base de datos'!H:H,0)</f>
        <v>0</v>
      </c>
      <c r="F32" s="379"/>
      <c r="G32" s="379"/>
      <c r="H32" s="370" t="str">
        <f t="shared" si="3"/>
        <v/>
      </c>
      <c r="I32" s="371">
        <f t="shared" si="4"/>
        <v>0</v>
      </c>
      <c r="J32" s="241"/>
      <c r="K32" s="384"/>
      <c r="L32" s="241"/>
    </row>
    <row r="33" ht="15.75" customHeight="1">
      <c r="A33" s="240"/>
      <c r="B33" s="240"/>
      <c r="C33" s="241"/>
      <c r="D33" s="242"/>
      <c r="E33" s="243"/>
      <c r="F33" s="244"/>
      <c r="G33" s="244"/>
      <c r="H33" s="241"/>
      <c r="I33" s="241"/>
      <c r="J33" s="241"/>
      <c r="K33" s="241"/>
      <c r="L33" s="241"/>
    </row>
    <row r="34" ht="15.75" customHeight="1">
      <c r="A34" s="295"/>
      <c r="B34" s="295"/>
      <c r="C34" s="296" t="s">
        <v>337</v>
      </c>
      <c r="D34" s="297"/>
      <c r="E34" s="297"/>
      <c r="F34" s="297"/>
      <c r="G34" s="297"/>
      <c r="H34" s="297"/>
      <c r="I34" s="298"/>
      <c r="J34" s="241"/>
      <c r="K34" s="241"/>
      <c r="L34" s="241"/>
    </row>
    <row r="35" ht="15.75" customHeight="1">
      <c r="A35" s="299"/>
      <c r="B35" s="299"/>
      <c r="C35" s="300"/>
      <c r="D35" s="297"/>
      <c r="E35" s="297"/>
      <c r="F35" s="297"/>
      <c r="G35" s="297"/>
      <c r="H35" s="297"/>
      <c r="I35" s="298"/>
      <c r="J35" s="241"/>
      <c r="K35" s="241"/>
      <c r="L35" s="241"/>
    </row>
    <row r="36" ht="15.75" customHeight="1">
      <c r="A36" s="301"/>
      <c r="B36" s="301"/>
      <c r="C36" s="302"/>
      <c r="I36" s="278"/>
      <c r="J36" s="241"/>
      <c r="K36" s="241"/>
      <c r="L36" s="241"/>
    </row>
    <row r="37" ht="15.75" customHeight="1">
      <c r="A37" s="301"/>
      <c r="B37" s="301"/>
      <c r="C37" s="302"/>
      <c r="I37" s="278"/>
      <c r="J37" s="241"/>
      <c r="K37" s="241"/>
      <c r="L37" s="241"/>
    </row>
    <row r="38" ht="15.75" customHeight="1">
      <c r="A38" s="301"/>
      <c r="B38" s="301"/>
      <c r="C38" s="302"/>
      <c r="I38" s="278"/>
      <c r="J38" s="241"/>
      <c r="K38" s="241"/>
      <c r="L38" s="241"/>
    </row>
    <row r="39" ht="15.75" customHeight="1">
      <c r="A39" s="301"/>
      <c r="B39" s="301"/>
      <c r="C39" s="304"/>
      <c r="D39" s="305"/>
      <c r="E39" s="305"/>
      <c r="F39" s="305"/>
      <c r="G39" s="305"/>
      <c r="H39" s="305"/>
      <c r="I39" s="274"/>
      <c r="J39" s="241"/>
      <c r="K39" s="241"/>
      <c r="L39" s="241"/>
    </row>
    <row r="40" ht="15.75" customHeight="1">
      <c r="A40" s="301"/>
      <c r="B40" s="301"/>
      <c r="C40" s="303"/>
      <c r="D40" s="303"/>
      <c r="E40" s="303"/>
      <c r="F40" s="303"/>
      <c r="G40" s="303"/>
      <c r="H40" s="303"/>
      <c r="I40" s="303"/>
      <c r="J40" s="241"/>
      <c r="K40" s="241"/>
      <c r="L40" s="241"/>
    </row>
    <row r="41" ht="15.75" customHeight="1">
      <c r="A41" s="301"/>
      <c r="B41" s="361" t="s">
        <v>0</v>
      </c>
      <c r="C41" s="361" t="s">
        <v>825</v>
      </c>
      <c r="D41" s="361" t="s">
        <v>20</v>
      </c>
      <c r="E41" s="363" t="s">
        <v>317</v>
      </c>
      <c r="F41" s="361" t="s">
        <v>318</v>
      </c>
      <c r="G41" s="364" t="s">
        <v>319</v>
      </c>
      <c r="H41" s="361" t="s">
        <v>320</v>
      </c>
      <c r="I41" s="361" t="s">
        <v>321</v>
      </c>
      <c r="J41" s="365"/>
      <c r="K41" s="361" t="s">
        <v>661</v>
      </c>
      <c r="L41" s="241"/>
    </row>
    <row r="42" ht="15.75" customHeight="1">
      <c r="A42" s="301"/>
      <c r="B42" s="377" t="str">
        <f t="array" ref="B42">+XLOOKUP(C42,'Base de datos'!C:C,'Base de datos'!A:A,"",FALSE)</f>
        <v/>
      </c>
      <c r="C42" s="381"/>
      <c r="D42" s="255" t="s">
        <v>14</v>
      </c>
      <c r="E42" s="256">
        <f t="array" ref="E42">+XLOOKUP(B42,'Base de datos'!A:A,'Base de datos'!H:H,0)</f>
        <v>0</v>
      </c>
      <c r="F42" s="369"/>
      <c r="G42" s="369"/>
      <c r="H42" s="370" t="str">
        <f t="shared" ref="H42:H49" si="5">IFERROR(1-G42/F42,"")</f>
        <v/>
      </c>
      <c r="I42" s="371">
        <f t="shared" ref="I42:I49" si="6">IFERROR(E42*F42,"")</f>
        <v>0</v>
      </c>
      <c r="J42" s="241"/>
      <c r="K42" s="372" t="s">
        <v>324</v>
      </c>
      <c r="L42" s="241"/>
    </row>
    <row r="43" ht="15.75" customHeight="1">
      <c r="A43" s="301"/>
      <c r="B43" s="377" t="str">
        <f t="array" ref="B43">+XLOOKUP(C43,'Base de datos'!C:C,'Base de datos'!A:A,"",FALSE)</f>
        <v/>
      </c>
      <c r="C43" s="381"/>
      <c r="D43" s="255" t="s">
        <v>14</v>
      </c>
      <c r="E43" s="256">
        <f t="array" ref="E43">+XLOOKUP(B43,'Base de datos'!A:A,'Base de datos'!H:H,0)</f>
        <v>0</v>
      </c>
      <c r="F43" s="369"/>
      <c r="G43" s="369"/>
      <c r="H43" s="370" t="str">
        <f t="shared" si="5"/>
        <v/>
      </c>
      <c r="I43" s="371">
        <f t="shared" si="6"/>
        <v>0</v>
      </c>
      <c r="J43" s="241"/>
      <c r="K43" s="374">
        <f>SUM(I42:I49)</f>
        <v>0</v>
      </c>
      <c r="L43" s="241"/>
    </row>
    <row r="44" ht="15.75" customHeight="1">
      <c r="A44" s="301"/>
      <c r="B44" s="377" t="str">
        <f t="array" ref="B44">+XLOOKUP(C44,'Base de datos'!C:C,'Base de datos'!A:A,"",FALSE)</f>
        <v/>
      </c>
      <c r="C44" s="381"/>
      <c r="D44" s="255" t="s">
        <v>11</v>
      </c>
      <c r="E44" s="256">
        <f t="array" ref="E44">+XLOOKUP(B44,'Base de datos'!A:A,'Base de datos'!H:H,0)</f>
        <v>0</v>
      </c>
      <c r="F44" s="369"/>
      <c r="G44" s="369"/>
      <c r="H44" s="370" t="str">
        <f t="shared" si="5"/>
        <v/>
      </c>
      <c r="I44" s="371">
        <f t="shared" si="6"/>
        <v>0</v>
      </c>
      <c r="J44" s="241"/>
      <c r="K44" s="372" t="s">
        <v>654</v>
      </c>
      <c r="L44" s="241"/>
    </row>
    <row r="45" ht="15.75" customHeight="1">
      <c r="A45" s="301"/>
      <c r="B45" s="377" t="str">
        <f t="array" ref="B45">+XLOOKUP(C45,'Base de datos'!C:C,'Base de datos'!A:A,"",FALSE)</f>
        <v/>
      </c>
      <c r="C45" s="381"/>
      <c r="D45" s="255" t="s">
        <v>14</v>
      </c>
      <c r="E45" s="256">
        <f t="array" ref="E45">+XLOOKUP(B45,'Base de datos'!A:A,'Base de datos'!H:H,0)</f>
        <v>0</v>
      </c>
      <c r="F45" s="369"/>
      <c r="G45" s="369"/>
      <c r="H45" s="370" t="str">
        <f t="shared" si="5"/>
        <v/>
      </c>
      <c r="I45" s="371">
        <f t="shared" si="6"/>
        <v>0</v>
      </c>
      <c r="J45" s="241"/>
      <c r="K45" s="376">
        <f>SUM(F42:F49)</f>
        <v>0</v>
      </c>
      <c r="L45" s="241"/>
    </row>
    <row r="46" ht="15.75" customHeight="1">
      <c r="A46" s="301"/>
      <c r="B46" s="377" t="str">
        <f t="array" ref="B46">+XLOOKUP(C46,'Base de datos'!C:C,'Base de datos'!A:A,"",FALSE)</f>
        <v/>
      </c>
      <c r="C46" s="381"/>
      <c r="D46" s="255" t="s">
        <v>14</v>
      </c>
      <c r="E46" s="256">
        <f t="array" ref="E46">+XLOOKUP(B46,'Base de datos'!A:A,'Base de datos'!H:H,0)</f>
        <v>0</v>
      </c>
      <c r="F46" s="379"/>
      <c r="G46" s="379"/>
      <c r="H46" s="370" t="str">
        <f t="shared" si="5"/>
        <v/>
      </c>
      <c r="I46" s="371">
        <f t="shared" si="6"/>
        <v>0</v>
      </c>
      <c r="J46" s="241"/>
      <c r="K46" s="372" t="s">
        <v>656</v>
      </c>
      <c r="L46" s="241"/>
    </row>
    <row r="47" ht="15.75" customHeight="1">
      <c r="A47" s="301"/>
      <c r="B47" s="377" t="str">
        <f t="array" ref="B47">+XLOOKUP(C47,'Base de datos'!C:C,'Base de datos'!A:A,"",FALSE)</f>
        <v/>
      </c>
      <c r="C47" s="381"/>
      <c r="D47" s="255" t="s">
        <v>11</v>
      </c>
      <c r="E47" s="256">
        <f t="array" ref="E47">+XLOOKUP(B47,'Base de datos'!A:A,'Base de datos'!H:H,0)</f>
        <v>0</v>
      </c>
      <c r="F47" s="379"/>
      <c r="G47" s="379"/>
      <c r="H47" s="370" t="str">
        <f t="shared" si="5"/>
        <v/>
      </c>
      <c r="I47" s="371">
        <f t="shared" si="6"/>
        <v>0</v>
      </c>
      <c r="J47" s="241"/>
      <c r="K47" s="374" t="str">
        <f>K43/K45</f>
        <v>#DIV/0!</v>
      </c>
      <c r="L47" s="241"/>
    </row>
    <row r="48" ht="15.75" customHeight="1">
      <c r="A48" s="301"/>
      <c r="B48" s="377" t="str">
        <f t="array" ref="B48">+XLOOKUP(C48,'Base de datos'!C:C,'Base de datos'!A:A,"",FALSE)</f>
        <v/>
      </c>
      <c r="C48" s="381"/>
      <c r="D48" s="255" t="s">
        <v>14</v>
      </c>
      <c r="E48" s="256">
        <f t="array" ref="E48">+XLOOKUP(B48,'Base de datos'!A:A,'Base de datos'!H:H,0)</f>
        <v>0</v>
      </c>
      <c r="F48" s="379"/>
      <c r="G48" s="379"/>
      <c r="H48" s="370" t="str">
        <f t="shared" si="5"/>
        <v/>
      </c>
      <c r="I48" s="371">
        <f t="shared" si="6"/>
        <v>0</v>
      </c>
      <c r="J48" s="241"/>
      <c r="K48" s="538" t="s">
        <v>658</v>
      </c>
      <c r="L48" s="241"/>
    </row>
    <row r="49" ht="15.75" customHeight="1">
      <c r="A49" s="301"/>
      <c r="B49" s="377" t="str">
        <f t="array" ref="B49">+XLOOKUP(C49,'Base de datos'!C:C,'Base de datos'!A:A,"",FALSE)</f>
        <v/>
      </c>
      <c r="C49" s="381"/>
      <c r="D49" s="255" t="s">
        <v>14</v>
      </c>
      <c r="E49" s="256">
        <f t="array" ref="E49">+XLOOKUP(B49,'Base de datos'!A:A,'Base de datos'!H:H,0)</f>
        <v>0</v>
      </c>
      <c r="F49" s="379"/>
      <c r="G49" s="379"/>
      <c r="H49" s="370" t="str">
        <f t="shared" si="5"/>
        <v/>
      </c>
      <c r="I49" s="371">
        <f t="shared" si="6"/>
        <v>0</v>
      </c>
      <c r="J49" s="241"/>
      <c r="K49" s="539" t="str">
        <f>K45/F8</f>
        <v>#DIV/0!</v>
      </c>
      <c r="L49" s="241"/>
    </row>
    <row r="50" ht="15.75" customHeight="1">
      <c r="A50" s="301"/>
      <c r="B50" s="240"/>
      <c r="C50" s="241"/>
      <c r="D50" s="242"/>
      <c r="E50" s="243"/>
      <c r="F50" s="244"/>
      <c r="G50" s="244"/>
      <c r="H50" s="241"/>
      <c r="I50" s="241"/>
      <c r="J50" s="241"/>
      <c r="K50" s="241"/>
      <c r="L50" s="241"/>
    </row>
    <row r="51" ht="15.75" customHeight="1">
      <c r="A51" s="301"/>
      <c r="B51" s="295"/>
      <c r="C51" s="296" t="s">
        <v>337</v>
      </c>
      <c r="D51" s="297"/>
      <c r="E51" s="297"/>
      <c r="F51" s="297"/>
      <c r="G51" s="297"/>
      <c r="H51" s="297"/>
      <c r="I51" s="298"/>
      <c r="J51" s="241"/>
      <c r="K51" s="241"/>
      <c r="L51" s="241"/>
    </row>
    <row r="52" ht="15.75" customHeight="1">
      <c r="A52" s="301"/>
      <c r="B52" s="299"/>
      <c r="C52" s="300"/>
      <c r="D52" s="297"/>
      <c r="E52" s="297"/>
      <c r="F52" s="297"/>
      <c r="G52" s="297"/>
      <c r="H52" s="297"/>
      <c r="I52" s="298"/>
      <c r="J52" s="241"/>
      <c r="K52" s="241"/>
      <c r="L52" s="241"/>
    </row>
    <row r="53" ht="15.75" customHeight="1">
      <c r="A53" s="301"/>
      <c r="B53" s="301"/>
      <c r="C53" s="302"/>
      <c r="I53" s="278"/>
      <c r="J53" s="241"/>
      <c r="K53" s="241"/>
      <c r="L53" s="241"/>
    </row>
    <row r="54" ht="15.75" customHeight="1">
      <c r="A54" s="301"/>
      <c r="B54" s="301"/>
      <c r="C54" s="302"/>
      <c r="I54" s="278"/>
      <c r="J54" s="241"/>
      <c r="K54" s="241"/>
      <c r="L54" s="241"/>
    </row>
    <row r="55" ht="15.75" customHeight="1">
      <c r="A55" s="301"/>
      <c r="B55" s="301"/>
      <c r="C55" s="302"/>
      <c r="I55" s="278"/>
      <c r="J55" s="241"/>
      <c r="K55" s="241"/>
      <c r="L55" s="241"/>
    </row>
    <row r="56" ht="15.75" customHeight="1">
      <c r="A56" s="301"/>
      <c r="B56" s="301"/>
      <c r="C56" s="540"/>
      <c r="D56" s="540"/>
      <c r="E56" s="540"/>
      <c r="F56" s="540"/>
      <c r="G56" s="540"/>
      <c r="H56" s="540"/>
      <c r="I56" s="540"/>
      <c r="J56" s="241"/>
      <c r="K56" s="241"/>
      <c r="L56" s="241"/>
    </row>
    <row r="57" ht="15.75" customHeight="1">
      <c r="A57" s="541"/>
      <c r="B57" s="361" t="s">
        <v>0</v>
      </c>
      <c r="C57" s="542" t="s">
        <v>826</v>
      </c>
      <c r="D57" s="542" t="s">
        <v>20</v>
      </c>
      <c r="E57" s="543" t="s">
        <v>317</v>
      </c>
      <c r="F57" s="542" t="s">
        <v>318</v>
      </c>
      <c r="G57" s="544" t="s">
        <v>319</v>
      </c>
      <c r="H57" s="542" t="s">
        <v>320</v>
      </c>
      <c r="I57" s="542" t="s">
        <v>321</v>
      </c>
      <c r="J57" s="249"/>
      <c r="K57" s="361" t="s">
        <v>664</v>
      </c>
      <c r="L57" s="249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Y57" s="303"/>
      <c r="Z57" s="303"/>
      <c r="AA57" s="303"/>
    </row>
    <row r="58" ht="15.75" customHeight="1">
      <c r="A58" s="301"/>
      <c r="B58" s="377" t="str">
        <f t="array" ref="B58">+XLOOKUP(C58,'Base de datos'!C:C,'Base de datos'!A:A,"",FALSE)</f>
        <v/>
      </c>
      <c r="C58" s="381"/>
      <c r="D58" s="255" t="s">
        <v>14</v>
      </c>
      <c r="E58" s="256">
        <f t="array" ref="E58">+XLOOKUP(B58,'Base de datos'!A:A,'Base de datos'!H:H,0)</f>
        <v>0</v>
      </c>
      <c r="F58" s="369"/>
      <c r="G58" s="369"/>
      <c r="H58" s="370" t="str">
        <f t="shared" ref="H58:H65" si="7">IFERROR(1-G58/F58,"")</f>
        <v/>
      </c>
      <c r="I58" s="371">
        <f t="shared" ref="I58:I65" si="8">IFERROR(E58*F58,"")</f>
        <v>0</v>
      </c>
      <c r="J58" s="241"/>
      <c r="K58" s="372" t="s">
        <v>324</v>
      </c>
      <c r="L58" s="241"/>
    </row>
    <row r="59" ht="15.75" customHeight="1">
      <c r="A59" s="301"/>
      <c r="B59" s="377" t="str">
        <f t="array" ref="B59">+XLOOKUP(C59,'Base de datos'!C:C,'Base de datos'!A:A,"",FALSE)</f>
        <v/>
      </c>
      <c r="C59" s="381"/>
      <c r="D59" s="255" t="s">
        <v>14</v>
      </c>
      <c r="E59" s="256">
        <f t="array" ref="E59">+XLOOKUP(B59,'Base de datos'!A:A,'Base de datos'!H:H,0)</f>
        <v>0</v>
      </c>
      <c r="F59" s="369"/>
      <c r="G59" s="369"/>
      <c r="H59" s="370" t="str">
        <f t="shared" si="7"/>
        <v/>
      </c>
      <c r="I59" s="371">
        <f t="shared" si="8"/>
        <v>0</v>
      </c>
      <c r="J59" s="241"/>
      <c r="K59" s="374">
        <f>SUM(I58:I65)</f>
        <v>0</v>
      </c>
      <c r="L59" s="241"/>
    </row>
    <row r="60" ht="15.75" customHeight="1">
      <c r="A60" s="301"/>
      <c r="B60" s="377" t="str">
        <f t="array" ref="B60">+XLOOKUP(C60,'Base de datos'!C:C,'Base de datos'!A:A,"",FALSE)</f>
        <v/>
      </c>
      <c r="C60" s="381"/>
      <c r="D60" s="255" t="s">
        <v>11</v>
      </c>
      <c r="E60" s="256">
        <f t="array" ref="E60">+XLOOKUP(B60,'Base de datos'!A:A,'Base de datos'!H:H,0)</f>
        <v>0</v>
      </c>
      <c r="F60" s="369"/>
      <c r="G60" s="369"/>
      <c r="H60" s="370" t="str">
        <f t="shared" si="7"/>
        <v/>
      </c>
      <c r="I60" s="371">
        <f t="shared" si="8"/>
        <v>0</v>
      </c>
      <c r="J60" s="241"/>
      <c r="K60" s="372" t="s">
        <v>654</v>
      </c>
      <c r="L60" s="375"/>
    </row>
    <row r="61" ht="15.75" customHeight="1">
      <c r="A61" s="301"/>
      <c r="B61" s="377" t="str">
        <f t="array" ref="B61">+XLOOKUP(C61,'Base de datos'!C:C,'Base de datos'!A:A,"",FALSE)</f>
        <v/>
      </c>
      <c r="C61" s="381"/>
      <c r="D61" s="255" t="s">
        <v>14</v>
      </c>
      <c r="E61" s="256">
        <f t="array" ref="E61">+XLOOKUP(B61,'Base de datos'!A:A,'Base de datos'!H:H,0)</f>
        <v>0</v>
      </c>
      <c r="F61" s="369"/>
      <c r="G61" s="369"/>
      <c r="H61" s="370" t="str">
        <f t="shared" si="7"/>
        <v/>
      </c>
      <c r="I61" s="371">
        <f t="shared" si="8"/>
        <v>0</v>
      </c>
      <c r="J61" s="241"/>
      <c r="K61" s="376">
        <f>SUM(F58:F65)</f>
        <v>0</v>
      </c>
      <c r="L61" s="241"/>
    </row>
    <row r="62" ht="15.75" customHeight="1">
      <c r="A62" s="301"/>
      <c r="B62" s="377" t="str">
        <f t="array" ref="B62">+XLOOKUP(C62,'Base de datos'!C:C,'Base de datos'!A:A,"",FALSE)</f>
        <v/>
      </c>
      <c r="C62" s="381"/>
      <c r="D62" s="255" t="s">
        <v>14</v>
      </c>
      <c r="E62" s="256">
        <f t="array" ref="E62">+XLOOKUP(B62,'Base de datos'!A:A,'Base de datos'!H:H,0)</f>
        <v>0</v>
      </c>
      <c r="F62" s="379"/>
      <c r="G62" s="379"/>
      <c r="H62" s="370" t="str">
        <f t="shared" si="7"/>
        <v/>
      </c>
      <c r="I62" s="371">
        <f t="shared" si="8"/>
        <v>0</v>
      </c>
      <c r="J62" s="241"/>
      <c r="K62" s="372" t="s">
        <v>656</v>
      </c>
      <c r="L62" s="380"/>
    </row>
    <row r="63" ht="15.75" customHeight="1">
      <c r="A63" s="301"/>
      <c r="B63" s="377" t="str">
        <f t="array" ref="B63">+XLOOKUP(C63,'Base de datos'!C:C,'Base de datos'!A:A,"",FALSE)</f>
        <v/>
      </c>
      <c r="C63" s="381"/>
      <c r="D63" s="255"/>
      <c r="E63" s="256">
        <f t="array" ref="E63">+XLOOKUP(B63,'Base de datos'!A:A,'Base de datos'!H:H,0)</f>
        <v>0</v>
      </c>
      <c r="F63" s="545"/>
      <c r="G63" s="545"/>
      <c r="H63" s="370" t="str">
        <f t="shared" si="7"/>
        <v/>
      </c>
      <c r="I63" s="371">
        <f t="shared" si="8"/>
        <v>0</v>
      </c>
      <c r="J63" s="241"/>
      <c r="K63" s="374" t="str">
        <f>K59/K61</f>
        <v>#DIV/0!</v>
      </c>
      <c r="L63" s="241"/>
    </row>
    <row r="64" ht="15.75" customHeight="1">
      <c r="A64" s="307"/>
      <c r="B64" s="377" t="str">
        <f t="array" ref="B64">+XLOOKUP(C64,'Base de datos'!C:C,'Base de datos'!A:A,"",FALSE)</f>
        <v/>
      </c>
      <c r="C64" s="381"/>
      <c r="D64" s="255" t="s">
        <v>14</v>
      </c>
      <c r="E64" s="256">
        <f t="array" ref="E64">+XLOOKUP(B64,'Base de datos'!A:A,'Base de datos'!H:H,0)</f>
        <v>0</v>
      </c>
      <c r="F64" s="379"/>
      <c r="G64" s="379"/>
      <c r="H64" s="370" t="str">
        <f t="shared" si="7"/>
        <v/>
      </c>
      <c r="I64" s="371">
        <f t="shared" si="8"/>
        <v>0</v>
      </c>
      <c r="K64" s="538" t="s">
        <v>658</v>
      </c>
    </row>
    <row r="65" ht="15.75" customHeight="1">
      <c r="A65" s="295"/>
      <c r="B65" s="377" t="str">
        <f t="array" ref="B65">+XLOOKUP(C65,'Base de datos'!C:C,'Base de datos'!A:A,"",FALSE)</f>
        <v/>
      </c>
      <c r="C65" s="381"/>
      <c r="D65" s="255"/>
      <c r="E65" s="256">
        <f t="array" ref="E65">+XLOOKUP(B65,'Base de datos'!A:A,'Base de datos'!H:H,0)</f>
        <v>0</v>
      </c>
      <c r="F65" s="545"/>
      <c r="G65" s="545"/>
      <c r="H65" s="370" t="str">
        <f t="shared" si="7"/>
        <v/>
      </c>
      <c r="I65" s="371">
        <f t="shared" si="8"/>
        <v>0</v>
      </c>
      <c r="K65" s="539" t="str">
        <f>K61/F9</f>
        <v>#DIV/0!</v>
      </c>
    </row>
    <row r="66" ht="15.75" customHeight="1">
      <c r="A66" s="299"/>
      <c r="B66" s="299"/>
    </row>
    <row r="67" ht="15.75" customHeight="1">
      <c r="A67" s="299"/>
      <c r="B67" s="299"/>
      <c r="C67" s="296" t="s">
        <v>337</v>
      </c>
      <c r="D67" s="297"/>
      <c r="E67" s="297"/>
      <c r="F67" s="297"/>
      <c r="G67" s="297"/>
      <c r="H67" s="297"/>
      <c r="I67" s="298"/>
    </row>
    <row r="68" ht="15.75" customHeight="1">
      <c r="A68" s="299"/>
      <c r="B68" s="299"/>
      <c r="C68" s="300"/>
      <c r="D68" s="297"/>
      <c r="E68" s="297"/>
      <c r="F68" s="297"/>
      <c r="G68" s="297"/>
      <c r="H68" s="297"/>
      <c r="I68" s="298"/>
    </row>
    <row r="69" ht="15.75" customHeight="1">
      <c r="A69" s="299"/>
      <c r="B69" s="299"/>
      <c r="C69" s="546"/>
      <c r="I69" s="278"/>
    </row>
    <row r="70" ht="15.75" customHeight="1">
      <c r="A70" s="307"/>
      <c r="B70" s="307"/>
      <c r="C70" s="546"/>
      <c r="I70" s="278"/>
    </row>
    <row r="71" ht="15.75" customHeight="1">
      <c r="A71" s="307"/>
      <c r="B71" s="307"/>
      <c r="C71" s="547"/>
      <c r="D71" s="305"/>
      <c r="E71" s="305"/>
      <c r="F71" s="305"/>
      <c r="G71" s="305"/>
      <c r="H71" s="305"/>
      <c r="I71" s="274"/>
    </row>
    <row r="72" ht="15.75" customHeight="1">
      <c r="A72" s="307"/>
      <c r="B72" s="307"/>
    </row>
    <row r="73" ht="15.75" customHeight="1">
      <c r="A73" s="541"/>
      <c r="B73" s="361" t="s">
        <v>0</v>
      </c>
      <c r="C73" s="548" t="s">
        <v>827</v>
      </c>
      <c r="D73" s="548" t="s">
        <v>20</v>
      </c>
      <c r="E73" s="549" t="s">
        <v>317</v>
      </c>
      <c r="F73" s="548" t="s">
        <v>318</v>
      </c>
      <c r="G73" s="364" t="s">
        <v>319</v>
      </c>
      <c r="H73" s="548" t="s">
        <v>320</v>
      </c>
      <c r="I73" s="548" t="s">
        <v>321</v>
      </c>
      <c r="J73" s="249"/>
      <c r="K73" s="361" t="s">
        <v>828</v>
      </c>
      <c r="L73" s="249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  <c r="X73" s="303"/>
      <c r="Y73" s="303"/>
      <c r="Z73" s="303"/>
      <c r="AA73" s="303"/>
    </row>
    <row r="74" ht="15.75" customHeight="1">
      <c r="A74" s="301"/>
      <c r="B74" s="377" t="str">
        <f t="array" ref="B74">+XLOOKUP(C74,'Base de datos'!C:C,'Base de datos'!A:A,"",FALSE)</f>
        <v/>
      </c>
      <c r="C74" s="381"/>
      <c r="D74" s="255" t="s">
        <v>14</v>
      </c>
      <c r="E74" s="256">
        <f t="array" ref="E74">+XLOOKUP(B74,'Base de datos'!A:A,'Base de datos'!H:H,0)</f>
        <v>0</v>
      </c>
      <c r="F74" s="550"/>
      <c r="G74" s="550"/>
      <c r="H74" s="370" t="str">
        <f t="shared" ref="H74:H81" si="9">IFERROR(1-G74/F74,"")</f>
        <v/>
      </c>
      <c r="I74" s="371">
        <f t="shared" ref="I74:I81" si="10">IFERROR(E74*F74,"")</f>
        <v>0</v>
      </c>
      <c r="J74" s="241"/>
      <c r="K74" s="372" t="s">
        <v>324</v>
      </c>
      <c r="L74" s="241"/>
    </row>
    <row r="75" ht="15.75" customHeight="1">
      <c r="A75" s="301"/>
      <c r="B75" s="377" t="str">
        <f t="array" ref="B75">+XLOOKUP(C75,'Base de datos'!C:C,'Base de datos'!A:A,"",FALSE)</f>
        <v/>
      </c>
      <c r="C75" s="381"/>
      <c r="D75" s="255" t="s">
        <v>14</v>
      </c>
      <c r="E75" s="256">
        <f t="array" ref="E75">+XLOOKUP(B75,'Base de datos'!A:A,'Base de datos'!H:H,0)</f>
        <v>0</v>
      </c>
      <c r="F75" s="550"/>
      <c r="G75" s="550"/>
      <c r="H75" s="370" t="str">
        <f t="shared" si="9"/>
        <v/>
      </c>
      <c r="I75" s="371">
        <f t="shared" si="10"/>
        <v>0</v>
      </c>
      <c r="J75" s="241"/>
      <c r="K75" s="374">
        <f>SUM(I74:I82)</f>
        <v>0</v>
      </c>
      <c r="L75" s="241"/>
    </row>
    <row r="76" ht="15.75" customHeight="1">
      <c r="A76" s="301"/>
      <c r="B76" s="377" t="str">
        <f t="array" ref="B76">+XLOOKUP(C76,'Base de datos'!C:C,'Base de datos'!A:A,"",FALSE)</f>
        <v/>
      </c>
      <c r="C76" s="381"/>
      <c r="D76" s="255" t="s">
        <v>14</v>
      </c>
      <c r="E76" s="256">
        <f t="array" ref="E76">+XLOOKUP(B76,'Base de datos'!A:A,'Base de datos'!H:H,0)</f>
        <v>0</v>
      </c>
      <c r="F76" s="550"/>
      <c r="G76" s="550"/>
      <c r="H76" s="370" t="str">
        <f t="shared" si="9"/>
        <v/>
      </c>
      <c r="I76" s="371">
        <f t="shared" si="10"/>
        <v>0</v>
      </c>
      <c r="J76" s="241"/>
      <c r="K76" s="372" t="s">
        <v>654</v>
      </c>
      <c r="L76" s="375"/>
    </row>
    <row r="77" ht="15.75" customHeight="1">
      <c r="A77" s="301"/>
      <c r="B77" s="377" t="str">
        <f t="array" ref="B77">+XLOOKUP(C77,'Base de datos'!C:C,'Base de datos'!A:A,"",FALSE)</f>
        <v/>
      </c>
      <c r="C77" s="381"/>
      <c r="D77" s="255"/>
      <c r="E77" s="256">
        <f t="array" ref="E77">+XLOOKUP(B77,'Base de datos'!A:A,'Base de datos'!H:H,0)</f>
        <v>0</v>
      </c>
      <c r="F77" s="551"/>
      <c r="G77" s="551"/>
      <c r="H77" s="370" t="str">
        <f t="shared" si="9"/>
        <v/>
      </c>
      <c r="I77" s="371">
        <f t="shared" si="10"/>
        <v>0</v>
      </c>
      <c r="J77" s="241"/>
      <c r="K77" s="376">
        <f>SUM(F74:F82)</f>
        <v>0</v>
      </c>
      <c r="L77" s="241"/>
    </row>
    <row r="78" ht="15.75" customHeight="1">
      <c r="A78" s="301"/>
      <c r="B78" s="377" t="str">
        <f t="array" ref="B78">+XLOOKUP(C78,'Base de datos'!C:C,'Base de datos'!A:A,"",FALSE)</f>
        <v/>
      </c>
      <c r="C78" s="381"/>
      <c r="D78" s="255"/>
      <c r="E78" s="256">
        <f t="array" ref="E78">+XLOOKUP(B78,'Base de datos'!A:A,'Base de datos'!H:H,0)</f>
        <v>0</v>
      </c>
      <c r="F78" s="545"/>
      <c r="G78" s="545"/>
      <c r="H78" s="370" t="str">
        <f t="shared" si="9"/>
        <v/>
      </c>
      <c r="I78" s="371">
        <f t="shared" si="10"/>
        <v>0</v>
      </c>
      <c r="J78" s="241"/>
      <c r="K78" s="372" t="s">
        <v>656</v>
      </c>
      <c r="L78" s="380"/>
    </row>
    <row r="79" ht="15.75" customHeight="1">
      <c r="A79" s="301"/>
      <c r="B79" s="552" t="str">
        <f t="array" ref="B79">+XLOOKUP(C79,'Base de datos'!C:C,'Base de datos'!A:A,"",FALSE)</f>
        <v/>
      </c>
      <c r="C79" s="381"/>
      <c r="D79" s="255"/>
      <c r="E79" s="256">
        <f t="array" ref="E79">+XLOOKUP(B79,'Base de datos'!A:A,'Base de datos'!H:H,0)</f>
        <v>0</v>
      </c>
      <c r="F79" s="545"/>
      <c r="G79" s="545"/>
      <c r="H79" s="370" t="str">
        <f t="shared" si="9"/>
        <v/>
      </c>
      <c r="I79" s="371">
        <f t="shared" si="10"/>
        <v>0</v>
      </c>
      <c r="J79" s="241"/>
      <c r="K79" s="374" t="str">
        <f>K75/K77</f>
        <v>#DIV/0!</v>
      </c>
      <c r="L79" s="241"/>
    </row>
    <row r="80" ht="15.75" customHeight="1">
      <c r="A80" s="307"/>
      <c r="B80" s="377" t="str">
        <f t="array" ref="B80">+XLOOKUP(C80,'Base de datos'!C:C,'Base de datos'!A:A,"",FALSE)</f>
        <v/>
      </c>
      <c r="C80" s="381"/>
      <c r="D80" s="255"/>
      <c r="E80" s="256">
        <f t="array" ref="E80">+XLOOKUP(B80,'Base de datos'!A:A,'Base de datos'!H:H,0)</f>
        <v>0</v>
      </c>
      <c r="F80" s="545"/>
      <c r="G80" s="545"/>
      <c r="H80" s="370" t="str">
        <f t="shared" si="9"/>
        <v/>
      </c>
      <c r="I80" s="371">
        <f t="shared" si="10"/>
        <v>0</v>
      </c>
      <c r="K80" s="538" t="s">
        <v>658</v>
      </c>
    </row>
    <row r="81" ht="15.75" customHeight="1">
      <c r="A81" s="295"/>
      <c r="B81" s="377" t="str">
        <f t="array" ref="B81">+XLOOKUP(C81,'Base de datos'!C:C,'Base de datos'!A:A,"",FALSE)</f>
        <v/>
      </c>
      <c r="C81" s="381"/>
      <c r="D81" s="255"/>
      <c r="E81" s="256">
        <f t="array" ref="E81">+XLOOKUP(B81,'Base de datos'!A:A,'Base de datos'!H:H,0)</f>
        <v>0</v>
      </c>
      <c r="F81" s="545"/>
      <c r="G81" s="545"/>
      <c r="H81" s="370" t="str">
        <f t="shared" si="9"/>
        <v/>
      </c>
      <c r="I81" s="371">
        <f t="shared" si="10"/>
        <v>0</v>
      </c>
      <c r="K81" s="539" t="str">
        <f>K77/F10</f>
        <v>#DIV/0!</v>
      </c>
    </row>
    <row r="82" ht="15.75" customHeight="1">
      <c r="A82" s="307"/>
      <c r="B82" s="307"/>
      <c r="D82" s="308"/>
      <c r="E82" s="309"/>
    </row>
    <row r="83" ht="15.75" customHeight="1">
      <c r="A83" s="307"/>
      <c r="B83" s="307"/>
      <c r="C83" s="553" t="s">
        <v>337</v>
      </c>
      <c r="I83" s="278"/>
    </row>
    <row r="84" ht="15.75" customHeight="1">
      <c r="A84" s="307"/>
      <c r="B84" s="307"/>
      <c r="C84" s="300"/>
      <c r="D84" s="297"/>
      <c r="E84" s="297"/>
      <c r="F84" s="297"/>
      <c r="G84" s="297"/>
      <c r="H84" s="297"/>
      <c r="I84" s="298"/>
    </row>
    <row r="85" ht="15.75" customHeight="1">
      <c r="A85" s="307"/>
      <c r="B85" s="307"/>
      <c r="C85" s="546"/>
      <c r="I85" s="278"/>
    </row>
    <row r="86" ht="15.75" customHeight="1">
      <c r="A86" s="408"/>
      <c r="B86" s="408"/>
      <c r="C86" s="519"/>
      <c r="I86" s="278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</row>
    <row r="87" ht="15.75" customHeight="1">
      <c r="A87" s="408"/>
      <c r="B87" s="408"/>
      <c r="C87" s="554"/>
      <c r="D87" s="305"/>
      <c r="E87" s="305"/>
      <c r="F87" s="305"/>
      <c r="G87" s="305"/>
      <c r="H87" s="305"/>
      <c r="I87" s="274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</row>
    <row r="88" ht="15.75" customHeight="1">
      <c r="A88" s="307"/>
      <c r="B88" s="307"/>
      <c r="D88" s="308"/>
      <c r="E88" s="309"/>
    </row>
    <row r="89" ht="15.75" customHeight="1">
      <c r="A89" s="307"/>
      <c r="B89" s="307"/>
      <c r="D89" s="308"/>
      <c r="E89" s="309"/>
    </row>
    <row r="90" ht="15.75" customHeight="1">
      <c r="A90" s="307"/>
      <c r="B90" s="307"/>
      <c r="D90" s="308"/>
      <c r="E90" s="309"/>
    </row>
    <row r="91" ht="15.75" customHeight="1">
      <c r="A91" s="307"/>
      <c r="B91" s="307"/>
      <c r="D91" s="308"/>
      <c r="E91" s="309"/>
    </row>
    <row r="92" ht="15.75" customHeight="1">
      <c r="A92" s="307"/>
      <c r="B92" s="307"/>
      <c r="D92" s="308"/>
      <c r="E92" s="309"/>
    </row>
    <row r="93" ht="15.75" customHeight="1">
      <c r="A93" s="307"/>
      <c r="B93" s="307"/>
      <c r="D93" s="308"/>
      <c r="E93" s="309"/>
    </row>
    <row r="94" ht="15.75" customHeight="1">
      <c r="A94" s="307"/>
      <c r="B94" s="307"/>
      <c r="D94" s="308"/>
      <c r="E94" s="309"/>
    </row>
    <row r="95" ht="15.75" customHeight="1">
      <c r="A95" s="307"/>
      <c r="B95" s="307"/>
      <c r="D95" s="308"/>
      <c r="E95" s="309"/>
    </row>
    <row r="96" ht="15.75" customHeight="1">
      <c r="A96" s="307"/>
      <c r="B96" s="307"/>
      <c r="D96" s="308"/>
      <c r="E96" s="309"/>
    </row>
    <row r="97" ht="15.75" customHeight="1">
      <c r="A97" s="307"/>
      <c r="B97" s="307"/>
      <c r="D97" s="308"/>
      <c r="E97" s="309"/>
    </row>
    <row r="98" ht="15.75" customHeight="1">
      <c r="A98" s="307"/>
      <c r="B98" s="307"/>
      <c r="D98" s="308"/>
      <c r="E98" s="309"/>
    </row>
    <row r="99" ht="15.75" customHeight="1">
      <c r="A99" s="307"/>
      <c r="B99" s="307"/>
      <c r="D99" s="308"/>
      <c r="E99" s="309"/>
    </row>
    <row r="100" ht="15.75" customHeight="1">
      <c r="A100" s="307"/>
      <c r="B100" s="307"/>
      <c r="D100" s="308"/>
      <c r="E100" s="309"/>
    </row>
    <row r="101" ht="15.75" customHeight="1">
      <c r="A101" s="307"/>
      <c r="B101" s="307"/>
      <c r="D101" s="308"/>
      <c r="E101" s="309"/>
    </row>
    <row r="102" ht="15.75" customHeight="1">
      <c r="A102" s="307"/>
      <c r="B102" s="307"/>
      <c r="D102" s="308"/>
      <c r="E102" s="309"/>
    </row>
    <row r="103" ht="15.75" customHeight="1">
      <c r="A103" s="307"/>
      <c r="B103" s="307"/>
      <c r="D103" s="308"/>
      <c r="E103" s="309"/>
    </row>
    <row r="104" ht="15.75" customHeight="1">
      <c r="A104" s="307"/>
      <c r="B104" s="307"/>
      <c r="D104" s="308"/>
      <c r="E104" s="309"/>
    </row>
    <row r="105" ht="15.75" customHeight="1">
      <c r="A105" s="307"/>
      <c r="B105" s="307"/>
      <c r="D105" s="308"/>
      <c r="E105" s="309"/>
    </row>
    <row r="106" ht="15.75" customHeight="1">
      <c r="A106" s="307"/>
      <c r="B106" s="307"/>
      <c r="D106" s="308"/>
      <c r="E106" s="309"/>
    </row>
    <row r="107" ht="15.75" customHeight="1">
      <c r="A107" s="307"/>
      <c r="B107" s="307"/>
      <c r="D107" s="308"/>
      <c r="E107" s="309"/>
    </row>
    <row r="108" ht="15.75" customHeight="1">
      <c r="A108" s="307"/>
      <c r="B108" s="307"/>
      <c r="D108" s="308"/>
      <c r="E108" s="309"/>
    </row>
    <row r="109" ht="15.75" customHeight="1">
      <c r="A109" s="307"/>
      <c r="B109" s="307"/>
      <c r="D109" s="308"/>
      <c r="E109" s="309"/>
    </row>
    <row r="110" ht="15.75" customHeight="1">
      <c r="A110" s="307"/>
      <c r="B110" s="307"/>
      <c r="D110" s="308"/>
      <c r="E110" s="309"/>
    </row>
    <row r="111" ht="15.75" customHeight="1">
      <c r="A111" s="307"/>
      <c r="B111" s="307"/>
      <c r="D111" s="308"/>
      <c r="E111" s="309"/>
    </row>
    <row r="112" ht="15.75" customHeight="1">
      <c r="A112" s="307"/>
      <c r="B112" s="307"/>
      <c r="D112" s="308"/>
      <c r="E112" s="309"/>
    </row>
    <row r="113" ht="15.75" customHeight="1">
      <c r="A113" s="307"/>
      <c r="B113" s="307"/>
      <c r="D113" s="308"/>
      <c r="E113" s="309"/>
    </row>
    <row r="114" ht="15.75" customHeight="1">
      <c r="A114" s="307"/>
      <c r="B114" s="307"/>
      <c r="D114" s="308"/>
      <c r="E114" s="309"/>
    </row>
    <row r="115" ht="15.75" customHeight="1">
      <c r="A115" s="307"/>
      <c r="B115" s="307"/>
      <c r="D115" s="308"/>
      <c r="E115" s="309"/>
    </row>
    <row r="116" ht="15.75" customHeight="1">
      <c r="A116" s="307"/>
      <c r="B116" s="307"/>
      <c r="D116" s="308"/>
      <c r="E116" s="309"/>
    </row>
    <row r="117" ht="15.75" customHeight="1">
      <c r="A117" s="307"/>
      <c r="B117" s="307"/>
      <c r="D117" s="308"/>
      <c r="E117" s="309"/>
    </row>
    <row r="118" ht="15.75" customHeight="1">
      <c r="A118" s="307"/>
      <c r="B118" s="307"/>
      <c r="D118" s="308"/>
      <c r="E118" s="309"/>
    </row>
    <row r="119" ht="15.75" customHeight="1">
      <c r="A119" s="307"/>
      <c r="B119" s="307"/>
      <c r="D119" s="308"/>
      <c r="E119" s="309"/>
    </row>
    <row r="120" ht="15.75" customHeight="1">
      <c r="A120" s="307"/>
      <c r="B120" s="307"/>
      <c r="D120" s="308"/>
      <c r="E120" s="309"/>
    </row>
    <row r="121" ht="15.75" customHeight="1">
      <c r="A121" s="307"/>
      <c r="B121" s="307"/>
      <c r="D121" s="308"/>
      <c r="E121" s="309"/>
    </row>
    <row r="122" ht="15.75" customHeight="1">
      <c r="A122" s="307"/>
      <c r="B122" s="307"/>
      <c r="D122" s="308"/>
      <c r="E122" s="309"/>
    </row>
    <row r="123" ht="15.75" customHeight="1">
      <c r="A123" s="307"/>
      <c r="B123" s="307"/>
      <c r="D123" s="308"/>
      <c r="E123" s="309"/>
    </row>
    <row r="124" ht="15.75" customHeight="1">
      <c r="A124" s="307"/>
      <c r="B124" s="307"/>
      <c r="D124" s="308"/>
      <c r="E124" s="309"/>
    </row>
    <row r="125" ht="15.75" customHeight="1">
      <c r="A125" s="307"/>
      <c r="B125" s="307"/>
      <c r="D125" s="308"/>
      <c r="E125" s="309"/>
    </row>
    <row r="126" ht="15.75" customHeight="1">
      <c r="A126" s="307"/>
      <c r="B126" s="307"/>
      <c r="D126" s="308"/>
      <c r="E126" s="309"/>
    </row>
    <row r="127" ht="15.75" customHeight="1">
      <c r="A127" s="307"/>
      <c r="B127" s="307"/>
      <c r="D127" s="308"/>
      <c r="E127" s="309"/>
    </row>
    <row r="128" ht="15.75" customHeight="1">
      <c r="A128" s="307"/>
      <c r="B128" s="307"/>
      <c r="D128" s="308"/>
      <c r="E128" s="309"/>
    </row>
    <row r="129" ht="15.75" customHeight="1">
      <c r="A129" s="307"/>
      <c r="B129" s="307"/>
      <c r="D129" s="308"/>
      <c r="E129" s="309"/>
    </row>
    <row r="130" ht="15.75" customHeight="1">
      <c r="A130" s="307"/>
      <c r="B130" s="307"/>
      <c r="D130" s="308"/>
      <c r="E130" s="309"/>
    </row>
    <row r="131" ht="15.75" customHeight="1">
      <c r="A131" s="307"/>
      <c r="B131" s="307"/>
      <c r="D131" s="308"/>
      <c r="E131" s="309"/>
    </row>
    <row r="132" ht="15.75" customHeight="1">
      <c r="A132" s="307"/>
      <c r="B132" s="307"/>
      <c r="D132" s="308"/>
      <c r="E132" s="309"/>
    </row>
    <row r="133" ht="15.75" customHeight="1">
      <c r="A133" s="307"/>
      <c r="B133" s="307"/>
      <c r="D133" s="308"/>
      <c r="E133" s="309"/>
    </row>
    <row r="134" ht="15.75" customHeight="1">
      <c r="A134" s="307"/>
      <c r="B134" s="307"/>
      <c r="D134" s="308"/>
      <c r="E134" s="309"/>
    </row>
    <row r="135" ht="15.75" customHeight="1">
      <c r="A135" s="307"/>
      <c r="B135" s="307"/>
      <c r="D135" s="308"/>
      <c r="E135" s="309"/>
    </row>
    <row r="136" ht="15.75" customHeight="1">
      <c r="A136" s="307"/>
      <c r="B136" s="307"/>
      <c r="D136" s="308"/>
      <c r="E136" s="309"/>
    </row>
    <row r="137" ht="15.75" customHeight="1">
      <c r="A137" s="307"/>
      <c r="B137" s="307"/>
      <c r="D137" s="308"/>
      <c r="E137" s="309"/>
    </row>
    <row r="138" ht="15.75" customHeight="1">
      <c r="A138" s="307"/>
      <c r="B138" s="307"/>
      <c r="D138" s="308"/>
      <c r="E138" s="309"/>
    </row>
    <row r="139" ht="15.75" customHeight="1">
      <c r="A139" s="307"/>
      <c r="B139" s="307"/>
      <c r="D139" s="308"/>
      <c r="E139" s="309"/>
    </row>
    <row r="140" ht="15.75" customHeight="1">
      <c r="A140" s="307"/>
      <c r="B140" s="307"/>
      <c r="D140" s="308"/>
      <c r="E140" s="309"/>
    </row>
    <row r="141" ht="15.75" customHeight="1">
      <c r="A141" s="307"/>
      <c r="B141" s="307"/>
      <c r="D141" s="308"/>
      <c r="E141" s="309"/>
    </row>
    <row r="142" ht="15.75" customHeight="1">
      <c r="A142" s="307"/>
      <c r="B142" s="307"/>
      <c r="D142" s="308"/>
      <c r="E142" s="309"/>
    </row>
    <row r="143" ht="15.75" customHeight="1">
      <c r="A143" s="307"/>
      <c r="B143" s="307"/>
      <c r="D143" s="308"/>
      <c r="E143" s="309"/>
    </row>
    <row r="144" ht="15.75" customHeight="1">
      <c r="A144" s="307"/>
      <c r="B144" s="307"/>
      <c r="D144" s="308"/>
      <c r="E144" s="309"/>
    </row>
    <row r="145" ht="15.75" customHeight="1">
      <c r="A145" s="307"/>
      <c r="B145" s="307"/>
      <c r="D145" s="308"/>
      <c r="E145" s="309"/>
    </row>
    <row r="146" ht="15.75" customHeight="1">
      <c r="A146" s="307"/>
      <c r="B146" s="307"/>
      <c r="D146" s="308"/>
      <c r="E146" s="309"/>
    </row>
    <row r="147" ht="15.75" customHeight="1">
      <c r="A147" s="307"/>
      <c r="B147" s="307"/>
      <c r="D147" s="308"/>
      <c r="E147" s="309"/>
    </row>
    <row r="148" ht="15.75" customHeight="1">
      <c r="A148" s="307"/>
      <c r="B148" s="307"/>
      <c r="D148" s="308"/>
      <c r="E148" s="309"/>
    </row>
    <row r="149" ht="15.75" customHeight="1">
      <c r="A149" s="307"/>
      <c r="B149" s="307"/>
      <c r="D149" s="308"/>
      <c r="E149" s="309"/>
    </row>
    <row r="150" ht="15.75" customHeight="1">
      <c r="A150" s="307"/>
      <c r="B150" s="307"/>
      <c r="D150" s="308"/>
      <c r="E150" s="309"/>
    </row>
    <row r="151" ht="15.75" customHeight="1">
      <c r="A151" s="307"/>
      <c r="B151" s="307"/>
      <c r="D151" s="308"/>
      <c r="E151" s="309"/>
    </row>
    <row r="152" ht="15.75" customHeight="1">
      <c r="A152" s="307"/>
      <c r="B152" s="307"/>
      <c r="D152" s="308"/>
      <c r="E152" s="309"/>
    </row>
    <row r="153" ht="15.75" customHeight="1">
      <c r="A153" s="307"/>
      <c r="B153" s="307"/>
      <c r="D153" s="308"/>
      <c r="E153" s="309"/>
    </row>
    <row r="154" ht="15.75" customHeight="1">
      <c r="A154" s="307"/>
      <c r="B154" s="307"/>
      <c r="D154" s="308"/>
      <c r="E154" s="309"/>
    </row>
    <row r="155" ht="15.75" customHeight="1">
      <c r="A155" s="307"/>
      <c r="B155" s="307"/>
      <c r="D155" s="308"/>
      <c r="E155" s="309"/>
    </row>
    <row r="156" ht="15.75" customHeight="1">
      <c r="A156" s="307"/>
      <c r="B156" s="307"/>
      <c r="D156" s="308"/>
      <c r="E156" s="309"/>
    </row>
    <row r="157" ht="15.75" customHeight="1">
      <c r="A157" s="307"/>
      <c r="B157" s="307"/>
      <c r="D157" s="308"/>
      <c r="E157" s="309"/>
    </row>
    <row r="158" ht="15.75" customHeight="1">
      <c r="A158" s="307"/>
      <c r="B158" s="307"/>
      <c r="D158" s="308"/>
      <c r="E158" s="309"/>
    </row>
    <row r="159" ht="15.75" customHeight="1">
      <c r="A159" s="307"/>
      <c r="B159" s="307"/>
      <c r="D159" s="308"/>
      <c r="E159" s="309"/>
    </row>
    <row r="160" ht="15.75" customHeight="1">
      <c r="A160" s="307"/>
      <c r="B160" s="307"/>
      <c r="D160" s="308"/>
      <c r="E160" s="309"/>
    </row>
    <row r="161" ht="15.75" customHeight="1">
      <c r="A161" s="307"/>
      <c r="B161" s="307"/>
      <c r="D161" s="308"/>
      <c r="E161" s="309"/>
    </row>
    <row r="162" ht="15.75" customHeight="1">
      <c r="A162" s="307"/>
      <c r="B162" s="307"/>
      <c r="D162" s="308"/>
      <c r="E162" s="309"/>
    </row>
    <row r="163" ht="15.75" customHeight="1">
      <c r="A163" s="307"/>
      <c r="B163" s="307"/>
      <c r="D163" s="308"/>
      <c r="E163" s="309"/>
    </row>
    <row r="164" ht="15.75" customHeight="1">
      <c r="A164" s="307"/>
      <c r="B164" s="307"/>
      <c r="D164" s="308"/>
      <c r="E164" s="309"/>
    </row>
    <row r="165" ht="15.75" customHeight="1">
      <c r="A165" s="307"/>
      <c r="B165" s="307"/>
      <c r="D165" s="308"/>
      <c r="E165" s="309"/>
    </row>
    <row r="166" ht="15.75" customHeight="1">
      <c r="A166" s="307"/>
      <c r="B166" s="307"/>
      <c r="D166" s="308"/>
      <c r="E166" s="309"/>
    </row>
    <row r="167" ht="15.75" customHeight="1">
      <c r="A167" s="307"/>
      <c r="B167" s="307"/>
      <c r="D167" s="308"/>
      <c r="E167" s="309"/>
    </row>
    <row r="168" ht="15.75" customHeight="1">
      <c r="A168" s="307"/>
      <c r="B168" s="307"/>
      <c r="D168" s="308"/>
      <c r="E168" s="309"/>
    </row>
    <row r="169" ht="15.75" customHeight="1">
      <c r="A169" s="307"/>
      <c r="B169" s="307"/>
      <c r="D169" s="308"/>
      <c r="E169" s="309"/>
    </row>
    <row r="170" ht="15.75" customHeight="1">
      <c r="A170" s="307"/>
      <c r="B170" s="307"/>
      <c r="D170" s="308"/>
      <c r="E170" s="309"/>
    </row>
    <row r="171" ht="15.75" customHeight="1">
      <c r="A171" s="307"/>
      <c r="B171" s="307"/>
      <c r="D171" s="308"/>
      <c r="E171" s="309"/>
    </row>
    <row r="172" ht="15.75" customHeight="1">
      <c r="A172" s="307"/>
      <c r="B172" s="307"/>
      <c r="D172" s="308"/>
      <c r="E172" s="309"/>
    </row>
    <row r="173" ht="15.75" customHeight="1">
      <c r="A173" s="307"/>
      <c r="B173" s="307"/>
      <c r="D173" s="308"/>
      <c r="E173" s="309"/>
    </row>
    <row r="174" ht="15.75" customHeight="1">
      <c r="A174" s="307"/>
      <c r="B174" s="307"/>
      <c r="D174" s="308"/>
      <c r="E174" s="309"/>
    </row>
    <row r="175" ht="15.75" customHeight="1">
      <c r="A175" s="307"/>
      <c r="B175" s="307"/>
      <c r="D175" s="308"/>
      <c r="E175" s="309"/>
    </row>
    <row r="176" ht="15.75" customHeight="1">
      <c r="A176" s="307"/>
      <c r="B176" s="307"/>
      <c r="D176" s="308"/>
      <c r="E176" s="309"/>
    </row>
    <row r="177" ht="15.75" customHeight="1">
      <c r="A177" s="307"/>
      <c r="B177" s="307"/>
      <c r="D177" s="308"/>
      <c r="E177" s="309"/>
    </row>
    <row r="178" ht="15.75" customHeight="1">
      <c r="A178" s="307"/>
      <c r="B178" s="307"/>
      <c r="D178" s="308"/>
      <c r="E178" s="309"/>
    </row>
    <row r="179" ht="15.75" customHeight="1">
      <c r="A179" s="307"/>
      <c r="B179" s="307"/>
      <c r="D179" s="308"/>
      <c r="E179" s="309"/>
    </row>
    <row r="180" ht="15.75" customHeight="1">
      <c r="A180" s="307"/>
      <c r="B180" s="307"/>
      <c r="D180" s="308"/>
      <c r="E180" s="309"/>
    </row>
    <row r="181" ht="15.75" customHeight="1">
      <c r="A181" s="307"/>
      <c r="B181" s="307"/>
      <c r="D181" s="308"/>
      <c r="E181" s="309"/>
    </row>
    <row r="182" ht="15.75" customHeight="1">
      <c r="A182" s="307"/>
      <c r="B182" s="307"/>
      <c r="D182" s="308"/>
      <c r="E182" s="309"/>
    </row>
    <row r="183" ht="15.75" customHeight="1">
      <c r="A183" s="307"/>
      <c r="B183" s="307"/>
      <c r="D183" s="308"/>
      <c r="E183" s="309"/>
    </row>
    <row r="184" ht="15.75" customHeight="1">
      <c r="A184" s="307"/>
      <c r="B184" s="307"/>
      <c r="D184" s="308"/>
      <c r="E184" s="309"/>
    </row>
    <row r="185" ht="15.75" customHeight="1">
      <c r="A185" s="307"/>
      <c r="B185" s="307"/>
      <c r="D185" s="308"/>
      <c r="E185" s="309"/>
    </row>
    <row r="186" ht="15.75" customHeight="1">
      <c r="A186" s="307"/>
      <c r="B186" s="307"/>
      <c r="D186" s="308"/>
      <c r="E186" s="309"/>
    </row>
    <row r="187" ht="15.75" customHeight="1">
      <c r="A187" s="307"/>
      <c r="B187" s="307"/>
      <c r="D187" s="308"/>
      <c r="E187" s="309"/>
    </row>
    <row r="188" ht="15.75" customHeight="1">
      <c r="A188" s="307"/>
      <c r="B188" s="307"/>
      <c r="D188" s="308"/>
      <c r="E188" s="309"/>
    </row>
    <row r="189" ht="15.75" customHeight="1">
      <c r="A189" s="307"/>
      <c r="B189" s="307"/>
      <c r="D189" s="308"/>
      <c r="E189" s="309"/>
    </row>
    <row r="190" ht="15.75" customHeight="1">
      <c r="A190" s="307"/>
      <c r="B190" s="307"/>
      <c r="D190" s="308"/>
      <c r="E190" s="309"/>
    </row>
    <row r="191" ht="15.75" customHeight="1">
      <c r="A191" s="307"/>
      <c r="B191" s="307"/>
      <c r="D191" s="308"/>
      <c r="E191" s="309"/>
    </row>
    <row r="192" ht="15.75" customHeight="1">
      <c r="A192" s="307"/>
      <c r="B192" s="307"/>
      <c r="D192" s="308"/>
      <c r="E192" s="309"/>
    </row>
    <row r="193" ht="15.75" customHeight="1">
      <c r="A193" s="307"/>
      <c r="B193" s="307"/>
      <c r="D193" s="308"/>
      <c r="E193" s="309"/>
    </row>
    <row r="194" ht="15.75" customHeight="1">
      <c r="A194" s="307"/>
      <c r="B194" s="307"/>
      <c r="D194" s="308"/>
      <c r="E194" s="309"/>
    </row>
    <row r="195" ht="15.75" customHeight="1">
      <c r="A195" s="307"/>
      <c r="B195" s="307"/>
      <c r="D195" s="308"/>
      <c r="E195" s="309"/>
    </row>
    <row r="196" ht="15.75" customHeight="1">
      <c r="A196" s="307"/>
      <c r="B196" s="307"/>
      <c r="D196" s="308"/>
      <c r="E196" s="309"/>
    </row>
    <row r="197" ht="15.75" customHeight="1">
      <c r="A197" s="307"/>
      <c r="B197" s="307"/>
      <c r="D197" s="308"/>
      <c r="E197" s="309"/>
    </row>
    <row r="198" ht="15.75" customHeight="1">
      <c r="A198" s="307"/>
      <c r="B198" s="307"/>
      <c r="D198" s="308"/>
      <c r="E198" s="309"/>
    </row>
    <row r="199" ht="15.75" customHeight="1">
      <c r="A199" s="307"/>
      <c r="B199" s="307"/>
      <c r="D199" s="308"/>
      <c r="E199" s="309"/>
    </row>
    <row r="200" ht="15.75" customHeight="1">
      <c r="A200" s="307"/>
      <c r="B200" s="307"/>
      <c r="D200" s="308"/>
      <c r="E200" s="309"/>
    </row>
    <row r="201" ht="15.75" customHeight="1">
      <c r="A201" s="307"/>
      <c r="B201" s="307"/>
      <c r="D201" s="308"/>
      <c r="E201" s="309"/>
    </row>
    <row r="202" ht="15.75" customHeight="1">
      <c r="A202" s="307"/>
      <c r="B202" s="307"/>
      <c r="D202" s="308"/>
      <c r="E202" s="309"/>
    </row>
    <row r="203" ht="15.75" customHeight="1">
      <c r="A203" s="307"/>
      <c r="B203" s="307"/>
      <c r="D203" s="308"/>
      <c r="E203" s="309"/>
    </row>
    <row r="204" ht="15.75" customHeight="1">
      <c r="A204" s="307"/>
      <c r="B204" s="307"/>
      <c r="D204" s="308"/>
      <c r="E204" s="309"/>
    </row>
    <row r="205" ht="15.75" customHeight="1">
      <c r="A205" s="307"/>
      <c r="B205" s="307"/>
      <c r="D205" s="308"/>
      <c r="E205" s="309"/>
    </row>
    <row r="206" ht="15.75" customHeight="1">
      <c r="A206" s="307"/>
      <c r="B206" s="307"/>
      <c r="D206" s="308"/>
      <c r="E206" s="309"/>
    </row>
    <row r="207" ht="15.75" customHeight="1">
      <c r="A207" s="307"/>
      <c r="B207" s="307"/>
      <c r="D207" s="308"/>
      <c r="E207" s="309"/>
    </row>
    <row r="208" ht="15.75" customHeight="1">
      <c r="A208" s="307"/>
      <c r="B208" s="307"/>
      <c r="D208" s="308"/>
      <c r="E208" s="309"/>
    </row>
    <row r="209" ht="15.75" customHeight="1">
      <c r="A209" s="307"/>
      <c r="B209" s="307"/>
      <c r="D209" s="308"/>
      <c r="E209" s="309"/>
    </row>
    <row r="210" ht="15.75" customHeight="1">
      <c r="A210" s="307"/>
      <c r="B210" s="307"/>
      <c r="D210" s="308"/>
      <c r="E210" s="309"/>
    </row>
    <row r="211" ht="15.75" customHeight="1">
      <c r="A211" s="307"/>
      <c r="B211" s="307"/>
      <c r="D211" s="308"/>
      <c r="E211" s="309"/>
    </row>
    <row r="212" ht="15.75" customHeight="1">
      <c r="A212" s="307"/>
      <c r="B212" s="307"/>
      <c r="D212" s="308"/>
      <c r="E212" s="309"/>
    </row>
    <row r="213" ht="15.75" customHeight="1">
      <c r="A213" s="307"/>
      <c r="B213" s="307"/>
      <c r="D213" s="308"/>
      <c r="E213" s="309"/>
    </row>
    <row r="214" ht="15.75" customHeight="1">
      <c r="A214" s="307"/>
      <c r="B214" s="307"/>
      <c r="D214" s="308"/>
      <c r="E214" s="309"/>
    </row>
    <row r="215" ht="15.75" customHeight="1">
      <c r="A215" s="307"/>
      <c r="B215" s="307"/>
      <c r="D215" s="308"/>
      <c r="E215" s="309"/>
    </row>
    <row r="216" ht="15.75" customHeight="1">
      <c r="A216" s="307"/>
      <c r="B216" s="307"/>
      <c r="D216" s="308"/>
      <c r="E216" s="309"/>
    </row>
    <row r="217" ht="15.75" customHeight="1">
      <c r="A217" s="307"/>
      <c r="B217" s="307"/>
      <c r="D217" s="308"/>
      <c r="E217" s="309"/>
    </row>
    <row r="218" ht="15.75" customHeight="1">
      <c r="A218" s="307"/>
      <c r="B218" s="307"/>
      <c r="D218" s="308"/>
      <c r="E218" s="309"/>
    </row>
    <row r="219" ht="15.75" customHeight="1">
      <c r="A219" s="307"/>
      <c r="B219" s="307"/>
      <c r="D219" s="308"/>
      <c r="E219" s="309"/>
    </row>
    <row r="220" ht="15.75" customHeight="1">
      <c r="A220" s="307"/>
      <c r="B220" s="307"/>
      <c r="D220" s="308"/>
      <c r="E220" s="309"/>
    </row>
    <row r="221" ht="15.75" customHeight="1">
      <c r="A221" s="307"/>
      <c r="B221" s="307"/>
      <c r="D221" s="308"/>
      <c r="E221" s="309"/>
    </row>
    <row r="222" ht="15.75" customHeight="1">
      <c r="A222" s="307"/>
      <c r="B222" s="307"/>
      <c r="D222" s="308"/>
      <c r="E222" s="309"/>
    </row>
    <row r="223" ht="15.75" customHeight="1">
      <c r="A223" s="307"/>
      <c r="B223" s="307"/>
      <c r="D223" s="308"/>
      <c r="E223" s="309"/>
    </row>
    <row r="224" ht="15.75" customHeight="1">
      <c r="A224" s="307"/>
      <c r="B224" s="307"/>
      <c r="D224" s="308"/>
      <c r="E224" s="309"/>
    </row>
    <row r="225" ht="15.75" customHeight="1">
      <c r="A225" s="307"/>
      <c r="B225" s="307"/>
      <c r="D225" s="308"/>
      <c r="E225" s="309"/>
    </row>
    <row r="226" ht="15.75" customHeight="1">
      <c r="A226" s="307"/>
      <c r="B226" s="307"/>
      <c r="D226" s="308"/>
      <c r="E226" s="309"/>
    </row>
    <row r="227" ht="15.75" customHeight="1">
      <c r="A227" s="307"/>
      <c r="B227" s="307"/>
      <c r="D227" s="308"/>
      <c r="E227" s="309"/>
    </row>
    <row r="228" ht="15.75" customHeight="1">
      <c r="A228" s="307"/>
      <c r="B228" s="307"/>
      <c r="D228" s="308"/>
      <c r="E228" s="309"/>
    </row>
    <row r="229" ht="15.75" customHeight="1">
      <c r="A229" s="307"/>
      <c r="B229" s="307"/>
      <c r="D229" s="308"/>
      <c r="E229" s="309"/>
    </row>
    <row r="230" ht="15.75" customHeight="1">
      <c r="A230" s="307"/>
      <c r="B230" s="307"/>
      <c r="D230" s="308"/>
      <c r="E230" s="309"/>
    </row>
    <row r="231" ht="15.75" customHeight="1">
      <c r="A231" s="307"/>
      <c r="B231" s="307"/>
      <c r="D231" s="308"/>
      <c r="E231" s="309"/>
    </row>
    <row r="232" ht="15.75" customHeight="1">
      <c r="A232" s="307"/>
      <c r="B232" s="307"/>
      <c r="D232" s="308"/>
      <c r="E232" s="309"/>
    </row>
    <row r="233" ht="15.75" customHeight="1">
      <c r="A233" s="307"/>
      <c r="B233" s="307"/>
      <c r="D233" s="308"/>
      <c r="E233" s="309"/>
    </row>
    <row r="234" ht="15.75" customHeight="1">
      <c r="A234" s="307"/>
      <c r="B234" s="307"/>
      <c r="D234" s="308"/>
      <c r="E234" s="309"/>
    </row>
    <row r="235" ht="15.75" customHeight="1">
      <c r="A235" s="307"/>
      <c r="B235" s="307"/>
      <c r="D235" s="308"/>
      <c r="E235" s="309"/>
    </row>
    <row r="236" ht="15.75" customHeight="1">
      <c r="A236" s="307"/>
      <c r="B236" s="307"/>
      <c r="D236" s="308"/>
      <c r="E236" s="309"/>
    </row>
    <row r="237" ht="15.75" customHeight="1">
      <c r="A237" s="307"/>
      <c r="B237" s="307"/>
      <c r="D237" s="308"/>
      <c r="E237" s="309"/>
    </row>
    <row r="238" ht="15.75" customHeight="1">
      <c r="A238" s="307"/>
      <c r="B238" s="307"/>
      <c r="D238" s="308"/>
      <c r="E238" s="309"/>
    </row>
    <row r="239" ht="15.75" customHeight="1">
      <c r="A239" s="307"/>
      <c r="B239" s="307"/>
      <c r="D239" s="308"/>
      <c r="E239" s="309"/>
    </row>
    <row r="240" ht="15.75" customHeight="1">
      <c r="A240" s="307"/>
      <c r="B240" s="307"/>
      <c r="D240" s="308"/>
      <c r="E240" s="309"/>
    </row>
    <row r="241" ht="15.75" customHeight="1">
      <c r="A241" s="307"/>
      <c r="B241" s="307"/>
      <c r="D241" s="308"/>
      <c r="E241" s="309"/>
    </row>
    <row r="242" ht="15.75" customHeight="1">
      <c r="A242" s="307"/>
      <c r="B242" s="307"/>
      <c r="D242" s="308"/>
      <c r="E242" s="309"/>
    </row>
    <row r="243" ht="15.75" customHeight="1">
      <c r="A243" s="307"/>
      <c r="B243" s="307"/>
      <c r="D243" s="308"/>
      <c r="E243" s="309"/>
    </row>
    <row r="244" ht="15.75" customHeight="1">
      <c r="A244" s="307"/>
      <c r="B244" s="307"/>
      <c r="D244" s="308"/>
      <c r="E244" s="309"/>
    </row>
    <row r="245" ht="15.75" customHeight="1">
      <c r="A245" s="307"/>
      <c r="B245" s="307"/>
      <c r="D245" s="308"/>
      <c r="E245" s="309"/>
    </row>
    <row r="246" ht="15.75" customHeight="1">
      <c r="A246" s="307"/>
      <c r="B246" s="307"/>
      <c r="D246" s="308"/>
      <c r="E246" s="309"/>
    </row>
    <row r="247" ht="15.75" customHeight="1">
      <c r="A247" s="307"/>
      <c r="B247" s="307"/>
      <c r="D247" s="308"/>
      <c r="E247" s="309"/>
    </row>
    <row r="248" ht="15.75" customHeight="1">
      <c r="A248" s="307"/>
      <c r="B248" s="307"/>
      <c r="D248" s="308"/>
      <c r="E248" s="309"/>
    </row>
    <row r="249" ht="15.75" customHeight="1">
      <c r="A249" s="307"/>
      <c r="B249" s="307"/>
      <c r="D249" s="308"/>
      <c r="E249" s="309"/>
    </row>
    <row r="250" ht="15.75" customHeight="1">
      <c r="A250" s="307"/>
      <c r="B250" s="307"/>
      <c r="D250" s="308"/>
      <c r="E250" s="309"/>
    </row>
    <row r="251" ht="15.75" customHeight="1">
      <c r="A251" s="307"/>
      <c r="B251" s="307"/>
      <c r="D251" s="308"/>
      <c r="E251" s="309"/>
    </row>
    <row r="252" ht="15.75" customHeight="1">
      <c r="A252" s="307"/>
      <c r="B252" s="307"/>
      <c r="D252" s="308"/>
      <c r="E252" s="309"/>
    </row>
    <row r="253" ht="15.75" customHeight="1">
      <c r="A253" s="307"/>
      <c r="B253" s="307"/>
      <c r="D253" s="308"/>
      <c r="E253" s="309"/>
    </row>
    <row r="254" ht="15.75" customHeight="1">
      <c r="A254" s="307"/>
      <c r="B254" s="307"/>
      <c r="D254" s="308"/>
      <c r="E254" s="309"/>
    </row>
    <row r="255" ht="15.75" customHeight="1">
      <c r="A255" s="307"/>
      <c r="B255" s="307"/>
      <c r="D255" s="308"/>
      <c r="E255" s="309"/>
    </row>
    <row r="256" ht="15.75" customHeight="1">
      <c r="A256" s="307"/>
      <c r="B256" s="307"/>
      <c r="D256" s="308"/>
      <c r="E256" s="309"/>
    </row>
    <row r="257" ht="15.75" customHeight="1">
      <c r="A257" s="307"/>
      <c r="B257" s="307"/>
      <c r="D257" s="308"/>
      <c r="E257" s="309"/>
    </row>
    <row r="258" ht="15.75" customHeight="1">
      <c r="A258" s="307"/>
      <c r="B258" s="307"/>
      <c r="D258" s="308"/>
      <c r="E258" s="309"/>
    </row>
    <row r="259" ht="15.75" customHeight="1">
      <c r="A259" s="307"/>
      <c r="B259" s="307"/>
      <c r="D259" s="308"/>
      <c r="E259" s="309"/>
    </row>
    <row r="260" ht="15.75" customHeight="1">
      <c r="A260" s="307"/>
      <c r="B260" s="307"/>
      <c r="D260" s="308"/>
      <c r="E260" s="309"/>
    </row>
    <row r="261" ht="15.75" customHeight="1">
      <c r="A261" s="307"/>
      <c r="B261" s="307"/>
      <c r="D261" s="308"/>
      <c r="E261" s="309"/>
    </row>
    <row r="262" ht="15.75" customHeight="1">
      <c r="A262" s="307"/>
      <c r="B262" s="307"/>
      <c r="D262" s="308"/>
      <c r="E262" s="309"/>
    </row>
    <row r="263" ht="15.75" customHeight="1">
      <c r="A263" s="307"/>
      <c r="B263" s="307"/>
      <c r="D263" s="308"/>
      <c r="E263" s="309"/>
    </row>
    <row r="264" ht="15.75" customHeight="1">
      <c r="A264" s="307"/>
      <c r="B264" s="307"/>
      <c r="D264" s="308"/>
      <c r="E264" s="309"/>
    </row>
    <row r="265" ht="15.75" customHeight="1">
      <c r="A265" s="307"/>
      <c r="B265" s="307"/>
      <c r="D265" s="308"/>
      <c r="E265" s="309"/>
    </row>
    <row r="266" ht="15.75" customHeight="1">
      <c r="A266" s="307"/>
      <c r="B266" s="307"/>
      <c r="D266" s="308"/>
      <c r="E266" s="309"/>
    </row>
    <row r="267" ht="15.75" customHeight="1">
      <c r="A267" s="307"/>
      <c r="B267" s="307"/>
      <c r="D267" s="308"/>
      <c r="E267" s="309"/>
    </row>
    <row r="268" ht="15.75" customHeight="1">
      <c r="A268" s="307"/>
      <c r="B268" s="307"/>
    </row>
    <row r="269" ht="15.75" customHeight="1">
      <c r="A269" s="307"/>
      <c r="B269" s="307"/>
    </row>
    <row r="270" ht="15.75" customHeight="1">
      <c r="A270" s="307"/>
      <c r="B270" s="307"/>
    </row>
    <row r="271" ht="15.75" customHeight="1">
      <c r="A271" s="307"/>
      <c r="B271" s="307"/>
    </row>
    <row r="272" ht="15.75" customHeight="1">
      <c r="A272" s="307"/>
      <c r="B272" s="307"/>
    </row>
    <row r="273" ht="15.75" customHeight="1">
      <c r="A273" s="307"/>
      <c r="B273" s="307"/>
    </row>
    <row r="274" ht="15.75" customHeight="1">
      <c r="A274" s="307"/>
      <c r="B274" s="307"/>
    </row>
    <row r="275" ht="15.75" customHeight="1">
      <c r="A275" s="307"/>
      <c r="B275" s="307"/>
    </row>
    <row r="276" ht="15.75" customHeight="1">
      <c r="A276" s="307"/>
      <c r="B276" s="307"/>
    </row>
    <row r="277" ht="15.75" customHeight="1">
      <c r="A277" s="307"/>
      <c r="B277" s="307"/>
    </row>
    <row r="278" ht="15.75" customHeight="1">
      <c r="A278" s="307"/>
      <c r="B278" s="307"/>
    </row>
    <row r="279" ht="15.75" customHeight="1">
      <c r="A279" s="307"/>
      <c r="B279" s="307"/>
    </row>
    <row r="280" ht="15.75" customHeight="1">
      <c r="A280" s="307"/>
      <c r="B280" s="307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2">
    <mergeCell ref="D2:I2"/>
    <mergeCell ref="L6:M6"/>
    <mergeCell ref="L7:M7"/>
    <mergeCell ref="L8:M8"/>
    <mergeCell ref="L9:M9"/>
    <mergeCell ref="C15:I15"/>
    <mergeCell ref="C16:I16"/>
    <mergeCell ref="C17:I17"/>
    <mergeCell ref="C18:I18"/>
    <mergeCell ref="C19:I19"/>
    <mergeCell ref="C20:I20"/>
    <mergeCell ref="C34:I34"/>
    <mergeCell ref="C35:I35"/>
    <mergeCell ref="C36:I36"/>
    <mergeCell ref="C37:I37"/>
    <mergeCell ref="C38:I38"/>
    <mergeCell ref="C39:I39"/>
    <mergeCell ref="C51:I51"/>
    <mergeCell ref="C52:I52"/>
    <mergeCell ref="C53:I53"/>
    <mergeCell ref="C54:I54"/>
    <mergeCell ref="C84:I84"/>
    <mergeCell ref="C85:I85"/>
    <mergeCell ref="C86:I86"/>
    <mergeCell ref="C87:I87"/>
    <mergeCell ref="C55:I55"/>
    <mergeCell ref="C67:I67"/>
    <mergeCell ref="C68:I68"/>
    <mergeCell ref="C69:I69"/>
    <mergeCell ref="C70:I70"/>
    <mergeCell ref="C71:I71"/>
    <mergeCell ref="C83:I83"/>
  </mergeCells>
  <dataValidations>
    <dataValidation type="list" allowBlank="1" showErrorMessage="1" sqref="D6:D13 D23:D32 D42:D49 D58:D65 D74:D81">
      <formula1>'Hoja 2'!$A$2:$A$4</formula1>
    </dataValidation>
    <dataValidation type="list" allowBlank="1" showErrorMessage="1" sqref="C6 C11:C13 C23:C32 C42:C49 C58:C65 C74:C81">
      <formula1>'Base de datos'!$C$2:$C$42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/>
    <row r="2" ht="15.75" customHeight="1">
      <c r="A2" s="528" t="s">
        <v>14</v>
      </c>
    </row>
    <row r="3" ht="15.75" customHeight="1">
      <c r="A3" s="528" t="s">
        <v>11</v>
      </c>
    </row>
    <row r="4" ht="15.75" customHeight="1">
      <c r="A4" s="528" t="s">
        <v>20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